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iro Nicolas\Documents\EPSA\Intergen\03_Optimus\03_Documents Projet\01_Documents Organisation\"/>
    </mc:Choice>
  </mc:AlternateContent>
  <xr:revisionPtr revIDLastSave="0" documentId="13_ncr:1_{A287A41D-9703-40D5-9A6A-E455041B6255}" xr6:coauthVersionLast="40" xr6:coauthVersionMax="40" xr10:uidLastSave="{00000000-0000-0000-0000-000000000000}"/>
  <bookViews>
    <workbookView xWindow="-110" yWindow="-110" windowWidth="25820" windowHeight="15620" activeTab="2" xr2:uid="{00000000-000D-0000-FFFF-FFFF00000000}"/>
  </bookViews>
  <sheets>
    <sheet name="Introduction" sheetId="7" r:id="rId1"/>
    <sheet name="Dashboard" sheetId="9" r:id="rId2"/>
    <sheet name="Planning_Prod" sheetId="8" r:id="rId3"/>
    <sheet name="Planning_Projet" sheetId="12" r:id="rId4"/>
    <sheet name="Planning" sheetId="11" r:id="rId5"/>
    <sheet name="Data" sheetId="1" r:id="rId6"/>
  </sheets>
  <externalReferences>
    <externalReference r:id="rId7"/>
  </externalReferences>
  <definedNames>
    <definedName name="_xlnm._FilterDatabase" localSheetId="5" hidden="1">Data!$A$1:$D$46</definedName>
    <definedName name="Debut">Planning!$I$1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9" i="8" l="1"/>
  <c r="C170" i="8"/>
  <c r="C171" i="8"/>
  <c r="C172" i="8"/>
  <c r="C168" i="8"/>
  <c r="C173" i="8" l="1"/>
  <c r="B6" i="12"/>
  <c r="B4" i="12"/>
  <c r="F2" i="11" l="1"/>
  <c r="B26" i="11" l="1"/>
  <c r="B25" i="11"/>
  <c r="G2" i="11"/>
  <c r="F3" i="11" s="1"/>
  <c r="G3" i="11" s="1"/>
  <c r="F4" i="11" s="1"/>
  <c r="G4" i="11" s="1"/>
  <c r="F5" i="11" l="1"/>
  <c r="G5" i="11" s="1"/>
  <c r="F6" i="11"/>
  <c r="G6" i="11" s="1"/>
  <c r="F7" i="11" s="1"/>
  <c r="G7" i="11" s="1"/>
  <c r="F8" i="11"/>
  <c r="G8" i="11" s="1"/>
  <c r="F9" i="11" s="1"/>
  <c r="G9" i="11" s="1"/>
  <c r="F10" i="11" s="1"/>
  <c r="G10" i="11" s="1"/>
  <c r="F11" i="11" s="1"/>
  <c r="G11" i="11" s="1"/>
  <c r="F12" i="11" s="1"/>
  <c r="G12" i="11" s="1"/>
  <c r="B4" i="8" l="1"/>
  <c r="B6" i="8"/>
  <c r="I2" i="1" l="1"/>
  <c r="F2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J22" i="1" l="1"/>
  <c r="I22" i="1"/>
  <c r="H22" i="1"/>
  <c r="J18" i="1"/>
  <c r="I18" i="1"/>
  <c r="H18" i="1"/>
  <c r="J14" i="1"/>
  <c r="I14" i="1"/>
  <c r="H14" i="1"/>
  <c r="H10" i="1"/>
  <c r="J10" i="1"/>
  <c r="I10" i="1"/>
  <c r="J25" i="1"/>
  <c r="I25" i="1"/>
  <c r="H25" i="1"/>
  <c r="J21" i="1"/>
  <c r="I21" i="1"/>
  <c r="H21" i="1"/>
  <c r="J13" i="1"/>
  <c r="I13" i="1"/>
  <c r="H13" i="1"/>
  <c r="J24" i="1"/>
  <c r="I24" i="1"/>
  <c r="H24" i="1"/>
  <c r="J20" i="1"/>
  <c r="I20" i="1"/>
  <c r="H20" i="1"/>
  <c r="J16" i="1"/>
  <c r="I16" i="1"/>
  <c r="H16" i="1"/>
  <c r="J12" i="1"/>
  <c r="I12" i="1"/>
  <c r="H12" i="1"/>
  <c r="J17" i="1"/>
  <c r="I17" i="1"/>
  <c r="H17" i="1"/>
  <c r="J23" i="1"/>
  <c r="I23" i="1"/>
  <c r="H23" i="1"/>
  <c r="J19" i="1"/>
  <c r="I19" i="1"/>
  <c r="H19" i="1"/>
  <c r="J15" i="1"/>
  <c r="I15" i="1"/>
  <c r="H15" i="1"/>
  <c r="J11" i="1"/>
  <c r="I11" i="1"/>
  <c r="H11" i="1"/>
  <c r="I5" i="1"/>
  <c r="I6" i="1"/>
  <c r="I7" i="1"/>
  <c r="I8" i="1" l="1"/>
</calcChain>
</file>

<file path=xl/sharedStrings.xml><?xml version="1.0" encoding="utf-8"?>
<sst xmlns="http://schemas.openxmlformats.org/spreadsheetml/2006/main" count="892" uniqueCount="451">
  <si>
    <t>Prénom</t>
  </si>
  <si>
    <t>Année</t>
  </si>
  <si>
    <t>Nom</t>
  </si>
  <si>
    <t>Nicolas</t>
  </si>
  <si>
    <t>Gameiro</t>
  </si>
  <si>
    <t>NGO</t>
  </si>
  <si>
    <t>2A</t>
  </si>
  <si>
    <t>Maxime</t>
  </si>
  <si>
    <t>Proriol</t>
  </si>
  <si>
    <t>MPL</t>
  </si>
  <si>
    <t>Pierre Alexis</t>
  </si>
  <si>
    <t>Corpechot</t>
  </si>
  <si>
    <t>PCT</t>
  </si>
  <si>
    <t xml:space="preserve">Bob </t>
  </si>
  <si>
    <t>Auboin</t>
  </si>
  <si>
    <t>BAT</t>
  </si>
  <si>
    <t>Mathieu</t>
  </si>
  <si>
    <t>Pinay</t>
  </si>
  <si>
    <t>MPY</t>
  </si>
  <si>
    <t xml:space="preserve">Batiste </t>
  </si>
  <si>
    <t>Vidal</t>
  </si>
  <si>
    <t>BVL</t>
  </si>
  <si>
    <t>Robin</t>
  </si>
  <si>
    <t>Clamens</t>
  </si>
  <si>
    <t>RCS</t>
  </si>
  <si>
    <t xml:space="preserve">Paco </t>
  </si>
  <si>
    <t>Tanchon</t>
  </si>
  <si>
    <t>PTN</t>
  </si>
  <si>
    <t>LDN</t>
  </si>
  <si>
    <t>Ludovic</t>
  </si>
  <si>
    <t>Beguin</t>
  </si>
  <si>
    <t>Josselin</t>
  </si>
  <si>
    <t>Kiefel</t>
  </si>
  <si>
    <t>JKL</t>
  </si>
  <si>
    <t>Yohan</t>
  </si>
  <si>
    <t>Reguiai</t>
  </si>
  <si>
    <t>YRI</t>
  </si>
  <si>
    <t>Agostino</t>
  </si>
  <si>
    <t>ACO</t>
  </si>
  <si>
    <t>Cembelo</t>
  </si>
  <si>
    <t>Michele</t>
  </si>
  <si>
    <t>Romaneli</t>
  </si>
  <si>
    <t>MRI</t>
  </si>
  <si>
    <t>1A</t>
  </si>
  <si>
    <t>3A</t>
  </si>
  <si>
    <t>Andrea</t>
  </si>
  <si>
    <t>APA</t>
  </si>
  <si>
    <t>Possema</t>
  </si>
  <si>
    <t xml:space="preserve">Thibault </t>
  </si>
  <si>
    <t>Lassus</t>
  </si>
  <si>
    <t>TLS</t>
  </si>
  <si>
    <t>Aurélien</t>
  </si>
  <si>
    <t>Bienner</t>
  </si>
  <si>
    <t>ABR</t>
  </si>
  <si>
    <t>Arthur</t>
  </si>
  <si>
    <t>Perdereau</t>
  </si>
  <si>
    <t>APU</t>
  </si>
  <si>
    <t>Touzé</t>
  </si>
  <si>
    <t>GTE</t>
  </si>
  <si>
    <t>GTI</t>
  </si>
  <si>
    <t>BRT</t>
  </si>
  <si>
    <t>AMS</t>
  </si>
  <si>
    <t>Guillaume</t>
  </si>
  <si>
    <t>Tsilieski</t>
  </si>
  <si>
    <t>Brice</t>
  </si>
  <si>
    <t>Roblot</t>
  </si>
  <si>
    <t>Antoine</t>
  </si>
  <si>
    <t>Maros</t>
  </si>
  <si>
    <t>Victor</t>
  </si>
  <si>
    <t>Hugo</t>
  </si>
  <si>
    <t>VDO</t>
  </si>
  <si>
    <t>Paul</t>
  </si>
  <si>
    <t>Charcaluk</t>
  </si>
  <si>
    <t>PCK</t>
  </si>
  <si>
    <t xml:space="preserve">Effectifs </t>
  </si>
  <si>
    <t>Pierre Emmanuel</t>
  </si>
  <si>
    <t>Ariaux</t>
  </si>
  <si>
    <t>Delort</t>
  </si>
  <si>
    <t>Aimery</t>
  </si>
  <si>
    <t>Sauliere</t>
  </si>
  <si>
    <t>Idriss</t>
  </si>
  <si>
    <t>Gouhaga</t>
  </si>
  <si>
    <t>Ghassen</t>
  </si>
  <si>
    <t>Camille</t>
  </si>
  <si>
    <t>Simon</t>
  </si>
  <si>
    <t>Come</t>
  </si>
  <si>
    <t>Archinard</t>
  </si>
  <si>
    <t>Martin</t>
  </si>
  <si>
    <t>Kasinsky</t>
  </si>
  <si>
    <t>MKI</t>
  </si>
  <si>
    <t>CAD</t>
  </si>
  <si>
    <t>CSN</t>
  </si>
  <si>
    <t>IGH</t>
  </si>
  <si>
    <t>ASE</t>
  </si>
  <si>
    <t>ADT</t>
  </si>
  <si>
    <t>PAX</t>
  </si>
  <si>
    <t xml:space="preserve">Mathieu </t>
  </si>
  <si>
    <t>Jacquet</t>
  </si>
  <si>
    <t>MJT</t>
  </si>
  <si>
    <t>Erwan</t>
  </si>
  <si>
    <t>Benkara</t>
  </si>
  <si>
    <t>EBA</t>
  </si>
  <si>
    <t>Pierre guillaume</t>
  </si>
  <si>
    <t>Thomas</t>
  </si>
  <si>
    <t>Mattei</t>
  </si>
  <si>
    <t>Calixthe</t>
  </si>
  <si>
    <t>EDP</t>
  </si>
  <si>
    <t>Chape basculeur avant</t>
  </si>
  <si>
    <t>Equerres BAR Av</t>
  </si>
  <si>
    <t>Equerres BAR Ar</t>
  </si>
  <si>
    <t>Chape en U olhins Ar</t>
  </si>
  <si>
    <t xml:space="preserve">Gabarit pour mise en postion des couteaux </t>
  </si>
  <si>
    <t xml:space="preserve">Arthur </t>
  </si>
  <si>
    <t>Rodriguez</t>
  </si>
  <si>
    <t>ARZ</t>
  </si>
  <si>
    <t>Corentin</t>
  </si>
  <si>
    <t>Lepais</t>
  </si>
  <si>
    <t>CLS</t>
  </si>
  <si>
    <t>Bruno</t>
  </si>
  <si>
    <t>Morera</t>
  </si>
  <si>
    <t>BMA</t>
  </si>
  <si>
    <t xml:space="preserve">Romain </t>
  </si>
  <si>
    <t>RMN</t>
  </si>
  <si>
    <t>Gomez</t>
  </si>
  <si>
    <t>MGZ</t>
  </si>
  <si>
    <t>Département</t>
  </si>
  <si>
    <t>Total</t>
  </si>
  <si>
    <t>De Longcamp</t>
  </si>
  <si>
    <t>Electrical</t>
  </si>
  <si>
    <t>Engine &amp; Powertrain</t>
  </si>
  <si>
    <t>Frame &amp; Body</t>
  </si>
  <si>
    <t>Suspension</t>
  </si>
  <si>
    <t>Schio</t>
  </si>
  <si>
    <t>MSO</t>
  </si>
  <si>
    <t>Tanguy</t>
  </si>
  <si>
    <t>Maurin</t>
  </si>
  <si>
    <t>TMN</t>
  </si>
  <si>
    <t>Clement</t>
  </si>
  <si>
    <t>Emerique</t>
  </si>
  <si>
    <t>CEE</t>
  </si>
  <si>
    <t>Advisor</t>
  </si>
  <si>
    <t>Management</t>
  </si>
  <si>
    <t>Elain</t>
  </si>
  <si>
    <t>AEN</t>
  </si>
  <si>
    <t>Trigramme</t>
  </si>
  <si>
    <t>Début</t>
  </si>
  <si>
    <t>Respo</t>
  </si>
  <si>
    <t>Etat</t>
  </si>
  <si>
    <t>Nb tache</t>
  </si>
  <si>
    <t xml:space="preserve">Présentation des différentes pages : </t>
  </si>
  <si>
    <t xml:space="preserve">Projets de feuilles : </t>
  </si>
  <si>
    <t>Dashboard</t>
  </si>
  <si>
    <t xml:space="preserve">Feuille </t>
  </si>
  <si>
    <t>Description</t>
  </si>
  <si>
    <t>Version</t>
  </si>
  <si>
    <t>Liste_ressources</t>
  </si>
  <si>
    <t xml:space="preserve">Vous pouvez lister l'ensemble de vos ressources humaines </t>
  </si>
  <si>
    <t>v0.1</t>
  </si>
  <si>
    <t xml:space="preserve">Date </t>
  </si>
  <si>
    <t>Représentation de donner sous forme d'un tableau de bord avec des graphiques</t>
  </si>
  <si>
    <t>Planning</t>
  </si>
  <si>
    <t>Feuille sous forme de gantt avec les listes des taches leur responsable et durée</t>
  </si>
  <si>
    <t>On affecte une couleur à chaque trigramme en fonction de l'année</t>
  </si>
  <si>
    <t xml:space="preserve">On affecte une couleur à chaque pole avec un logo </t>
  </si>
  <si>
    <t>Planning Prévisionnel</t>
  </si>
  <si>
    <r>
      <rPr>
        <b/>
        <sz val="14"/>
        <rFont val="Raleway"/>
        <family val="2"/>
      </rPr>
      <t>Projet :</t>
    </r>
    <r>
      <rPr>
        <sz val="14"/>
        <rFont val="Raleway"/>
        <family val="2"/>
      </rPr>
      <t xml:space="preserve"> Fabrication STUF'2019</t>
    </r>
  </si>
  <si>
    <r>
      <rPr>
        <b/>
        <sz val="14"/>
        <rFont val="Raleway"/>
        <family val="2"/>
      </rPr>
      <t>Date de début :</t>
    </r>
    <r>
      <rPr>
        <sz val="14"/>
        <rFont val="Raleway"/>
        <family val="2"/>
      </rPr>
      <t xml:space="preserve">  01 Décembre 2018</t>
    </r>
  </si>
  <si>
    <r>
      <rPr>
        <b/>
        <sz val="14"/>
        <rFont val="Raleway"/>
        <family val="2"/>
      </rPr>
      <t>Jour J :</t>
    </r>
    <r>
      <rPr>
        <sz val="14"/>
        <rFont val="Raleway"/>
        <family val="2"/>
      </rPr>
      <t xml:space="preserve">  </t>
    </r>
  </si>
  <si>
    <r>
      <rPr>
        <b/>
        <sz val="14"/>
        <rFont val="Raleway"/>
        <family val="2"/>
      </rPr>
      <t>Date de fin :</t>
    </r>
    <r>
      <rPr>
        <sz val="14"/>
        <rFont val="Raleway"/>
        <family val="2"/>
      </rPr>
      <t xml:space="preserve"> 17 Mars 2019</t>
    </r>
  </si>
  <si>
    <r>
      <rPr>
        <b/>
        <sz val="14"/>
        <rFont val="Raleway"/>
        <family val="2"/>
      </rPr>
      <t>Version :</t>
    </r>
    <r>
      <rPr>
        <sz val="14"/>
        <rFont val="Raleway"/>
        <family val="2"/>
      </rPr>
      <t xml:space="preserve"> 1.4</t>
    </r>
    <r>
      <rPr>
        <b/>
        <sz val="14"/>
        <rFont val="Raleway"/>
        <family val="2"/>
      </rPr>
      <t xml:space="preserve"> du</t>
    </r>
    <r>
      <rPr>
        <sz val="14"/>
        <rFont val="Raleway"/>
        <family val="2"/>
      </rPr>
      <t xml:space="preserve"> 14/01/19</t>
    </r>
  </si>
  <si>
    <t>Tâche à accomplir</t>
  </si>
  <si>
    <t>Décembre</t>
  </si>
  <si>
    <t>Janvier</t>
  </si>
  <si>
    <t>Février</t>
  </si>
  <si>
    <t>Mars</t>
  </si>
  <si>
    <t>La Mache Laser</t>
  </si>
  <si>
    <t>VACANCES DE NOEL</t>
  </si>
  <si>
    <t>Préparer les igs et MEP de la 1er vague (1,5 mm)</t>
  </si>
  <si>
    <t>Terminée</t>
  </si>
  <si>
    <t>Production de la 1er vague</t>
  </si>
  <si>
    <t>Production de la 2er vague</t>
  </si>
  <si>
    <t>A faire</t>
  </si>
  <si>
    <t>Préparer les igs et MEP de la 3e vague (S355)</t>
  </si>
  <si>
    <t>Production de la 3e vague</t>
  </si>
  <si>
    <t>Préparer les igs et MEP de la 4e vague (2017A)</t>
  </si>
  <si>
    <t>Production de la 4e vague</t>
  </si>
  <si>
    <t>Boisard</t>
  </si>
  <si>
    <t xml:space="preserve">Commander les brutes alu 7075 T6 </t>
  </si>
  <si>
    <t>Envoyer les premieres pièces</t>
  </si>
  <si>
    <t>Production pièces soudés sur le châssis (direction &amp; moteur)</t>
  </si>
  <si>
    <t>En cours</t>
  </si>
  <si>
    <t>Reception des brutes</t>
  </si>
  <si>
    <t>Envoyer des pièces aluminium 7075 T6</t>
  </si>
  <si>
    <t>Production du PE</t>
  </si>
  <si>
    <t>Production du Moyeu</t>
  </si>
  <si>
    <t>Production du Porte Moyeu</t>
  </si>
  <si>
    <t>La Mache Productique</t>
  </si>
  <si>
    <t>Préparer les igs et MEP de la 1er vague (entretoises)</t>
  </si>
  <si>
    <t>Préparer les igs et MEP de la 2er vague</t>
  </si>
  <si>
    <t>Alpentech</t>
  </si>
  <si>
    <t>Faire les mises en plan</t>
  </si>
  <si>
    <t>Contacter AlpenTech</t>
  </si>
  <si>
    <t>Commander les brutes</t>
  </si>
  <si>
    <t>Production</t>
  </si>
  <si>
    <t>La Gir</t>
  </si>
  <si>
    <t>Contacter Flash Cintrage</t>
  </si>
  <si>
    <t>Préparer fichiers pour Flash Cintrage</t>
  </si>
  <si>
    <t>Amener les tubes chez Flash Cintrage</t>
  </si>
  <si>
    <t>Cintrage des tubes (2 jours)</t>
  </si>
  <si>
    <t>Récupérer des arceaux</t>
  </si>
  <si>
    <t>Préparer les fichiers pour Noel Metal</t>
  </si>
  <si>
    <t>Amener les tubes chez Noel Metal</t>
  </si>
  <si>
    <t>Découpe des tubes</t>
  </si>
  <si>
    <t>Récupérer les tubes chez Noel Metal</t>
  </si>
  <si>
    <t xml:space="preserve">Réaliser un devis chez A2M (test pièces) </t>
  </si>
  <si>
    <t>Amener les échantillons chez A2M</t>
  </si>
  <si>
    <t>Récupérer les échantillons chez A2M</t>
  </si>
  <si>
    <t>Préparer fichiers pour Vernay</t>
  </si>
  <si>
    <t>Soudure du chassis</t>
  </si>
  <si>
    <t>Soudure de l'avant de la structure tubulaire</t>
  </si>
  <si>
    <t>Soudure de l'arriere de la structure tubulaire</t>
  </si>
  <si>
    <t>Réalisation des gabarits</t>
  </si>
  <si>
    <t>Soudure des chapes</t>
  </si>
  <si>
    <t>Soudure des premières chapes sans gabarits</t>
  </si>
  <si>
    <t>Reprise des chapes à la meuleuse</t>
  </si>
  <si>
    <t>Récupérer le châssis pour échappement</t>
  </si>
  <si>
    <t>Gabarits</t>
  </si>
  <si>
    <t>Réalisation des gabarits de triangles</t>
  </si>
  <si>
    <t>Réalisation des gabarits de direction</t>
  </si>
  <si>
    <t>Faire les mises en plan des gabarits</t>
  </si>
  <si>
    <t>ECL</t>
  </si>
  <si>
    <t>Contacter B.Houx pour usinage Porte Couronne</t>
  </si>
  <si>
    <t>Usinage Porte couronne</t>
  </si>
  <si>
    <t>PSEP</t>
  </si>
  <si>
    <t>Reprendre contact avec PSEP</t>
  </si>
  <si>
    <t>Fixer la couleur et la date pour amener le châssis</t>
  </si>
  <si>
    <t>Amener le châssis</t>
  </si>
  <si>
    <t>Peinture sur châssis</t>
  </si>
  <si>
    <t>Récupérer le châssis peint</t>
  </si>
  <si>
    <t>Bery Inox</t>
  </si>
  <si>
    <t>Contacter Bery Inox</t>
  </si>
  <si>
    <t xml:space="preserve">Demander la commande des brutes </t>
  </si>
  <si>
    <t>Fixer une date pour amener le moteur</t>
  </si>
  <si>
    <t xml:space="preserve">Préparer les documents nécessaires </t>
  </si>
  <si>
    <t>Amener le moteur</t>
  </si>
  <si>
    <t>Soudure de l'échappement hors châssis</t>
  </si>
  <si>
    <t>Soudure de l'échappement sur châssis</t>
  </si>
  <si>
    <t>Direction Projet</t>
  </si>
  <si>
    <t>Plannifier présentation Brice chez Boisard</t>
  </si>
  <si>
    <t xml:space="preserve">Affection des responsable fournisseurs </t>
  </si>
  <si>
    <t xml:space="preserve">Plannifier TOP Organe et moteur </t>
  </si>
  <si>
    <t>Envoyer le mail TOP Organe</t>
  </si>
  <si>
    <t>TOP Organe</t>
  </si>
  <si>
    <t>Bloquée</t>
  </si>
  <si>
    <t>En retard</t>
  </si>
  <si>
    <t>Data1</t>
  </si>
  <si>
    <t>Data2</t>
  </si>
  <si>
    <t>Data3</t>
  </si>
  <si>
    <t>v1.2</t>
  </si>
  <si>
    <t xml:space="preserve">Date : </t>
  </si>
  <si>
    <t>Commande</t>
  </si>
  <si>
    <t>Prévoir paiement pour compétitions</t>
  </si>
  <si>
    <t>Commander chez SFK</t>
  </si>
  <si>
    <t>Faire liste des commandes chez SFK</t>
  </si>
  <si>
    <t>Lister les raideur nécessaires</t>
  </si>
  <si>
    <t>Commander des amortisseurs et ressorts Ohlins</t>
  </si>
  <si>
    <t>Lister commandes Faiseau electroniquer</t>
  </si>
  <si>
    <t>Commander chez RS</t>
  </si>
  <si>
    <t>Commander chez Mouser</t>
  </si>
  <si>
    <t>Commander Reverchon</t>
  </si>
  <si>
    <t>Commander des axes de transmission</t>
  </si>
  <si>
    <t>Tableau  de Bord : Gestion de Projet EPSA</t>
  </si>
  <si>
    <t>Fin</t>
  </si>
  <si>
    <t>Commander circuit essence</t>
  </si>
  <si>
    <t>Commande Bron</t>
  </si>
  <si>
    <t>Commande Meuleuse et Durand Servie divers</t>
  </si>
  <si>
    <t>Commande carrosserie</t>
  </si>
  <si>
    <t>Commande Mouser</t>
  </si>
  <si>
    <t>jours restants</t>
  </si>
  <si>
    <t>Découper les gabarits Fablab</t>
  </si>
  <si>
    <t>Préparer le diapo TOP Organe</t>
  </si>
  <si>
    <t>Réserver salle quizz compétition</t>
  </si>
  <si>
    <t>S'inscrire sur l'ensemble des sites FS</t>
  </si>
  <si>
    <t>Prévoir équipement (caméra,micro) quizz compétition</t>
  </si>
  <si>
    <t xml:space="preserve">Inscription FS ATA </t>
  </si>
  <si>
    <t xml:space="preserve">Prévenir Béatrice en avance du paiement </t>
  </si>
  <si>
    <t>Paiement du FS ATA</t>
  </si>
  <si>
    <t>Prédecesseur</t>
  </si>
  <si>
    <t>Retard</t>
  </si>
  <si>
    <t>Numéro</t>
  </si>
  <si>
    <t>Durée</t>
  </si>
  <si>
    <t>Fixer Date et Heure</t>
  </si>
  <si>
    <t>Fixer le lieu</t>
  </si>
  <si>
    <t>Définir les invités</t>
  </si>
  <si>
    <t>Envoyer les invitations</t>
  </si>
  <si>
    <t>Faire visuel Calendrier</t>
  </si>
  <si>
    <t>Lancer comande calendrier</t>
  </si>
  <si>
    <t>Faire Maquette goodies</t>
  </si>
  <si>
    <t>Fabriquer Goodies</t>
  </si>
  <si>
    <t>Tâche 9</t>
  </si>
  <si>
    <t>Tâche 10</t>
  </si>
  <si>
    <t>Tâche 11</t>
  </si>
  <si>
    <t xml:space="preserve">Détails du Projet </t>
  </si>
  <si>
    <t>Désignation</t>
  </si>
  <si>
    <t>Soirée remerciement sponsors</t>
  </si>
  <si>
    <t>Responsable :</t>
  </si>
  <si>
    <t>Début :</t>
  </si>
  <si>
    <t xml:space="preserve">Fin : </t>
  </si>
  <si>
    <t>Durée :</t>
  </si>
  <si>
    <t xml:space="preserve">J Restants : </t>
  </si>
  <si>
    <t>Plannifier soudure des chapes</t>
  </si>
  <si>
    <t>v0.8</t>
  </si>
  <si>
    <t xml:space="preserve">Essais traction </t>
  </si>
  <si>
    <t>Réserve séance et machine de TP IDM</t>
  </si>
  <si>
    <t>Préparer les pièces et outils nécesssaire pour le montage</t>
  </si>
  <si>
    <t>Préparer les igs et MEP de la 2er vague (Chapes LAS &amp; S700)</t>
  </si>
  <si>
    <t>Production chapes suspensions arrières</t>
  </si>
  <si>
    <t>Réalisation des essais 1 (rotules et collage alu-alu)</t>
  </si>
  <si>
    <t>Réalisation des essais 2 (collage alu-carbone)</t>
  </si>
  <si>
    <t>Commander Maxxess</t>
  </si>
  <si>
    <t>Commander la carrosserie Centrale</t>
  </si>
  <si>
    <t>Commander la carrosserie Bron</t>
  </si>
  <si>
    <t>Réaliser le gabarits chapes Portes excentriques</t>
  </si>
  <si>
    <t>Réaliser gabarits chapes carrosserie</t>
  </si>
  <si>
    <t>Réaliser gabarits chapes elec</t>
  </si>
  <si>
    <t>Réaliser gabarits chapes pédalier</t>
  </si>
  <si>
    <t>BDE</t>
  </si>
  <si>
    <t>Association</t>
  </si>
  <si>
    <t>Soirée remerciement</t>
  </si>
  <si>
    <t>EPSAlten</t>
  </si>
  <si>
    <t>Video d'intégration</t>
  </si>
  <si>
    <t>Réparation du git Intergen</t>
  </si>
  <si>
    <t>Définition du Roll Out</t>
  </si>
  <si>
    <t>Plannification du roll out</t>
  </si>
  <si>
    <t>Inviter Debouck au FS</t>
  </si>
  <si>
    <t>Paiement du FSN</t>
  </si>
  <si>
    <t>Imprimer les deadlines des compétitions &amp; ajouter au Gantt</t>
  </si>
  <si>
    <t>Introduction :</t>
  </si>
  <si>
    <t>L'objectif de cette feuille est de ...</t>
  </si>
  <si>
    <r>
      <rPr>
        <b/>
        <i/>
        <sz val="11"/>
        <color rgb="FF00B050"/>
        <rFont val="Raleway"/>
        <family val="2"/>
      </rPr>
      <t>Contact</t>
    </r>
    <r>
      <rPr>
        <sz val="11"/>
        <color theme="1"/>
        <rFont val="Raleway"/>
        <family val="2"/>
      </rPr>
      <t xml:space="preserve"> :</t>
    </r>
  </si>
  <si>
    <t>nicolas Gameiro</t>
  </si>
  <si>
    <t>nicolas.gameiro@ecl17.ec-lyon.fr</t>
  </si>
  <si>
    <t xml:space="preserve">Plannifier la cartographie à Chambery </t>
  </si>
  <si>
    <t>Recontacter Prismadd</t>
  </si>
  <si>
    <t>Partenariat Nexter Group</t>
  </si>
  <si>
    <t>Commande des textiles Asso</t>
  </si>
  <si>
    <t>Crise Incendie Boisard</t>
  </si>
  <si>
    <t>Lister l'ensemble des entreprises alternatives à Boisard</t>
  </si>
  <si>
    <t>Préparer un mail de demande de partenariat</t>
  </si>
  <si>
    <t>Affecter les entreprises à des responsables</t>
  </si>
  <si>
    <t>Préparer les MEP et igs des pièces à faire</t>
  </si>
  <si>
    <t>Définir les pièces urgents</t>
  </si>
  <si>
    <t>Envoyer un mail urgent à La Mache</t>
  </si>
  <si>
    <t>Démarcher les entreprises sélectionnées</t>
  </si>
  <si>
    <t>Formation 1As</t>
  </si>
  <si>
    <t>Lister les formations à réaliser</t>
  </si>
  <si>
    <t>Préparer formation transmission secondaire</t>
  </si>
  <si>
    <t>Préparer formation liaison au sol</t>
  </si>
  <si>
    <t>Préparer formation motorisation</t>
  </si>
  <si>
    <t>Préparer formation Mecamaster</t>
  </si>
  <si>
    <t>Préparer formation chassis</t>
  </si>
  <si>
    <t>Préparer le planning des formations 2As</t>
  </si>
  <si>
    <t>Remarques :</t>
  </si>
  <si>
    <t>Jalon</t>
  </si>
  <si>
    <t>Date</t>
  </si>
  <si>
    <t>TOP Véhicule</t>
  </si>
  <si>
    <r>
      <rPr>
        <b/>
        <sz val="14"/>
        <rFont val="Raleway"/>
        <family val="2"/>
      </rPr>
      <t>Date de début :</t>
    </r>
    <r>
      <rPr>
        <sz val="14"/>
        <rFont val="Raleway"/>
        <family val="2"/>
      </rPr>
      <t xml:space="preserve">  </t>
    </r>
  </si>
  <si>
    <r>
      <rPr>
        <b/>
        <sz val="14"/>
        <rFont val="Raleway"/>
        <family val="2"/>
      </rPr>
      <t>Date de fin :</t>
    </r>
    <r>
      <rPr>
        <sz val="14"/>
        <rFont val="Raleway"/>
        <family val="2"/>
      </rPr>
      <t xml:space="preserve"> </t>
    </r>
  </si>
  <si>
    <r>
      <rPr>
        <b/>
        <sz val="14"/>
        <rFont val="Raleway"/>
        <family val="2"/>
      </rPr>
      <t>Version :</t>
    </r>
    <r>
      <rPr>
        <sz val="14"/>
        <rFont val="Raleway"/>
        <family val="2"/>
      </rPr>
      <t xml:space="preserve"> 1.4</t>
    </r>
    <r>
      <rPr>
        <b/>
        <sz val="14"/>
        <rFont val="Raleway"/>
        <family val="2"/>
      </rPr>
      <t xml:space="preserve"> du</t>
    </r>
    <r>
      <rPr>
        <sz val="14"/>
        <rFont val="Raleway"/>
        <family val="2"/>
      </rPr>
      <t xml:space="preserve"> </t>
    </r>
  </si>
  <si>
    <r>
      <rPr>
        <b/>
        <sz val="14"/>
        <rFont val="Raleway"/>
        <family val="2"/>
      </rPr>
      <t>Projet :</t>
    </r>
    <r>
      <rPr>
        <sz val="14"/>
        <rFont val="Raleway"/>
        <family val="2"/>
      </rPr>
      <t xml:space="preserve"> </t>
    </r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</si>
  <si>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</si>
  <si>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</si>
  <si>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</si>
  <si>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</si>
  <si>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</si>
  <si>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</si>
  <si>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</si>
  <si>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</si>
  <si>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</si>
  <si>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</si>
  <si>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</si>
  <si>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</si>
  <si>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</si>
  <si>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</si>
  <si>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</si>
  <si>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</si>
  <si>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</si>
  <si>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</si>
  <si>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</si>
  <si>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</si>
  <si>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</si>
  <si>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</si>
  <si>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</si>
  <si>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</si>
  <si>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</si>
  <si>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</si>
  <si>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</si>
  <si>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</si>
  <si>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</si>
  <si>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</si>
  <si>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</si>
  <si>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</si>
  <si>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</si>
  <si>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</si>
  <si>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</si>
  <si>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</si>
  <si>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</si>
  <si>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</si>
  <si>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</si>
  <si>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Tache 1</t>
  </si>
  <si>
    <t>Tache 2</t>
  </si>
  <si>
    <t>Tache 3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</si>
  <si>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</si>
  <si>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</si>
  <si>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</si>
  <si>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</si>
  <si>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</si>
  <si>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</si>
  <si>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</si>
  <si>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</si>
  <si>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</si>
  <si>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</si>
  <si>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</si>
  <si>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</si>
  <si>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</si>
  <si>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</si>
  <si>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</si>
  <si>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</si>
  <si>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</si>
  <si>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</si>
  <si>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</si>
  <si>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</si>
  <si>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</si>
  <si>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Vacances</t>
  </si>
  <si>
    <t>Vacances Noel</t>
  </si>
  <si>
    <t>Définition des objectifs</t>
  </si>
  <si>
    <t>Modélisation</t>
  </si>
  <si>
    <t>Préconception &amp; 1er Appro</t>
  </si>
  <si>
    <t>Conception &amp; dimensionnement</t>
  </si>
  <si>
    <t>Pré-Fabrication</t>
  </si>
  <si>
    <t>Fabrication</t>
  </si>
  <si>
    <t>Département LAS</t>
  </si>
  <si>
    <t>Département Motorisation</t>
  </si>
  <si>
    <t>Département Châssis équipé</t>
  </si>
  <si>
    <t>Département Electronique</t>
  </si>
  <si>
    <t>Prévoir TOP Véhicule La Gir</t>
  </si>
  <si>
    <t xml:space="preserve">Préparer Slide TOP Véhicule </t>
  </si>
  <si>
    <t>GLD</t>
  </si>
  <si>
    <t>Découpe tubes pour  crise chassis</t>
  </si>
  <si>
    <t>Découpe des mauvais tubes &amp; soudures bons</t>
  </si>
  <si>
    <t>Soudure des dernières chapes (nouvelles las, ARB, pare feu)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</si>
</sst>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sz val="10"/>
      <color rgb="FF000000"/>
      <name val="Arial"/>
      <family val="2"/>
    </font>
    <font>
      <sz val="11"/>
      <color theme="1"/>
      <name val="Raleway"/>
      <family val="2"/>
    </font>
    <font>
      <b/>
      <sz val="11"/>
      <color theme="1"/>
      <name val="Raleway"/>
      <family val="2"/>
    </font>
    <font>
      <b/>
      <sz val="16"/>
      <name val="Raleway"/>
      <family val="2"/>
    </font>
    <font>
      <b/>
      <sz val="14"/>
      <name val="Raleway"/>
      <family val="2"/>
    </font>
    <font>
      <sz val="10"/>
      <name val="Raleway"/>
      <family val="2"/>
    </font>
    <font>
      <sz val="10"/>
      <color rgb="FF000000"/>
      <name val="Raleway"/>
      <family val="2"/>
    </font>
    <font>
      <sz val="14"/>
      <name val="Raleway"/>
      <family val="2"/>
    </font>
    <font>
      <b/>
      <sz val="12"/>
      <color theme="0"/>
      <name val="Raleway"/>
      <family val="2"/>
    </font>
    <font>
      <sz val="10"/>
      <color theme="0"/>
      <name val="Raleway"/>
      <family val="2"/>
    </font>
    <font>
      <sz val="11"/>
      <name val="Raleway"/>
      <family val="2"/>
    </font>
    <font>
      <b/>
      <sz val="10"/>
      <name val="Raleway"/>
      <family val="2"/>
    </font>
    <font>
      <b/>
      <sz val="11"/>
      <color theme="4" tint="-0.249977111117893"/>
      <name val="Raleway"/>
      <family val="2"/>
    </font>
    <font>
      <b/>
      <sz val="11"/>
      <color rgb="FF0070C0"/>
      <name val="Raleway"/>
      <family val="2"/>
    </font>
    <font>
      <sz val="10"/>
      <color rgb="FFFF0000"/>
      <name val="Raleway"/>
      <family val="2"/>
    </font>
    <font>
      <b/>
      <sz val="11"/>
      <color rgb="FFFF0000"/>
      <name val="Raleway"/>
      <family val="2"/>
    </font>
    <font>
      <b/>
      <sz val="10"/>
      <color rgb="FF000000"/>
      <name val="Raleway"/>
      <family val="2"/>
    </font>
    <font>
      <sz val="10"/>
      <color rgb="FF00B050"/>
      <name val="Raleway"/>
      <family val="2"/>
    </font>
    <font>
      <b/>
      <sz val="10"/>
      <name val="Arial"/>
      <family val="2"/>
    </font>
    <font>
      <b/>
      <sz val="11"/>
      <color theme="0" tint="-0.499984740745262"/>
      <name val="Raleway"/>
      <family val="2"/>
    </font>
    <font>
      <b/>
      <sz val="11"/>
      <color rgb="FF00B050"/>
      <name val="Raleway"/>
      <family val="2"/>
    </font>
    <font>
      <sz val="12"/>
      <name val="Raleway"/>
      <family val="2"/>
    </font>
    <font>
      <b/>
      <sz val="14"/>
      <color rgb="FFFF0000"/>
      <name val="Raleway"/>
      <family val="2"/>
    </font>
    <font>
      <b/>
      <sz val="36"/>
      <color theme="0"/>
      <name val="Century Gothic"/>
      <family val="2"/>
    </font>
    <font>
      <b/>
      <sz val="11"/>
      <color theme="3" tint="-0.499984740745262"/>
      <name val="Raleway"/>
      <family val="2"/>
    </font>
    <font>
      <b/>
      <i/>
      <sz val="11"/>
      <color theme="1"/>
      <name val="Raleway"/>
      <family val="2"/>
    </font>
    <font>
      <sz val="11"/>
      <color theme="1"/>
      <name val="Arial"/>
      <family val="2"/>
    </font>
    <font>
      <b/>
      <i/>
      <sz val="11"/>
      <color rgb="FF00B050"/>
      <name val="Raleway"/>
      <family val="2"/>
    </font>
    <font>
      <u/>
      <sz val="11"/>
      <color theme="10"/>
      <name val="Calibri"/>
      <family val="2"/>
      <scheme val="minor"/>
    </font>
    <font>
      <b/>
      <sz val="11"/>
      <name val="Raleway"/>
      <family val="2"/>
    </font>
    <font>
      <sz val="11"/>
      <color indexed="8"/>
      <name val="Helvetica Neue"/>
    </font>
  </fonts>
  <fills count="2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4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D3E9FF"/>
        <bgColor indexed="64"/>
      </patternFill>
    </fill>
    <fill>
      <patternFill patternType="solid">
        <fgColor rgb="FF19D3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60E0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B5B5B5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4020"/>
        <bgColor indexed="64"/>
      </patternFill>
    </fill>
    <fill>
      <patternFill patternType="solid">
        <fgColor rgb="FFC0A0E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17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/>
      <top style="medium">
        <color rgb="FF000000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medium">
        <color rgb="FF000000"/>
      </top>
      <bottom style="dotted">
        <color rgb="FF000000"/>
      </bottom>
      <diagonal/>
    </border>
    <border>
      <left/>
      <right/>
      <top style="medium">
        <color rgb="FF000000"/>
      </top>
      <bottom style="dotted">
        <color rgb="FF000000"/>
      </bottom>
      <diagonal/>
    </border>
    <border>
      <left/>
      <right style="thin">
        <color indexed="64"/>
      </right>
      <top style="medium">
        <color rgb="FF000000"/>
      </top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/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indexed="64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/>
      <top style="thin">
        <color rgb="FF000000"/>
      </top>
      <bottom style="thin">
        <color theme="2" tint="-0.499984740745262"/>
      </bottom>
      <diagonal/>
    </border>
    <border>
      <left/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/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medium">
        <color rgb="FF000000"/>
      </right>
      <top/>
      <bottom style="thin">
        <color theme="2" tint="-0.499984740745262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/>
      <top style="dotted">
        <color rgb="FF000000"/>
      </top>
      <bottom style="medium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medium">
        <color rgb="FF000000"/>
      </bottom>
      <diagonal/>
    </border>
    <border>
      <left/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/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 style="medium">
        <color rgb="FF000000"/>
      </bottom>
      <diagonal/>
    </border>
    <border>
      <left style="medium">
        <color rgb="FF000000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/>
      <top/>
      <bottom/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n">
        <color indexed="64"/>
      </right>
      <top/>
      <bottom/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hair">
        <color theme="0" tint="-0.14996795556505021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medium">
        <color indexed="64"/>
      </right>
      <top/>
      <bottom/>
      <diagonal/>
    </border>
    <border>
      <left style="hair">
        <color theme="0" tint="-0.14996795556505021"/>
      </left>
      <right style="medium">
        <color rgb="FF000000"/>
      </right>
      <top/>
      <bottom/>
      <diagonal/>
    </border>
    <border>
      <left/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medium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/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medium">
        <color indexed="64"/>
      </right>
      <top/>
      <bottom style="dotted">
        <color rgb="FF000000"/>
      </bottom>
      <diagonal/>
    </border>
    <border>
      <left/>
      <right style="hair">
        <color theme="0" tint="-0.14996795556505021"/>
      </right>
      <top/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/>
      <top/>
      <bottom style="dotted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/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/>
      <diagonal/>
    </border>
    <border>
      <left/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/>
      <top style="dotted">
        <color rgb="FF000000"/>
      </top>
      <bottom/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/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/>
      <diagonal/>
    </border>
    <border>
      <left/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/>
      <right style="hair">
        <color theme="0" tint="-0.14996795556505021"/>
      </right>
      <top style="dotted">
        <color indexed="64"/>
      </top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indexed="64"/>
      </top>
      <bottom style="dotted">
        <color rgb="FF000000"/>
      </bottom>
      <diagonal/>
    </border>
    <border>
      <left style="hair">
        <color theme="0" tint="-0.14996795556505021"/>
      </left>
      <right/>
      <top style="dotted">
        <color indexed="64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dotted">
        <color indexed="64"/>
      </top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dotted">
        <color indexed="64"/>
      </top>
      <bottom style="dotted">
        <color rgb="FF000000"/>
      </bottom>
      <diagonal/>
    </border>
    <border>
      <left/>
      <right style="thin">
        <color rgb="FF000000"/>
      </right>
      <top style="dotted">
        <color indexed="64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indexed="64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0.499984740745262"/>
      </bottom>
      <diagonal/>
    </border>
    <border>
      <left style="dotted">
        <color indexed="64"/>
      </left>
      <right style="hair">
        <color theme="0" tint="-0.14996795556505021"/>
      </right>
      <top style="dotted">
        <color rgb="FF000000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theme="2" tint="-0.499984740745262"/>
      </bottom>
      <diagonal/>
    </border>
    <border>
      <left/>
      <right style="hair">
        <color theme="0" tint="-0.14996795556505021"/>
      </right>
      <top style="dotted">
        <color indexed="64"/>
      </top>
      <bottom style="dotted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indexed="64"/>
      </top>
      <bottom style="dotted">
        <color indexed="64"/>
      </bottom>
      <diagonal/>
    </border>
    <border>
      <left style="hair">
        <color theme="0" tint="-0.14996795556505021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hair">
        <color theme="0" tint="-0.14996795556505021"/>
      </right>
      <top style="dotted">
        <color indexed="64"/>
      </top>
      <bottom style="dotted">
        <color indexed="64"/>
      </bottom>
      <diagonal/>
    </border>
    <border>
      <left style="hair">
        <color theme="0" tint="-0.14996795556505021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theme="0" tint="-0.14996795556505021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theme="0" tint="-0.14996795556505021"/>
      </right>
      <top/>
      <bottom style="dotted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dotted">
        <color indexed="64"/>
      </bottom>
      <diagonal/>
    </border>
    <border>
      <left style="hair">
        <color theme="0" tint="-0.14996795556505021"/>
      </left>
      <right/>
      <top/>
      <bottom style="dotted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 style="dotted">
        <color indexed="64"/>
      </bottom>
      <diagonal/>
    </border>
    <border>
      <left style="hair">
        <color theme="0" tint="-0.14996795556505021"/>
      </left>
      <right style="thin">
        <color indexed="64"/>
      </right>
      <top/>
      <bottom style="dotted">
        <color indexed="64"/>
      </bottom>
      <diagonal/>
    </border>
    <border>
      <left style="hair">
        <color theme="0" tint="-0.14996795556505021"/>
      </left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theme="0" tint="-0.14996795556505021"/>
      </right>
      <top/>
      <bottom style="medium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medium">
        <color rgb="FF000000"/>
      </bottom>
      <diagonal/>
    </border>
    <border>
      <left style="hair">
        <color theme="0" tint="-0.14996795556505021"/>
      </left>
      <right/>
      <top/>
      <bottom style="medium">
        <color rgb="FF000000"/>
      </bottom>
      <diagonal/>
    </border>
    <border>
      <left style="thin">
        <color indexed="64"/>
      </left>
      <right style="hair">
        <color theme="0" tint="-0.14996795556505021"/>
      </right>
      <top/>
      <bottom style="medium">
        <color rgb="FF000000"/>
      </bottom>
      <diagonal/>
    </border>
    <border>
      <left style="hair">
        <color theme="0" tint="-0.14996795556505021"/>
      </left>
      <right style="thin">
        <color indexed="64"/>
      </right>
      <top/>
      <bottom style="medium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theme="2" tint="-0.499984740745262"/>
      </bottom>
      <diagonal/>
    </border>
    <border>
      <left/>
      <right style="thin">
        <color indexed="64"/>
      </right>
      <top style="thin">
        <color rgb="FF000000"/>
      </top>
      <bottom style="thin">
        <color theme="2" tint="-0.499984740745262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hair">
        <color theme="0" tint="-0.14996795556505021"/>
      </right>
      <top/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n">
        <color indexed="64"/>
      </bottom>
      <diagonal/>
    </border>
    <border>
      <left style="hair">
        <color theme="0" tint="-0.14996795556505021"/>
      </left>
      <right/>
      <top/>
      <bottom style="thin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 style="thin">
        <color indexed="64"/>
      </bottom>
      <diagonal/>
    </border>
    <border>
      <left style="hair">
        <color theme="0" tint="-0.14996795556505021"/>
      </left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medium">
        <color rgb="FF000000"/>
      </left>
      <right style="hair">
        <color theme="0" tint="-0.14996795556505021"/>
      </right>
      <top/>
      <bottom style="thin">
        <color indexed="64"/>
      </bottom>
      <diagonal/>
    </border>
    <border>
      <left style="medium">
        <color indexed="64"/>
      </left>
      <right style="hair">
        <color theme="0" tint="-0.14996795556505021"/>
      </right>
      <top/>
      <bottom style="thin">
        <color indexed="64"/>
      </bottom>
      <diagonal/>
    </border>
    <border>
      <left style="hair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hair">
        <color theme="0" tint="-0.14996795556505021"/>
      </left>
      <right style="medium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 style="hair">
        <color rgb="FF000000"/>
      </right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medium">
        <color indexed="64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thin">
        <color indexed="64"/>
      </bottom>
      <diagonal/>
    </border>
    <border>
      <left style="hair">
        <color theme="0" tint="-0.14996795556505021"/>
      </left>
      <right/>
      <top style="dotted">
        <color rgb="FF000000"/>
      </top>
      <bottom style="thin">
        <color indexed="64"/>
      </bottom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 style="thin">
        <color indexed="64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thin">
        <color indexed="64"/>
      </bottom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 style="thin">
        <color indexed="64"/>
      </bottom>
      <diagonal/>
    </border>
    <border>
      <left/>
      <right style="hair">
        <color theme="0" tint="-0.14996795556505021"/>
      </right>
      <top style="dotted">
        <color rgb="FF000000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38" fillId="0" borderId="0" applyNumberFormat="0" applyFill="0" applyBorder="0" applyAlignment="0" applyProtection="0"/>
    <xf numFmtId="0" fontId="40" fillId="0" borderId="0" applyNumberFormat="0" applyFill="0" applyBorder="0" applyProtection="0">
      <alignment vertical="top"/>
    </xf>
  </cellStyleXfs>
  <cellXfs count="508">
    <xf numFmtId="0" fontId="0" fillId="0" borderId="0" xfId="0"/>
    <xf numFmtId="0" fontId="3" fillId="0" borderId="0" xfId="0" applyFont="1"/>
    <xf numFmtId="0" fontId="4" fillId="0" borderId="0" xfId="0" applyFont="1"/>
    <xf numFmtId="0" fontId="1" fillId="0" borderId="0" xfId="0" applyFont="1"/>
    <xf numFmtId="0" fontId="2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0" xfId="0" applyFont="1"/>
    <xf numFmtId="0" fontId="9" fillId="2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wrapText="1"/>
    </xf>
    <xf numFmtId="0" fontId="12" fillId="0" borderId="0" xfId="0" applyFont="1" applyAlignment="1">
      <alignment wrapText="1"/>
    </xf>
    <xf numFmtId="0" fontId="11" fillId="0" borderId="0" xfId="0" applyFont="1" applyAlignment="1">
      <alignment wrapText="1"/>
    </xf>
    <xf numFmtId="0" fontId="12" fillId="0" borderId="1" xfId="0" applyFont="1" applyBorder="1" applyAlignment="1">
      <alignment wrapText="1"/>
    </xf>
    <xf numFmtId="14" fontId="11" fillId="0" borderId="1" xfId="0" applyNumberFormat="1" applyFont="1" applyBorder="1" applyAlignment="1">
      <alignment wrapText="1"/>
    </xf>
    <xf numFmtId="0" fontId="11" fillId="0" borderId="0" xfId="0" applyFont="1" applyBorder="1" applyAlignment="1">
      <alignment wrapText="1"/>
    </xf>
    <xf numFmtId="0" fontId="14" fillId="0" borderId="0" xfId="1" applyFont="1" applyAlignment="1">
      <alignment vertical="center"/>
    </xf>
    <xf numFmtId="0" fontId="15" fillId="0" borderId="0" xfId="1" applyFont="1" applyAlignment="1">
      <alignment horizontal="center"/>
    </xf>
    <xf numFmtId="0" fontId="16" fillId="0" borderId="0" xfId="1" applyFont="1" applyAlignment="1"/>
    <xf numFmtId="0" fontId="17" fillId="3" borderId="0" xfId="1" applyFont="1" applyFill="1" applyAlignment="1">
      <alignment horizontal="left" vertical="center"/>
    </xf>
    <xf numFmtId="0" fontId="17" fillId="0" borderId="0" xfId="1" applyFont="1" applyFill="1" applyAlignment="1">
      <alignment horizontal="left" vertical="center"/>
    </xf>
    <xf numFmtId="0" fontId="15" fillId="0" borderId="0" xfId="1" applyFont="1" applyFill="1" applyAlignment="1">
      <alignment horizontal="center"/>
    </xf>
    <xf numFmtId="0" fontId="15" fillId="6" borderId="13" xfId="1" applyFont="1" applyFill="1" applyBorder="1" applyAlignment="1">
      <alignment horizontal="center"/>
    </xf>
    <xf numFmtId="0" fontId="15" fillId="6" borderId="14" xfId="1" applyFont="1" applyFill="1" applyBorder="1" applyAlignment="1">
      <alignment horizontal="center"/>
    </xf>
    <xf numFmtId="0" fontId="15" fillId="6" borderId="15" xfId="1" applyFont="1" applyFill="1" applyBorder="1" applyAlignment="1">
      <alignment horizontal="center"/>
    </xf>
    <xf numFmtId="0" fontId="15" fillId="6" borderId="16" xfId="1" applyFont="1" applyFill="1" applyBorder="1" applyAlignment="1">
      <alignment horizontal="center"/>
    </xf>
    <xf numFmtId="0" fontId="15" fillId="6" borderId="17" xfId="1" applyFont="1" applyFill="1" applyBorder="1" applyAlignment="1">
      <alignment horizontal="center"/>
    </xf>
    <xf numFmtId="0" fontId="15" fillId="6" borderId="18" xfId="1" applyFont="1" applyFill="1" applyBorder="1" applyAlignment="1">
      <alignment horizontal="center"/>
    </xf>
    <xf numFmtId="0" fontId="15" fillId="6" borderId="19" xfId="1" applyFont="1" applyFill="1" applyBorder="1" applyAlignment="1">
      <alignment horizontal="center"/>
    </xf>
    <xf numFmtId="0" fontId="15" fillId="6" borderId="20" xfId="1" applyFont="1" applyFill="1" applyBorder="1" applyAlignment="1">
      <alignment horizontal="center"/>
    </xf>
    <xf numFmtId="0" fontId="15" fillId="7" borderId="14" xfId="1" applyFont="1" applyFill="1" applyBorder="1" applyAlignment="1">
      <alignment horizontal="center"/>
    </xf>
    <xf numFmtId="0" fontId="15" fillId="6" borderId="21" xfId="1" applyFont="1" applyFill="1" applyBorder="1" applyAlignment="1">
      <alignment horizontal="center"/>
    </xf>
    <xf numFmtId="0" fontId="12" fillId="6" borderId="22" xfId="1" applyFont="1" applyFill="1" applyBorder="1" applyAlignment="1">
      <alignment horizontal="center" vertical="center"/>
    </xf>
    <xf numFmtId="0" fontId="20" fillId="6" borderId="23" xfId="1" applyFont="1" applyFill="1" applyBorder="1" applyAlignment="1">
      <alignment horizontal="center" vertical="center"/>
    </xf>
    <xf numFmtId="0" fontId="20" fillId="6" borderId="3" xfId="1" applyFont="1" applyFill="1" applyBorder="1" applyAlignment="1">
      <alignment horizontal="center" vertical="center"/>
    </xf>
    <xf numFmtId="0" fontId="15" fillId="0" borderId="24" xfId="1" applyFont="1" applyFill="1" applyBorder="1" applyAlignment="1">
      <alignment horizontal="center"/>
    </xf>
    <xf numFmtId="0" fontId="15" fillId="0" borderId="25" xfId="1" applyFont="1" applyFill="1" applyBorder="1" applyAlignment="1">
      <alignment horizontal="center"/>
    </xf>
    <xf numFmtId="0" fontId="15" fillId="0" borderId="26" xfId="1" applyFont="1" applyFill="1" applyBorder="1" applyAlignment="1">
      <alignment horizontal="center"/>
    </xf>
    <xf numFmtId="0" fontId="15" fillId="0" borderId="27" xfId="1" applyFont="1" applyFill="1" applyBorder="1" applyAlignment="1">
      <alignment horizontal="center"/>
    </xf>
    <xf numFmtId="0" fontId="15" fillId="0" borderId="28" xfId="1" applyFont="1" applyFill="1" applyBorder="1" applyAlignment="1">
      <alignment horizontal="center"/>
    </xf>
    <xf numFmtId="0" fontId="15" fillId="0" borderId="31" xfId="1" applyFont="1" applyFill="1" applyBorder="1" applyAlignment="1">
      <alignment horizontal="center"/>
    </xf>
    <xf numFmtId="0" fontId="15" fillId="9" borderId="25" xfId="1" applyFont="1" applyFill="1" applyBorder="1" applyAlignment="1">
      <alignment horizontal="center"/>
    </xf>
    <xf numFmtId="0" fontId="15" fillId="0" borderId="32" xfId="1" applyFont="1" applyFill="1" applyBorder="1" applyAlignment="1">
      <alignment horizontal="center"/>
    </xf>
    <xf numFmtId="0" fontId="15" fillId="10" borderId="25" xfId="1" applyFont="1" applyFill="1" applyBorder="1" applyAlignment="1">
      <alignment horizontal="center"/>
    </xf>
    <xf numFmtId="0" fontId="15" fillId="10" borderId="28" xfId="1" applyFont="1" applyFill="1" applyBorder="1" applyAlignment="1">
      <alignment horizontal="center"/>
    </xf>
    <xf numFmtId="0" fontId="15" fillId="10" borderId="27" xfId="1" applyFont="1" applyFill="1" applyBorder="1" applyAlignment="1">
      <alignment horizontal="center"/>
    </xf>
    <xf numFmtId="0" fontId="15" fillId="0" borderId="33" xfId="1" applyFont="1" applyFill="1" applyBorder="1" applyAlignment="1">
      <alignment horizontal="center"/>
    </xf>
    <xf numFmtId="0" fontId="15" fillId="11" borderId="27" xfId="1" applyFont="1" applyFill="1" applyBorder="1" applyAlignment="1">
      <alignment horizontal="center"/>
    </xf>
    <xf numFmtId="0" fontId="15" fillId="0" borderId="34" xfId="1" applyFont="1" applyFill="1" applyBorder="1" applyAlignment="1">
      <alignment horizontal="center"/>
    </xf>
    <xf numFmtId="0" fontId="22" fillId="0" borderId="35" xfId="1" applyFont="1" applyBorder="1" applyAlignment="1">
      <alignment horizontal="left" vertical="center"/>
    </xf>
    <xf numFmtId="0" fontId="23" fillId="0" borderId="36" xfId="1" applyFont="1" applyBorder="1" applyAlignment="1">
      <alignment horizontal="center" vertical="center"/>
    </xf>
    <xf numFmtId="0" fontId="20" fillId="12" borderId="1" xfId="1" applyFont="1" applyFill="1" applyBorder="1" applyAlignment="1">
      <alignment horizontal="center" vertical="center"/>
    </xf>
    <xf numFmtId="0" fontId="15" fillId="13" borderId="37" xfId="1" applyFont="1" applyFill="1" applyBorder="1" applyAlignment="1">
      <alignment horizontal="center"/>
    </xf>
    <xf numFmtId="0" fontId="15" fillId="13" borderId="38" xfId="1" applyFont="1" applyFill="1" applyBorder="1" applyAlignment="1">
      <alignment horizontal="center"/>
    </xf>
    <xf numFmtId="0" fontId="15" fillId="13" borderId="39" xfId="1" applyFont="1" applyFill="1" applyBorder="1" applyAlignment="1">
      <alignment horizontal="center"/>
    </xf>
    <xf numFmtId="0" fontId="15" fillId="13" borderId="40" xfId="1" applyFont="1" applyFill="1" applyBorder="1" applyAlignment="1">
      <alignment horizontal="center"/>
    </xf>
    <xf numFmtId="0" fontId="15" fillId="0" borderId="38" xfId="1" applyFont="1" applyFill="1" applyBorder="1" applyAlignment="1">
      <alignment horizontal="center"/>
    </xf>
    <xf numFmtId="0" fontId="15" fillId="0" borderId="41" xfId="1" applyFont="1" applyFill="1" applyBorder="1" applyAlignment="1">
      <alignment horizontal="center"/>
    </xf>
    <xf numFmtId="0" fontId="15" fillId="0" borderId="40" xfId="1" applyFont="1" applyFill="1" applyBorder="1" applyAlignment="1">
      <alignment horizontal="center"/>
    </xf>
    <xf numFmtId="0" fontId="15" fillId="8" borderId="38" xfId="1" applyFont="1" applyFill="1" applyBorder="1" applyAlignment="1">
      <alignment horizontal="center"/>
    </xf>
    <xf numFmtId="0" fontId="15" fillId="8" borderId="41" xfId="1" applyFont="1" applyFill="1" applyBorder="1" applyAlignment="1">
      <alignment horizontal="center"/>
    </xf>
    <xf numFmtId="0" fontId="15" fillId="8" borderId="40" xfId="1" applyFont="1" applyFill="1" applyBorder="1" applyAlignment="1">
      <alignment horizontal="center"/>
    </xf>
    <xf numFmtId="0" fontId="15" fillId="8" borderId="42" xfId="1" applyFont="1" applyFill="1" applyBorder="1" applyAlignment="1">
      <alignment horizontal="center"/>
    </xf>
    <xf numFmtId="0" fontId="15" fillId="8" borderId="43" xfId="1" applyFont="1" applyFill="1" applyBorder="1" applyAlignment="1">
      <alignment horizontal="center"/>
    </xf>
    <xf numFmtId="0" fontId="15" fillId="8" borderId="39" xfId="1" applyFont="1" applyFill="1" applyBorder="1" applyAlignment="1">
      <alignment horizontal="center"/>
    </xf>
    <xf numFmtId="0" fontId="15" fillId="0" borderId="39" xfId="1" applyFont="1" applyFill="1" applyBorder="1" applyAlignment="1">
      <alignment horizontal="center"/>
    </xf>
    <xf numFmtId="0" fontId="15" fillId="0" borderId="44" xfId="1" applyFont="1" applyFill="1" applyBorder="1" applyAlignment="1">
      <alignment horizontal="center"/>
    </xf>
    <xf numFmtId="0" fontId="15" fillId="9" borderId="38" xfId="1" applyFont="1" applyFill="1" applyBorder="1" applyAlignment="1">
      <alignment horizontal="center"/>
    </xf>
    <xf numFmtId="0" fontId="15" fillId="0" borderId="37" xfId="1" applyFont="1" applyFill="1" applyBorder="1" applyAlignment="1">
      <alignment horizontal="center"/>
    </xf>
    <xf numFmtId="0" fontId="15" fillId="10" borderId="38" xfId="1" applyFont="1" applyFill="1" applyBorder="1" applyAlignment="1">
      <alignment horizontal="center"/>
    </xf>
    <xf numFmtId="0" fontId="15" fillId="10" borderId="41" xfId="1" applyFont="1" applyFill="1" applyBorder="1" applyAlignment="1">
      <alignment horizontal="center"/>
    </xf>
    <xf numFmtId="0" fontId="15" fillId="10" borderId="40" xfId="1" applyFont="1" applyFill="1" applyBorder="1" applyAlignment="1">
      <alignment horizontal="center"/>
    </xf>
    <xf numFmtId="0" fontId="15" fillId="0" borderId="45" xfId="1" applyFont="1" applyFill="1" applyBorder="1" applyAlignment="1">
      <alignment horizontal="center"/>
    </xf>
    <xf numFmtId="0" fontId="15" fillId="11" borderId="40" xfId="1" applyFont="1" applyFill="1" applyBorder="1" applyAlignment="1">
      <alignment horizontal="center"/>
    </xf>
    <xf numFmtId="0" fontId="15" fillId="0" borderId="46" xfId="1" applyFont="1" applyFill="1" applyBorder="1" applyAlignment="1">
      <alignment horizontal="center"/>
    </xf>
    <xf numFmtId="0" fontId="22" fillId="0" borderId="47" xfId="1" applyFont="1" applyBorder="1" applyAlignment="1">
      <alignment horizontal="left" vertical="center"/>
    </xf>
    <xf numFmtId="0" fontId="23" fillId="0" borderId="48" xfId="1" applyFont="1" applyBorder="1" applyAlignment="1">
      <alignment horizontal="center" vertical="center"/>
    </xf>
    <xf numFmtId="0" fontId="20" fillId="12" borderId="49" xfId="1" applyFont="1" applyFill="1" applyBorder="1" applyAlignment="1">
      <alignment horizontal="center" vertical="center"/>
    </xf>
    <xf numFmtId="0" fontId="15" fillId="0" borderId="43" xfId="1" applyFont="1" applyFill="1" applyBorder="1" applyAlignment="1">
      <alignment horizontal="center"/>
    </xf>
    <xf numFmtId="0" fontId="15" fillId="13" borderId="41" xfId="1" applyFont="1" applyFill="1" applyBorder="1" applyAlignment="1">
      <alignment horizontal="center"/>
    </xf>
    <xf numFmtId="0" fontId="15" fillId="14" borderId="38" xfId="1" applyFont="1" applyFill="1" applyBorder="1" applyAlignment="1">
      <alignment horizontal="center"/>
    </xf>
    <xf numFmtId="0" fontId="20" fillId="15" borderId="50" xfId="1" applyFont="1" applyFill="1" applyBorder="1" applyAlignment="1">
      <alignment horizontal="center" vertical="center"/>
    </xf>
    <xf numFmtId="0" fontId="15" fillId="0" borderId="51" xfId="1" applyFont="1" applyFill="1" applyBorder="1" applyAlignment="1">
      <alignment horizontal="center"/>
    </xf>
    <xf numFmtId="0" fontId="15" fillId="0" borderId="52" xfId="1" applyFont="1" applyFill="1" applyBorder="1" applyAlignment="1">
      <alignment horizontal="center"/>
    </xf>
    <xf numFmtId="0" fontId="15" fillId="0" borderId="53" xfId="1" applyFont="1" applyFill="1" applyBorder="1" applyAlignment="1">
      <alignment horizontal="center"/>
    </xf>
    <xf numFmtId="0" fontId="15" fillId="0" borderId="54" xfId="1" applyFont="1" applyFill="1" applyBorder="1" applyAlignment="1">
      <alignment horizontal="center"/>
    </xf>
    <xf numFmtId="0" fontId="15" fillId="0" borderId="55" xfId="1" applyFont="1" applyFill="1" applyBorder="1" applyAlignment="1">
      <alignment horizontal="center"/>
    </xf>
    <xf numFmtId="0" fontId="15" fillId="8" borderId="52" xfId="1" applyFont="1" applyFill="1" applyBorder="1" applyAlignment="1">
      <alignment horizontal="center"/>
    </xf>
    <xf numFmtId="0" fontId="15" fillId="8" borderId="55" xfId="1" applyFont="1" applyFill="1" applyBorder="1" applyAlignment="1">
      <alignment horizontal="center"/>
    </xf>
    <xf numFmtId="0" fontId="15" fillId="8" borderId="54" xfId="1" applyFont="1" applyFill="1" applyBorder="1" applyAlignment="1">
      <alignment horizontal="center"/>
    </xf>
    <xf numFmtId="0" fontId="15" fillId="8" borderId="56" xfId="1" applyFont="1" applyFill="1" applyBorder="1" applyAlignment="1">
      <alignment horizontal="center"/>
    </xf>
    <xf numFmtId="0" fontId="15" fillId="8" borderId="51" xfId="1" applyFont="1" applyFill="1" applyBorder="1" applyAlignment="1">
      <alignment horizontal="center"/>
    </xf>
    <xf numFmtId="0" fontId="15" fillId="8" borderId="53" xfId="1" applyFont="1" applyFill="1" applyBorder="1" applyAlignment="1">
      <alignment horizontal="center"/>
    </xf>
    <xf numFmtId="0" fontId="15" fillId="13" borderId="54" xfId="1" applyFont="1" applyFill="1" applyBorder="1" applyAlignment="1">
      <alignment horizontal="center"/>
    </xf>
    <xf numFmtId="0" fontId="15" fillId="13" borderId="52" xfId="1" applyFont="1" applyFill="1" applyBorder="1" applyAlignment="1">
      <alignment horizontal="center"/>
    </xf>
    <xf numFmtId="0" fontId="15" fillId="13" borderId="55" xfId="1" applyFont="1" applyFill="1" applyBorder="1" applyAlignment="1">
      <alignment horizontal="center"/>
    </xf>
    <xf numFmtId="0" fontId="15" fillId="0" borderId="57" xfId="1" applyFont="1" applyFill="1" applyBorder="1" applyAlignment="1">
      <alignment horizontal="center"/>
    </xf>
    <xf numFmtId="0" fontId="15" fillId="0" borderId="58" xfId="1" applyFont="1" applyFill="1" applyBorder="1" applyAlignment="1">
      <alignment horizontal="center"/>
    </xf>
    <xf numFmtId="0" fontId="15" fillId="10" borderId="52" xfId="1" applyFont="1" applyFill="1" applyBorder="1" applyAlignment="1">
      <alignment horizontal="center"/>
    </xf>
    <xf numFmtId="0" fontId="15" fillId="10" borderId="55" xfId="1" applyFont="1" applyFill="1" applyBorder="1" applyAlignment="1">
      <alignment horizontal="center"/>
    </xf>
    <xf numFmtId="0" fontId="15" fillId="10" borderId="54" xfId="1" applyFont="1" applyFill="1" applyBorder="1" applyAlignment="1">
      <alignment horizontal="center"/>
    </xf>
    <xf numFmtId="0" fontId="15" fillId="0" borderId="59" xfId="1" applyFont="1" applyFill="1" applyBorder="1" applyAlignment="1">
      <alignment horizontal="center"/>
    </xf>
    <xf numFmtId="0" fontId="15" fillId="11" borderId="54" xfId="1" applyFont="1" applyFill="1" applyBorder="1" applyAlignment="1">
      <alignment horizontal="center"/>
    </xf>
    <xf numFmtId="0" fontId="15" fillId="0" borderId="60" xfId="1" applyFont="1" applyFill="1" applyBorder="1" applyAlignment="1">
      <alignment horizontal="center"/>
    </xf>
    <xf numFmtId="0" fontId="20" fillId="12" borderId="50" xfId="1" applyFont="1" applyFill="1" applyBorder="1" applyAlignment="1">
      <alignment horizontal="center" vertical="center"/>
    </xf>
    <xf numFmtId="0" fontId="15" fillId="0" borderId="61" xfId="1" applyFont="1" applyFill="1" applyBorder="1" applyAlignment="1">
      <alignment horizontal="center"/>
    </xf>
    <xf numFmtId="0" fontId="15" fillId="0" borderId="62" xfId="1" applyFont="1" applyFill="1" applyBorder="1" applyAlignment="1">
      <alignment horizontal="center"/>
    </xf>
    <xf numFmtId="0" fontId="15" fillId="0" borderId="63" xfId="1" applyFont="1" applyFill="1" applyBorder="1" applyAlignment="1">
      <alignment horizontal="center"/>
    </xf>
    <xf numFmtId="0" fontId="15" fillId="0" borderId="64" xfId="1" applyFont="1" applyFill="1" applyBorder="1" applyAlignment="1">
      <alignment horizontal="center"/>
    </xf>
    <xf numFmtId="0" fontId="15" fillId="0" borderId="65" xfId="1" applyFont="1" applyFill="1" applyBorder="1" applyAlignment="1">
      <alignment horizontal="center"/>
    </xf>
    <xf numFmtId="0" fontId="15" fillId="8" borderId="62" xfId="1" applyFont="1" applyFill="1" applyBorder="1" applyAlignment="1">
      <alignment horizontal="center"/>
    </xf>
    <xf numFmtId="0" fontId="15" fillId="8" borderId="65" xfId="1" applyFont="1" applyFill="1" applyBorder="1" applyAlignment="1">
      <alignment horizontal="center"/>
    </xf>
    <xf numFmtId="0" fontId="15" fillId="8" borderId="64" xfId="1" applyFont="1" applyFill="1" applyBorder="1" applyAlignment="1">
      <alignment horizontal="center"/>
    </xf>
    <xf numFmtId="0" fontId="15" fillId="8" borderId="66" xfId="1" applyFont="1" applyFill="1" applyBorder="1" applyAlignment="1">
      <alignment horizontal="center"/>
    </xf>
    <xf numFmtId="0" fontId="15" fillId="8" borderId="61" xfId="1" applyFont="1" applyFill="1" applyBorder="1" applyAlignment="1">
      <alignment horizontal="center"/>
    </xf>
    <xf numFmtId="0" fontId="15" fillId="8" borderId="63" xfId="1" applyFont="1" applyFill="1" applyBorder="1" applyAlignment="1">
      <alignment horizontal="center"/>
    </xf>
    <xf numFmtId="0" fontId="24" fillId="0" borderId="64" xfId="1" applyFont="1" applyFill="1" applyBorder="1" applyAlignment="1">
      <alignment horizontal="center"/>
    </xf>
    <xf numFmtId="0" fontId="24" fillId="0" borderId="62" xfId="1" applyFont="1" applyFill="1" applyBorder="1" applyAlignment="1">
      <alignment horizontal="center"/>
    </xf>
    <xf numFmtId="0" fontId="24" fillId="0" borderId="65" xfId="1" applyFont="1" applyFill="1" applyBorder="1" applyAlignment="1">
      <alignment horizontal="center"/>
    </xf>
    <xf numFmtId="0" fontId="15" fillId="13" borderId="64" xfId="1" applyFont="1" applyFill="1" applyBorder="1" applyAlignment="1">
      <alignment horizontal="center"/>
    </xf>
    <xf numFmtId="0" fontId="15" fillId="13" borderId="62" xfId="1" applyFont="1" applyFill="1" applyBorder="1" applyAlignment="1">
      <alignment horizontal="center"/>
    </xf>
    <xf numFmtId="0" fontId="15" fillId="14" borderId="62" xfId="1" applyFont="1" applyFill="1" applyBorder="1" applyAlignment="1">
      <alignment horizontal="center"/>
    </xf>
    <xf numFmtId="0" fontId="15" fillId="0" borderId="67" xfId="1" applyFont="1" applyFill="1" applyBorder="1" applyAlignment="1">
      <alignment horizontal="center"/>
    </xf>
    <xf numFmtId="0" fontId="15" fillId="9" borderId="62" xfId="1" applyFont="1" applyFill="1" applyBorder="1" applyAlignment="1">
      <alignment horizontal="center"/>
    </xf>
    <xf numFmtId="0" fontId="15" fillId="0" borderId="68" xfId="1" applyFont="1" applyFill="1" applyBorder="1" applyAlignment="1">
      <alignment horizontal="center"/>
    </xf>
    <xf numFmtId="0" fontId="15" fillId="10" borderId="62" xfId="1" applyFont="1" applyFill="1" applyBorder="1" applyAlignment="1">
      <alignment horizontal="center"/>
    </xf>
    <xf numFmtId="0" fontId="15" fillId="10" borderId="65" xfId="1" applyFont="1" applyFill="1" applyBorder="1" applyAlignment="1">
      <alignment horizontal="center"/>
    </xf>
    <xf numFmtId="0" fontId="15" fillId="10" borderId="64" xfId="1" applyFont="1" applyFill="1" applyBorder="1" applyAlignment="1">
      <alignment horizontal="center"/>
    </xf>
    <xf numFmtId="0" fontId="15" fillId="0" borderId="69" xfId="1" applyFont="1" applyFill="1" applyBorder="1" applyAlignment="1">
      <alignment horizontal="center"/>
    </xf>
    <xf numFmtId="0" fontId="15" fillId="11" borderId="64" xfId="1" applyFont="1" applyFill="1" applyBorder="1" applyAlignment="1">
      <alignment horizontal="center"/>
    </xf>
    <xf numFmtId="0" fontId="15" fillId="0" borderId="70" xfId="1" applyFont="1" applyFill="1" applyBorder="1" applyAlignment="1">
      <alignment horizontal="center"/>
    </xf>
    <xf numFmtId="0" fontId="15" fillId="8" borderId="25" xfId="1" applyFont="1" applyFill="1" applyBorder="1" applyAlignment="1">
      <alignment horizontal="center"/>
    </xf>
    <xf numFmtId="0" fontId="15" fillId="8" borderId="28" xfId="1" applyFont="1" applyFill="1" applyBorder="1" applyAlignment="1">
      <alignment horizontal="center"/>
    </xf>
    <xf numFmtId="0" fontId="15" fillId="8" borderId="27" xfId="1" applyFont="1" applyFill="1" applyBorder="1" applyAlignment="1">
      <alignment horizontal="center"/>
    </xf>
    <xf numFmtId="0" fontId="15" fillId="8" borderId="71" xfId="1" applyFont="1" applyFill="1" applyBorder="1" applyAlignment="1">
      <alignment horizontal="center"/>
    </xf>
    <xf numFmtId="0" fontId="15" fillId="8" borderId="24" xfId="1" applyFont="1" applyFill="1" applyBorder="1" applyAlignment="1">
      <alignment horizontal="center"/>
    </xf>
    <xf numFmtId="0" fontId="15" fillId="8" borderId="26" xfId="1" applyFont="1" applyFill="1" applyBorder="1" applyAlignment="1">
      <alignment horizontal="center"/>
    </xf>
    <xf numFmtId="0" fontId="15" fillId="13" borderId="43" xfId="1" applyFont="1" applyFill="1" applyBorder="1" applyAlignment="1">
      <alignment horizontal="center"/>
    </xf>
    <xf numFmtId="0" fontId="20" fillId="16" borderId="50" xfId="1" applyFont="1" applyFill="1" applyBorder="1" applyAlignment="1">
      <alignment horizontal="center" vertical="center"/>
    </xf>
    <xf numFmtId="0" fontId="22" fillId="0" borderId="72" xfId="1" applyFont="1" applyBorder="1" applyAlignment="1">
      <alignment horizontal="left" vertical="center"/>
    </xf>
    <xf numFmtId="0" fontId="15" fillId="14" borderId="54" xfId="1" applyFont="1" applyFill="1" applyBorder="1" applyAlignment="1">
      <alignment horizontal="center"/>
    </xf>
    <xf numFmtId="0" fontId="15" fillId="13" borderId="65" xfId="1" applyFont="1" applyFill="1" applyBorder="1" applyAlignment="1">
      <alignment horizontal="center"/>
    </xf>
    <xf numFmtId="0" fontId="24" fillId="17" borderId="38" xfId="1" applyFont="1" applyFill="1" applyBorder="1" applyAlignment="1">
      <alignment horizontal="center"/>
    </xf>
    <xf numFmtId="0" fontId="24" fillId="17" borderId="41" xfId="1" applyFont="1" applyFill="1" applyBorder="1" applyAlignment="1">
      <alignment horizontal="center"/>
    </xf>
    <xf numFmtId="0" fontId="24" fillId="17" borderId="40" xfId="1" applyFont="1" applyFill="1" applyBorder="1" applyAlignment="1">
      <alignment horizontal="center"/>
    </xf>
    <xf numFmtId="0" fontId="15" fillId="18" borderId="25" xfId="1" applyFont="1" applyFill="1" applyBorder="1" applyAlignment="1">
      <alignment horizontal="center"/>
    </xf>
    <xf numFmtId="0" fontId="15" fillId="18" borderId="28" xfId="1" applyFont="1" applyFill="1" applyBorder="1" applyAlignment="1">
      <alignment horizontal="center"/>
    </xf>
    <xf numFmtId="0" fontId="15" fillId="18" borderId="27" xfId="1" applyFont="1" applyFill="1" applyBorder="1" applyAlignment="1">
      <alignment horizontal="center"/>
    </xf>
    <xf numFmtId="0" fontId="25" fillId="0" borderId="48" xfId="1" applyFont="1" applyBorder="1" applyAlignment="1">
      <alignment horizontal="center" vertical="center"/>
    </xf>
    <xf numFmtId="0" fontId="15" fillId="18" borderId="38" xfId="1" applyFont="1" applyFill="1" applyBorder="1" applyAlignment="1">
      <alignment horizontal="center"/>
    </xf>
    <xf numFmtId="0" fontId="15" fillId="18" borderId="41" xfId="1" applyFont="1" applyFill="1" applyBorder="1" applyAlignment="1">
      <alignment horizontal="center"/>
    </xf>
    <xf numFmtId="0" fontId="15" fillId="18" borderId="40" xfId="1" applyFont="1" applyFill="1" applyBorder="1" applyAlignment="1">
      <alignment horizontal="center"/>
    </xf>
    <xf numFmtId="0" fontId="15" fillId="14" borderId="40" xfId="1" applyFont="1" applyFill="1" applyBorder="1" applyAlignment="1">
      <alignment horizontal="center"/>
    </xf>
    <xf numFmtId="0" fontId="22" fillId="0" borderId="73" xfId="1" applyFont="1" applyBorder="1" applyAlignment="1">
      <alignment horizontal="left" vertical="center"/>
    </xf>
    <xf numFmtId="0" fontId="15" fillId="18" borderId="52" xfId="1" applyFont="1" applyFill="1" applyBorder="1" applyAlignment="1">
      <alignment horizontal="center"/>
    </xf>
    <xf numFmtId="0" fontId="15" fillId="18" borderId="55" xfId="1" applyFont="1" applyFill="1" applyBorder="1" applyAlignment="1">
      <alignment horizontal="center"/>
    </xf>
    <xf numFmtId="0" fontId="15" fillId="18" borderId="54" xfId="1" applyFont="1" applyFill="1" applyBorder="1" applyAlignment="1">
      <alignment horizontal="center"/>
    </xf>
    <xf numFmtId="0" fontId="15" fillId="13" borderId="79" xfId="1" applyFont="1" applyFill="1" applyBorder="1" applyAlignment="1">
      <alignment horizontal="center"/>
    </xf>
    <xf numFmtId="0" fontId="15" fillId="0" borderId="74" xfId="1" applyFont="1" applyFill="1" applyBorder="1" applyAlignment="1">
      <alignment horizontal="center"/>
    </xf>
    <xf numFmtId="0" fontId="15" fillId="0" borderId="80" xfId="1" applyFont="1" applyFill="1" applyBorder="1" applyAlignment="1">
      <alignment horizontal="center"/>
    </xf>
    <xf numFmtId="0" fontId="15" fillId="0" borderId="76" xfId="1" applyFont="1" applyFill="1" applyBorder="1" applyAlignment="1">
      <alignment horizontal="center"/>
    </xf>
    <xf numFmtId="0" fontId="15" fillId="0" borderId="75" xfId="1" applyFont="1" applyFill="1" applyBorder="1" applyAlignment="1">
      <alignment horizontal="center"/>
    </xf>
    <xf numFmtId="0" fontId="15" fillId="8" borderId="74" xfId="1" applyFont="1" applyFill="1" applyBorder="1" applyAlignment="1">
      <alignment horizontal="center"/>
    </xf>
    <xf numFmtId="0" fontId="15" fillId="8" borderId="75" xfId="1" applyFont="1" applyFill="1" applyBorder="1" applyAlignment="1">
      <alignment horizontal="center"/>
    </xf>
    <xf numFmtId="0" fontId="15" fillId="8" borderId="76" xfId="1" applyFont="1" applyFill="1" applyBorder="1" applyAlignment="1">
      <alignment horizontal="center"/>
    </xf>
    <xf numFmtId="0" fontId="15" fillId="8" borderId="81" xfId="1" applyFont="1" applyFill="1" applyBorder="1" applyAlignment="1">
      <alignment horizontal="center"/>
    </xf>
    <xf numFmtId="0" fontId="15" fillId="8" borderId="79" xfId="1" applyFont="1" applyFill="1" applyBorder="1" applyAlignment="1">
      <alignment horizontal="center"/>
    </xf>
    <xf numFmtId="0" fontId="15" fillId="8" borderId="80" xfId="1" applyFont="1" applyFill="1" applyBorder="1" applyAlignment="1">
      <alignment horizontal="center"/>
    </xf>
    <xf numFmtId="0" fontId="15" fillId="0" borderId="82" xfId="1" applyFont="1" applyFill="1" applyBorder="1" applyAlignment="1">
      <alignment horizontal="center"/>
    </xf>
    <xf numFmtId="0" fontId="15" fillId="0" borderId="78" xfId="1" applyFont="1" applyFill="1" applyBorder="1" applyAlignment="1">
      <alignment horizontal="center"/>
    </xf>
    <xf numFmtId="0" fontId="15" fillId="18" borderId="74" xfId="1" applyFont="1" applyFill="1" applyBorder="1" applyAlignment="1">
      <alignment horizontal="center"/>
    </xf>
    <xf numFmtId="0" fontId="15" fillId="18" borderId="75" xfId="1" applyFont="1" applyFill="1" applyBorder="1" applyAlignment="1">
      <alignment horizontal="center"/>
    </xf>
    <xf numFmtId="0" fontId="15" fillId="18" borderId="76" xfId="1" applyFont="1" applyFill="1" applyBorder="1" applyAlignment="1">
      <alignment horizontal="center"/>
    </xf>
    <xf numFmtId="0" fontId="15" fillId="11" borderId="76" xfId="1" applyFont="1" applyFill="1" applyBorder="1" applyAlignment="1">
      <alignment horizontal="center"/>
    </xf>
    <xf numFmtId="0" fontId="15" fillId="0" borderId="83" xfId="1" applyFont="1" applyFill="1" applyBorder="1" applyAlignment="1">
      <alignment horizontal="center"/>
    </xf>
    <xf numFmtId="0" fontId="15" fillId="0" borderId="79" xfId="1" applyFont="1" applyFill="1" applyBorder="1" applyAlignment="1">
      <alignment horizontal="center"/>
    </xf>
    <xf numFmtId="0" fontId="15" fillId="13" borderId="74" xfId="1" applyFont="1" applyFill="1" applyBorder="1" applyAlignment="1">
      <alignment horizontal="center"/>
    </xf>
    <xf numFmtId="0" fontId="22" fillId="0" borderId="84" xfId="1" applyFont="1" applyBorder="1" applyAlignment="1">
      <alignment horizontal="left" vertical="center"/>
    </xf>
    <xf numFmtId="0" fontId="22" fillId="0" borderId="1" xfId="1" applyFont="1" applyBorder="1" applyAlignment="1">
      <alignment horizontal="left" vertical="center"/>
    </xf>
    <xf numFmtId="0" fontId="23" fillId="0" borderId="85" xfId="1" applyFont="1" applyBorder="1" applyAlignment="1">
      <alignment horizontal="center" vertical="center"/>
    </xf>
    <xf numFmtId="0" fontId="15" fillId="13" borderId="86" xfId="1" applyFont="1" applyFill="1" applyBorder="1" applyAlignment="1">
      <alignment horizontal="center"/>
    </xf>
    <xf numFmtId="0" fontId="15" fillId="13" borderId="87" xfId="1" applyFont="1" applyFill="1" applyBorder="1" applyAlignment="1">
      <alignment horizontal="center"/>
    </xf>
    <xf numFmtId="0" fontId="15" fillId="0" borderId="87" xfId="1" applyFont="1" applyFill="1" applyBorder="1" applyAlignment="1">
      <alignment horizontal="center"/>
    </xf>
    <xf numFmtId="0" fontId="15" fillId="0" borderId="88" xfId="1" applyFont="1" applyFill="1" applyBorder="1" applyAlignment="1">
      <alignment horizontal="center"/>
    </xf>
    <xf numFmtId="0" fontId="15" fillId="0" borderId="89" xfId="1" applyFont="1" applyFill="1" applyBorder="1" applyAlignment="1">
      <alignment horizontal="center"/>
    </xf>
    <xf numFmtId="0" fontId="15" fillId="0" borderId="90" xfId="1" applyFont="1" applyFill="1" applyBorder="1" applyAlignment="1">
      <alignment horizontal="center"/>
    </xf>
    <xf numFmtId="0" fontId="15" fillId="8" borderId="87" xfId="1" applyFont="1" applyFill="1" applyBorder="1" applyAlignment="1">
      <alignment horizontal="center"/>
    </xf>
    <xf numFmtId="0" fontId="15" fillId="8" borderId="90" xfId="1" applyFont="1" applyFill="1" applyBorder="1" applyAlignment="1">
      <alignment horizontal="center"/>
    </xf>
    <xf numFmtId="0" fontId="15" fillId="8" borderId="89" xfId="1" applyFont="1" applyFill="1" applyBorder="1" applyAlignment="1">
      <alignment horizontal="center"/>
    </xf>
    <xf numFmtId="0" fontId="15" fillId="8" borderId="91" xfId="1" applyFont="1" applyFill="1" applyBorder="1" applyAlignment="1">
      <alignment horizontal="center"/>
    </xf>
    <xf numFmtId="0" fontId="15" fillId="8" borderId="86" xfId="1" applyFont="1" applyFill="1" applyBorder="1" applyAlignment="1">
      <alignment horizontal="center"/>
    </xf>
    <xf numFmtId="0" fontId="15" fillId="8" borderId="88" xfId="1" applyFont="1" applyFill="1" applyBorder="1" applyAlignment="1">
      <alignment horizontal="center"/>
    </xf>
    <xf numFmtId="0" fontId="15" fillId="0" borderId="92" xfId="1" applyFont="1" applyFill="1" applyBorder="1" applyAlignment="1">
      <alignment horizontal="center"/>
    </xf>
    <xf numFmtId="0" fontId="15" fillId="0" borderId="93" xfId="1" applyFont="1" applyFill="1" applyBorder="1" applyAlignment="1">
      <alignment horizontal="center"/>
    </xf>
    <xf numFmtId="0" fontId="15" fillId="18" borderId="87" xfId="1" applyFont="1" applyFill="1" applyBorder="1" applyAlignment="1">
      <alignment horizontal="center"/>
    </xf>
    <xf numFmtId="0" fontId="15" fillId="18" borderId="90" xfId="1" applyFont="1" applyFill="1" applyBorder="1" applyAlignment="1">
      <alignment horizontal="center"/>
    </xf>
    <xf numFmtId="0" fontId="15" fillId="18" borderId="89" xfId="1" applyFont="1" applyFill="1" applyBorder="1" applyAlignment="1">
      <alignment horizontal="center"/>
    </xf>
    <xf numFmtId="0" fontId="15" fillId="11" borderId="89" xfId="1" applyFont="1" applyFill="1" applyBorder="1" applyAlignment="1">
      <alignment horizontal="center"/>
    </xf>
    <xf numFmtId="0" fontId="15" fillId="0" borderId="94" xfId="1" applyFont="1" applyFill="1" applyBorder="1" applyAlignment="1">
      <alignment horizontal="center"/>
    </xf>
    <xf numFmtId="0" fontId="15" fillId="0" borderId="86" xfId="1" applyFont="1" applyFill="1" applyBorder="1" applyAlignment="1">
      <alignment horizontal="center"/>
    </xf>
    <xf numFmtId="0" fontId="15" fillId="13" borderId="88" xfId="1" applyFont="1" applyFill="1" applyBorder="1" applyAlignment="1">
      <alignment horizontal="center"/>
    </xf>
    <xf numFmtId="0" fontId="15" fillId="13" borderId="89" xfId="1" applyFont="1" applyFill="1" applyBorder="1" applyAlignment="1">
      <alignment horizontal="center"/>
    </xf>
    <xf numFmtId="0" fontId="15" fillId="13" borderId="90" xfId="1" applyFont="1" applyFill="1" applyBorder="1" applyAlignment="1">
      <alignment horizontal="center"/>
    </xf>
    <xf numFmtId="0" fontId="15" fillId="14" borderId="87" xfId="1" applyFont="1" applyFill="1" applyBorder="1" applyAlignment="1">
      <alignment horizontal="center"/>
    </xf>
    <xf numFmtId="0" fontId="15" fillId="14" borderId="86" xfId="1" applyFont="1" applyFill="1" applyBorder="1" applyAlignment="1">
      <alignment horizontal="center"/>
    </xf>
    <xf numFmtId="0" fontId="15" fillId="13" borderId="93" xfId="1" applyFont="1" applyFill="1" applyBorder="1" applyAlignment="1">
      <alignment horizontal="center"/>
    </xf>
    <xf numFmtId="0" fontId="22" fillId="0" borderId="11" xfId="1" applyFont="1" applyBorder="1" applyAlignment="1">
      <alignment horizontal="left" vertical="center"/>
    </xf>
    <xf numFmtId="0" fontId="15" fillId="17" borderId="87" xfId="1" applyFont="1" applyFill="1" applyBorder="1" applyAlignment="1">
      <alignment horizontal="center"/>
    </xf>
    <xf numFmtId="0" fontId="15" fillId="3" borderId="87" xfId="1" applyFont="1" applyFill="1" applyBorder="1" applyAlignment="1">
      <alignment horizontal="center"/>
    </xf>
    <xf numFmtId="0" fontId="15" fillId="13" borderId="92" xfId="1" applyFont="1" applyFill="1" applyBorder="1" applyAlignment="1">
      <alignment horizontal="center"/>
    </xf>
    <xf numFmtId="0" fontId="15" fillId="3" borderId="90" xfId="1" applyFont="1" applyFill="1" applyBorder="1" applyAlignment="1">
      <alignment horizontal="center"/>
    </xf>
    <xf numFmtId="0" fontId="15" fillId="3" borderId="93" xfId="1" applyFont="1" applyFill="1" applyBorder="1" applyAlignment="1">
      <alignment horizontal="center"/>
    </xf>
    <xf numFmtId="0" fontId="15" fillId="18" borderId="93" xfId="1" applyFont="1" applyFill="1" applyBorder="1" applyAlignment="1">
      <alignment horizontal="center"/>
    </xf>
    <xf numFmtId="0" fontId="15" fillId="13" borderId="76" xfId="1" applyFont="1" applyFill="1" applyBorder="1" applyAlignment="1">
      <alignment horizontal="center"/>
    </xf>
    <xf numFmtId="0" fontId="15" fillId="13" borderId="78" xfId="1" applyFont="1" applyFill="1" applyBorder="1" applyAlignment="1">
      <alignment horizontal="center"/>
    </xf>
    <xf numFmtId="0" fontId="15" fillId="13" borderId="75" xfId="1" applyFont="1" applyFill="1" applyBorder="1" applyAlignment="1">
      <alignment horizontal="center"/>
    </xf>
    <xf numFmtId="0" fontId="12" fillId="6" borderId="2" xfId="1" applyFont="1" applyFill="1" applyBorder="1" applyAlignment="1">
      <alignment horizontal="center" vertical="center"/>
    </xf>
    <xf numFmtId="0" fontId="26" fillId="0" borderId="1" xfId="1" applyFont="1" applyBorder="1"/>
    <xf numFmtId="0" fontId="25" fillId="0" borderId="1" xfId="1" applyFont="1" applyBorder="1" applyAlignment="1">
      <alignment horizontal="center" vertical="center"/>
    </xf>
    <xf numFmtId="0" fontId="20" fillId="15" borderId="1" xfId="1" applyFont="1" applyFill="1" applyBorder="1" applyAlignment="1">
      <alignment horizontal="center" vertical="center"/>
    </xf>
    <xf numFmtId="0" fontId="23" fillId="0" borderId="1" xfId="1" applyFont="1" applyBorder="1" applyAlignment="1">
      <alignment horizontal="center" vertical="center"/>
    </xf>
    <xf numFmtId="0" fontId="20" fillId="16" borderId="1" xfId="1" applyFont="1" applyFill="1" applyBorder="1" applyAlignment="1">
      <alignment horizontal="center" vertical="center"/>
    </xf>
    <xf numFmtId="0" fontId="15" fillId="13" borderId="68" xfId="1" applyFont="1" applyFill="1" applyBorder="1" applyAlignment="1">
      <alignment horizontal="center"/>
    </xf>
    <xf numFmtId="0" fontId="15" fillId="18" borderId="64" xfId="1" applyFont="1" applyFill="1" applyBorder="1" applyAlignment="1">
      <alignment horizontal="center"/>
    </xf>
    <xf numFmtId="0" fontId="15" fillId="18" borderId="62" xfId="1" applyFont="1" applyFill="1" applyBorder="1" applyAlignment="1">
      <alignment horizontal="center"/>
    </xf>
    <xf numFmtId="0" fontId="15" fillId="18" borderId="65" xfId="1" applyFont="1" applyFill="1" applyBorder="1" applyAlignment="1">
      <alignment horizontal="center"/>
    </xf>
    <xf numFmtId="0" fontId="15" fillId="0" borderId="77" xfId="1" applyFont="1" applyFill="1" applyBorder="1" applyAlignment="1">
      <alignment horizontal="center"/>
    </xf>
    <xf numFmtId="0" fontId="12" fillId="6" borderId="11" xfId="1" applyFont="1" applyFill="1" applyBorder="1" applyAlignment="1">
      <alignment horizontal="center" vertical="center"/>
    </xf>
    <xf numFmtId="0" fontId="20" fillId="6" borderId="95" xfId="1" applyFont="1" applyFill="1" applyBorder="1" applyAlignment="1">
      <alignment horizontal="center" vertical="center"/>
    </xf>
    <xf numFmtId="0" fontId="23" fillId="0" borderId="96" xfId="1" applyFont="1" applyBorder="1" applyAlignment="1">
      <alignment horizontal="center" vertical="center"/>
    </xf>
    <xf numFmtId="0" fontId="20" fillId="12" borderId="97" xfId="1" applyFont="1" applyFill="1" applyBorder="1" applyAlignment="1">
      <alignment horizontal="center" vertical="center"/>
    </xf>
    <xf numFmtId="0" fontId="23" fillId="0" borderId="66" xfId="1" applyFont="1" applyBorder="1" applyAlignment="1">
      <alignment horizontal="center" vertical="center"/>
    </xf>
    <xf numFmtId="0" fontId="22" fillId="0" borderId="99" xfId="1" applyFont="1" applyBorder="1" applyAlignment="1">
      <alignment horizontal="left" vertical="center"/>
    </xf>
    <xf numFmtId="0" fontId="15" fillId="13" borderId="80" xfId="1" applyFont="1" applyFill="1" applyBorder="1" applyAlignment="1">
      <alignment horizontal="center"/>
    </xf>
    <xf numFmtId="0" fontId="20" fillId="12" borderId="100" xfId="1" applyFont="1" applyFill="1" applyBorder="1" applyAlignment="1">
      <alignment horizontal="center" vertical="center"/>
    </xf>
    <xf numFmtId="0" fontId="20" fillId="12" borderId="101" xfId="1" applyFont="1" applyFill="1" applyBorder="1" applyAlignment="1">
      <alignment horizontal="center" vertical="center"/>
    </xf>
    <xf numFmtId="0" fontId="15" fillId="0" borderId="102" xfId="1" applyFont="1" applyFill="1" applyBorder="1" applyAlignment="1">
      <alignment horizontal="center"/>
    </xf>
    <xf numFmtId="0" fontId="15" fillId="0" borderId="103" xfId="1" applyFont="1" applyFill="1" applyBorder="1" applyAlignment="1">
      <alignment horizontal="center"/>
    </xf>
    <xf numFmtId="0" fontId="15" fillId="0" borderId="104" xfId="1" applyFont="1" applyFill="1" applyBorder="1" applyAlignment="1">
      <alignment horizontal="center"/>
    </xf>
    <xf numFmtId="0" fontId="15" fillId="0" borderId="105" xfId="1" applyFont="1" applyFill="1" applyBorder="1" applyAlignment="1">
      <alignment horizontal="center"/>
    </xf>
    <xf numFmtId="0" fontId="15" fillId="0" borderId="106" xfId="1" applyFont="1" applyFill="1" applyBorder="1" applyAlignment="1">
      <alignment horizontal="center"/>
    </xf>
    <xf numFmtId="0" fontId="15" fillId="8" borderId="103" xfId="1" applyFont="1" applyFill="1" applyBorder="1" applyAlignment="1">
      <alignment horizontal="center"/>
    </xf>
    <xf numFmtId="0" fontId="15" fillId="8" borderId="106" xfId="1" applyFont="1" applyFill="1" applyBorder="1" applyAlignment="1">
      <alignment horizontal="center"/>
    </xf>
    <xf numFmtId="0" fontId="15" fillId="8" borderId="105" xfId="1" applyFont="1" applyFill="1" applyBorder="1" applyAlignment="1">
      <alignment horizontal="center"/>
    </xf>
    <xf numFmtId="0" fontId="15" fillId="8" borderId="107" xfId="1" applyFont="1" applyFill="1" applyBorder="1" applyAlignment="1">
      <alignment horizontal="center"/>
    </xf>
    <xf numFmtId="0" fontId="15" fillId="8" borderId="108" xfId="1" applyFont="1" applyFill="1" applyBorder="1" applyAlignment="1">
      <alignment horizontal="center"/>
    </xf>
    <xf numFmtId="0" fontId="15" fillId="8" borderId="104" xfId="1" applyFont="1" applyFill="1" applyBorder="1" applyAlignment="1">
      <alignment horizontal="center"/>
    </xf>
    <xf numFmtId="0" fontId="15" fillId="13" borderId="103" xfId="1" applyFont="1" applyFill="1" applyBorder="1" applyAlignment="1">
      <alignment horizontal="center"/>
    </xf>
    <xf numFmtId="0" fontId="15" fillId="13" borderId="106" xfId="1" applyFont="1" applyFill="1" applyBorder="1" applyAlignment="1">
      <alignment horizontal="center"/>
    </xf>
    <xf numFmtId="0" fontId="15" fillId="13" borderId="105" xfId="1" applyFont="1" applyFill="1" applyBorder="1" applyAlignment="1">
      <alignment horizontal="center"/>
    </xf>
    <xf numFmtId="0" fontId="20" fillId="12" borderId="109" xfId="1" applyFont="1" applyFill="1" applyBorder="1" applyAlignment="1">
      <alignment horizontal="center" vertical="center"/>
    </xf>
    <xf numFmtId="0" fontId="15" fillId="0" borderId="0" xfId="1" applyFont="1" applyFill="1" applyBorder="1" applyAlignment="1">
      <alignment horizontal="center"/>
    </xf>
    <xf numFmtId="0" fontId="15" fillId="0" borderId="110" xfId="1" applyFont="1" applyFill="1" applyBorder="1" applyAlignment="1">
      <alignment horizontal="center"/>
    </xf>
    <xf numFmtId="0" fontId="27" fillId="14" borderId="62" xfId="1" applyFont="1" applyFill="1" applyBorder="1" applyAlignment="1">
      <alignment horizontal="center"/>
    </xf>
    <xf numFmtId="0" fontId="15" fillId="0" borderId="112" xfId="1" applyFont="1" applyFill="1" applyBorder="1" applyAlignment="1">
      <alignment horizontal="center"/>
    </xf>
    <xf numFmtId="0" fontId="15" fillId="0" borderId="113" xfId="1" applyFont="1" applyFill="1" applyBorder="1" applyAlignment="1">
      <alignment horizontal="center"/>
    </xf>
    <xf numFmtId="0" fontId="15" fillId="0" borderId="114" xfId="1" applyFont="1" applyFill="1" applyBorder="1" applyAlignment="1">
      <alignment horizontal="center"/>
    </xf>
    <xf numFmtId="0" fontId="15" fillId="0" borderId="115" xfId="1" applyFont="1" applyFill="1" applyBorder="1" applyAlignment="1">
      <alignment horizontal="center"/>
    </xf>
    <xf numFmtId="0" fontId="15" fillId="0" borderId="116" xfId="1" applyFont="1" applyFill="1" applyBorder="1" applyAlignment="1">
      <alignment horizontal="center"/>
    </xf>
    <xf numFmtId="0" fontId="15" fillId="13" borderId="113" xfId="1" applyFont="1" applyFill="1" applyBorder="1" applyAlignment="1">
      <alignment horizontal="center"/>
    </xf>
    <xf numFmtId="0" fontId="15" fillId="13" borderId="116" xfId="1" applyFont="1" applyFill="1" applyBorder="1" applyAlignment="1">
      <alignment horizontal="center"/>
    </xf>
    <xf numFmtId="0" fontId="15" fillId="13" borderId="115" xfId="1" applyFont="1" applyFill="1" applyBorder="1" applyAlignment="1">
      <alignment horizontal="center"/>
    </xf>
    <xf numFmtId="0" fontId="20" fillId="15" borderId="118" xfId="1" applyFont="1" applyFill="1" applyBorder="1" applyAlignment="1">
      <alignment horizontal="center" vertical="center"/>
    </xf>
    <xf numFmtId="0" fontId="15" fillId="0" borderId="119" xfId="1" applyFont="1" applyFill="1" applyBorder="1" applyAlignment="1">
      <alignment horizontal="center"/>
    </xf>
    <xf numFmtId="0" fontId="15" fillId="0" borderId="120" xfId="1" applyFont="1" applyFill="1" applyBorder="1" applyAlignment="1">
      <alignment horizontal="center"/>
    </xf>
    <xf numFmtId="0" fontId="15" fillId="0" borderId="121" xfId="1" applyFont="1" applyFill="1" applyBorder="1" applyAlignment="1">
      <alignment horizontal="center"/>
    </xf>
    <xf numFmtId="0" fontId="15" fillId="0" borderId="122" xfId="1" applyFont="1" applyFill="1" applyBorder="1" applyAlignment="1">
      <alignment horizontal="center"/>
    </xf>
    <xf numFmtId="0" fontId="15" fillId="0" borderId="123" xfId="1" applyFont="1" applyFill="1" applyBorder="1" applyAlignment="1">
      <alignment horizontal="center"/>
    </xf>
    <xf numFmtId="0" fontId="15" fillId="0" borderId="124" xfId="1" applyFont="1" applyFill="1" applyBorder="1" applyAlignment="1">
      <alignment horizontal="center"/>
    </xf>
    <xf numFmtId="0" fontId="20" fillId="15" borderId="125" xfId="1" applyFont="1" applyFill="1" applyBorder="1" applyAlignment="1">
      <alignment horizontal="center" vertical="center"/>
    </xf>
    <xf numFmtId="0" fontId="15" fillId="0" borderId="126" xfId="1" applyFont="1" applyFill="1" applyBorder="1" applyAlignment="1">
      <alignment horizontal="center"/>
    </xf>
    <xf numFmtId="0" fontId="15" fillId="0" borderId="127" xfId="1" applyFont="1" applyFill="1" applyBorder="1" applyAlignment="1">
      <alignment horizontal="center"/>
    </xf>
    <xf numFmtId="0" fontId="15" fillId="0" borderId="128" xfId="1" applyFont="1" applyFill="1" applyBorder="1" applyAlignment="1">
      <alignment horizontal="center"/>
    </xf>
    <xf numFmtId="0" fontId="15" fillId="0" borderId="129" xfId="1" applyFont="1" applyFill="1" applyBorder="1" applyAlignment="1">
      <alignment horizontal="center"/>
    </xf>
    <xf numFmtId="0" fontId="15" fillId="0" borderId="130" xfId="1" applyFont="1" applyFill="1" applyBorder="1" applyAlignment="1">
      <alignment horizontal="center"/>
    </xf>
    <xf numFmtId="0" fontId="15" fillId="17" borderId="122" xfId="1" applyFont="1" applyFill="1" applyBorder="1" applyAlignment="1">
      <alignment horizontal="center"/>
    </xf>
    <xf numFmtId="0" fontId="15" fillId="17" borderId="120" xfId="1" applyFont="1" applyFill="1" applyBorder="1" applyAlignment="1">
      <alignment horizontal="center"/>
    </xf>
    <xf numFmtId="0" fontId="15" fillId="17" borderId="115" xfId="1" applyFont="1" applyFill="1" applyBorder="1" applyAlignment="1">
      <alignment horizontal="center"/>
    </xf>
    <xf numFmtId="0" fontId="15" fillId="17" borderId="113" xfId="1" applyFont="1" applyFill="1" applyBorder="1" applyAlignment="1">
      <alignment horizontal="center"/>
    </xf>
    <xf numFmtId="0" fontId="15" fillId="0" borderId="117" xfId="1" applyFont="1" applyFill="1" applyBorder="1" applyAlignment="1">
      <alignment horizontal="center"/>
    </xf>
    <xf numFmtId="0" fontId="22" fillId="0" borderId="0" xfId="1" applyFont="1" applyBorder="1" applyAlignment="1">
      <alignment horizontal="left" vertical="center"/>
    </xf>
    <xf numFmtId="0" fontId="15" fillId="6" borderId="0" xfId="1" applyFont="1" applyFill="1" applyAlignment="1">
      <alignment horizontal="center"/>
    </xf>
    <xf numFmtId="0" fontId="16" fillId="0" borderId="0" xfId="1" applyFont="1" applyFill="1" applyAlignment="1"/>
    <xf numFmtId="0" fontId="16" fillId="0" borderId="1" xfId="1" applyFont="1" applyFill="1" applyBorder="1" applyAlignment="1"/>
    <xf numFmtId="0" fontId="20" fillId="16" borderId="109" xfId="1" applyFont="1" applyFill="1" applyBorder="1" applyAlignment="1">
      <alignment horizontal="center" vertical="center"/>
    </xf>
    <xf numFmtId="0" fontId="20" fillId="19" borderId="118" xfId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28" fillId="0" borderId="0" xfId="0" applyFont="1" applyAlignment="1">
      <alignment horizontal="center"/>
    </xf>
    <xf numFmtId="0" fontId="15" fillId="14" borderId="113" xfId="1" applyFont="1" applyFill="1" applyBorder="1" applyAlignment="1">
      <alignment horizontal="center"/>
    </xf>
    <xf numFmtId="0" fontId="19" fillId="0" borderId="0" xfId="1" applyFont="1" applyAlignment="1"/>
    <xf numFmtId="14" fontId="0" fillId="0" borderId="0" xfId="0" applyNumberFormat="1"/>
    <xf numFmtId="0" fontId="20" fillId="6" borderId="12" xfId="1" applyFont="1" applyFill="1" applyBorder="1" applyAlignment="1">
      <alignment horizontal="center" vertical="center"/>
    </xf>
    <xf numFmtId="0" fontId="20" fillId="12" borderId="0" xfId="1" applyFont="1" applyFill="1" applyBorder="1" applyAlignment="1">
      <alignment horizontal="center" vertical="center"/>
    </xf>
    <xf numFmtId="0" fontId="20" fillId="16" borderId="0" xfId="1" applyFont="1" applyFill="1" applyBorder="1" applyAlignment="1">
      <alignment horizontal="center" vertical="center"/>
    </xf>
    <xf numFmtId="0" fontId="20" fillId="12" borderId="131" xfId="1" applyFont="1" applyFill="1" applyBorder="1" applyAlignment="1">
      <alignment horizontal="center" vertical="center"/>
    </xf>
    <xf numFmtId="0" fontId="20" fillId="12" borderId="132" xfId="1" applyFont="1" applyFill="1" applyBorder="1" applyAlignment="1">
      <alignment horizontal="center" vertical="center"/>
    </xf>
    <xf numFmtId="0" fontId="12" fillId="6" borderId="136" xfId="1" applyFont="1" applyFill="1" applyBorder="1" applyAlignment="1">
      <alignment horizontal="center" vertical="center"/>
    </xf>
    <xf numFmtId="0" fontId="22" fillId="0" borderId="137" xfId="1" applyFont="1" applyBorder="1" applyAlignment="1">
      <alignment horizontal="left" vertical="center"/>
    </xf>
    <xf numFmtId="0" fontId="22" fillId="0" borderId="138" xfId="1" applyFont="1" applyBorder="1" applyAlignment="1">
      <alignment horizontal="left" vertical="center"/>
    </xf>
    <xf numFmtId="0" fontId="22" fillId="0" borderId="139" xfId="1" applyFont="1" applyBorder="1" applyAlignment="1">
      <alignment horizontal="left" vertical="center"/>
    </xf>
    <xf numFmtId="0" fontId="20" fillId="6" borderId="140" xfId="1" applyFont="1" applyFill="1" applyBorder="1" applyAlignment="1">
      <alignment horizontal="center" vertical="center"/>
    </xf>
    <xf numFmtId="0" fontId="20" fillId="12" borderId="141" xfId="1" applyFont="1" applyFill="1" applyBorder="1" applyAlignment="1">
      <alignment horizontal="center" vertical="center"/>
    </xf>
    <xf numFmtId="0" fontId="20" fillId="16" borderId="99" xfId="1" applyFont="1" applyFill="1" applyBorder="1" applyAlignment="1">
      <alignment horizontal="center" vertical="center"/>
    </xf>
    <xf numFmtId="0" fontId="20" fillId="15" borderId="142" xfId="1" applyFont="1" applyFill="1" applyBorder="1" applyAlignment="1">
      <alignment horizontal="center" vertical="center"/>
    </xf>
    <xf numFmtId="0" fontId="20" fillId="15" borderId="143" xfId="1" applyFont="1" applyFill="1" applyBorder="1" applyAlignment="1">
      <alignment horizontal="center" vertical="center"/>
    </xf>
    <xf numFmtId="0" fontId="20" fillId="15" borderId="144" xfId="1" applyFont="1" applyFill="1" applyBorder="1" applyAlignment="1">
      <alignment horizontal="center" vertical="center"/>
    </xf>
    <xf numFmtId="0" fontId="20" fillId="6" borderId="66" xfId="1" applyFont="1" applyFill="1" applyBorder="1" applyAlignment="1">
      <alignment horizontal="center" vertical="center"/>
    </xf>
    <xf numFmtId="0" fontId="23" fillId="0" borderId="145" xfId="1" applyFont="1" applyBorder="1" applyAlignment="1">
      <alignment horizontal="center" vertical="center"/>
    </xf>
    <xf numFmtId="0" fontId="20" fillId="6" borderId="146" xfId="1" applyFont="1" applyFill="1" applyBorder="1" applyAlignment="1">
      <alignment horizontal="center" vertical="center"/>
    </xf>
    <xf numFmtId="0" fontId="23" fillId="0" borderId="134" xfId="1" applyFont="1" applyBorder="1" applyAlignment="1">
      <alignment horizontal="center" vertical="center"/>
    </xf>
    <xf numFmtId="0" fontId="20" fillId="6" borderId="147" xfId="1" applyFont="1" applyFill="1" applyBorder="1" applyAlignment="1">
      <alignment horizontal="center" vertical="center"/>
    </xf>
    <xf numFmtId="0" fontId="20" fillId="6" borderId="134" xfId="1" applyFont="1" applyFill="1" applyBorder="1" applyAlignment="1">
      <alignment horizontal="center" vertical="center"/>
    </xf>
    <xf numFmtId="0" fontId="23" fillId="0" borderId="133" xfId="1" applyFont="1" applyBorder="1" applyAlignment="1">
      <alignment horizontal="center" vertical="center"/>
    </xf>
    <xf numFmtId="0" fontId="23" fillId="0" borderId="135" xfId="1" applyFont="1" applyBorder="1" applyAlignment="1">
      <alignment horizontal="center" vertical="center"/>
    </xf>
    <xf numFmtId="0" fontId="25" fillId="0" borderId="133" xfId="1" applyFont="1" applyBorder="1" applyAlignment="1">
      <alignment horizontal="left" vertical="center"/>
    </xf>
    <xf numFmtId="0" fontId="25" fillId="0" borderId="134" xfId="1" applyFont="1" applyBorder="1" applyAlignment="1">
      <alignment horizontal="left" vertical="center"/>
    </xf>
    <xf numFmtId="0" fontId="30" fillId="0" borderId="134" xfId="1" applyFont="1" applyBorder="1" applyAlignment="1">
      <alignment horizontal="left" vertical="center"/>
    </xf>
    <xf numFmtId="0" fontId="23" fillId="0" borderId="134" xfId="1" applyFont="1" applyBorder="1" applyAlignment="1">
      <alignment horizontal="left" vertical="center"/>
    </xf>
    <xf numFmtId="0" fontId="29" fillId="0" borderId="134" xfId="1" applyFont="1" applyBorder="1" applyAlignment="1">
      <alignment horizontal="left" vertical="center"/>
    </xf>
    <xf numFmtId="0" fontId="29" fillId="0" borderId="135" xfId="1" applyFont="1" applyBorder="1" applyAlignment="1">
      <alignment horizontal="left" vertical="center"/>
    </xf>
    <xf numFmtId="0" fontId="17" fillId="3" borderId="0" xfId="1" applyFont="1" applyFill="1" applyAlignment="1">
      <alignment vertical="center"/>
    </xf>
    <xf numFmtId="0" fontId="17" fillId="4" borderId="0" xfId="1" applyFont="1" applyFill="1" applyAlignment="1">
      <alignment vertical="center"/>
    </xf>
    <xf numFmtId="14" fontId="17" fillId="3" borderId="0" xfId="1" applyNumberFormat="1" applyFont="1" applyFill="1" applyAlignment="1">
      <alignment vertical="center"/>
    </xf>
    <xf numFmtId="14" fontId="31" fillId="3" borderId="0" xfId="1" applyNumberFormat="1" applyFont="1" applyFill="1" applyAlignment="1">
      <alignment horizontal="center"/>
    </xf>
    <xf numFmtId="1" fontId="32" fillId="3" borderId="0" xfId="1" applyNumberFormat="1" applyFont="1" applyFill="1" applyAlignment="1">
      <alignment horizontal="left" vertical="center"/>
    </xf>
    <xf numFmtId="0" fontId="15" fillId="14" borderId="64" xfId="1" applyFont="1" applyFill="1" applyBorder="1" applyAlignment="1">
      <alignment horizontal="center"/>
    </xf>
    <xf numFmtId="0" fontId="15" fillId="17" borderId="54" xfId="1" applyFont="1" applyFill="1" applyBorder="1" applyAlignment="1">
      <alignment horizontal="center"/>
    </xf>
    <xf numFmtId="0" fontId="15" fillId="17" borderId="52" xfId="1" applyFont="1" applyFill="1" applyBorder="1" applyAlignment="1">
      <alignment horizontal="center"/>
    </xf>
    <xf numFmtId="0" fontId="15" fillId="17" borderId="55" xfId="1" applyFont="1" applyFill="1" applyBorder="1" applyAlignment="1">
      <alignment horizontal="center"/>
    </xf>
    <xf numFmtId="0" fontId="15" fillId="17" borderId="64" xfId="1" applyFont="1" applyFill="1" applyBorder="1" applyAlignment="1">
      <alignment horizontal="center"/>
    </xf>
    <xf numFmtId="0" fontId="15" fillId="17" borderId="62" xfId="1" applyFont="1" applyFill="1" applyBorder="1" applyAlignment="1">
      <alignment horizontal="center"/>
    </xf>
    <xf numFmtId="0" fontId="15" fillId="17" borderId="63" xfId="1" applyFont="1" applyFill="1" applyBorder="1" applyAlignment="1">
      <alignment horizontal="center"/>
    </xf>
    <xf numFmtId="0" fontId="15" fillId="14" borderId="67" xfId="1" applyFont="1" applyFill="1" applyBorder="1" applyAlignment="1">
      <alignment horizontal="center"/>
    </xf>
    <xf numFmtId="0" fontId="24" fillId="13" borderId="64" xfId="1" applyFont="1" applyFill="1" applyBorder="1" applyAlignment="1">
      <alignment horizontal="center"/>
    </xf>
    <xf numFmtId="0" fontId="24" fillId="13" borderId="62" xfId="1" applyFont="1" applyFill="1" applyBorder="1" applyAlignment="1">
      <alignment horizontal="center"/>
    </xf>
    <xf numFmtId="0" fontId="24" fillId="13" borderId="65" xfId="1" applyFont="1" applyFill="1" applyBorder="1" applyAlignment="1">
      <alignment horizontal="center"/>
    </xf>
    <xf numFmtId="0" fontId="15" fillId="17" borderId="53" xfId="1" applyFont="1" applyFill="1" applyBorder="1" applyAlignment="1">
      <alignment horizontal="center"/>
    </xf>
    <xf numFmtId="0" fontId="15" fillId="17" borderId="57" xfId="1" applyFont="1" applyFill="1" applyBorder="1" applyAlignment="1">
      <alignment horizontal="center"/>
    </xf>
    <xf numFmtId="0" fontId="23" fillId="0" borderId="148" xfId="1" applyFont="1" applyBorder="1" applyAlignment="1">
      <alignment horizontal="center" vertical="center"/>
    </xf>
    <xf numFmtId="0" fontId="20" fillId="12" borderId="149" xfId="1" applyFont="1" applyFill="1" applyBorder="1" applyAlignment="1">
      <alignment horizontal="center" vertical="center"/>
    </xf>
    <xf numFmtId="0" fontId="24" fillId="0" borderId="115" xfId="1" applyFont="1" applyFill="1" applyBorder="1" applyAlignment="1">
      <alignment horizontal="center"/>
    </xf>
    <xf numFmtId="0" fontId="24" fillId="0" borderId="113" xfId="1" applyFont="1" applyFill="1" applyBorder="1" applyAlignment="1">
      <alignment horizontal="center"/>
    </xf>
    <xf numFmtId="0" fontId="24" fillId="0" borderId="117" xfId="1" applyFont="1" applyFill="1" applyBorder="1" applyAlignment="1">
      <alignment horizontal="center"/>
    </xf>
    <xf numFmtId="0" fontId="24" fillId="0" borderId="76" xfId="1" applyFont="1" applyFill="1" applyBorder="1" applyAlignment="1">
      <alignment horizontal="center"/>
    </xf>
    <xf numFmtId="0" fontId="24" fillId="0" borderId="74" xfId="1" applyFont="1" applyFill="1" applyBorder="1" applyAlignment="1">
      <alignment horizontal="center"/>
    </xf>
    <xf numFmtId="0" fontId="24" fillId="0" borderId="82" xfId="1" applyFont="1" applyFill="1" applyBorder="1" applyAlignment="1">
      <alignment horizontal="center"/>
    </xf>
    <xf numFmtId="0" fontId="24" fillId="0" borderId="75" xfId="1" applyFont="1" applyFill="1" applyBorder="1" applyAlignment="1">
      <alignment horizontal="center"/>
    </xf>
    <xf numFmtId="0" fontId="24" fillId="0" borderId="116" xfId="1" applyFont="1" applyFill="1" applyBorder="1" applyAlignment="1">
      <alignment horizontal="center"/>
    </xf>
    <xf numFmtId="0" fontId="24" fillId="13" borderId="74" xfId="1" applyFont="1" applyFill="1" applyBorder="1" applyAlignment="1">
      <alignment horizontal="center"/>
    </xf>
    <xf numFmtId="0" fontId="24" fillId="13" borderId="80" xfId="1" applyFont="1" applyFill="1" applyBorder="1" applyAlignment="1">
      <alignment horizontal="center"/>
    </xf>
    <xf numFmtId="0" fontId="24" fillId="13" borderId="82" xfId="1" applyFont="1" applyFill="1" applyBorder="1" applyAlignment="1">
      <alignment horizontal="center"/>
    </xf>
    <xf numFmtId="0" fontId="24" fillId="13" borderId="75" xfId="1" applyFont="1" applyFill="1" applyBorder="1" applyAlignment="1">
      <alignment horizontal="center"/>
    </xf>
    <xf numFmtId="0" fontId="11" fillId="0" borderId="0" xfId="0" applyFont="1"/>
    <xf numFmtId="14" fontId="11" fillId="0" borderId="0" xfId="0" applyNumberFormat="1" applyFon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12" fillId="0" borderId="0" xfId="0" applyFont="1"/>
    <xf numFmtId="14" fontId="11" fillId="0" borderId="0" xfId="0" applyNumberFormat="1" applyFont="1"/>
    <xf numFmtId="0" fontId="11" fillId="0" borderId="0" xfId="0" applyFont="1" applyAlignment="1"/>
    <xf numFmtId="0" fontId="35" fillId="0" borderId="1" xfId="0" applyFont="1" applyBorder="1"/>
    <xf numFmtId="0" fontId="11" fillId="0" borderId="1" xfId="0" applyFont="1" applyBorder="1"/>
    <xf numFmtId="0" fontId="12" fillId="0" borderId="1" xfId="0" applyFont="1" applyBorder="1"/>
    <xf numFmtId="14" fontId="11" fillId="0" borderId="1" xfId="0" applyNumberFormat="1" applyFont="1" applyFill="1" applyBorder="1"/>
    <xf numFmtId="14" fontId="11" fillId="0" borderId="1" xfId="0" applyNumberFormat="1" applyFont="1" applyBorder="1"/>
    <xf numFmtId="0" fontId="25" fillId="0" borderId="1" xfId="0" applyFont="1" applyBorder="1"/>
    <xf numFmtId="14" fontId="36" fillId="0" borderId="0" xfId="0" applyNumberFormat="1" applyFont="1" applyFill="1" applyAlignment="1">
      <alignment horizontal="center" vertical="center"/>
    </xf>
    <xf numFmtId="0" fontId="36" fillId="22" borderId="0" xfId="0" applyFont="1" applyFill="1" applyAlignment="1">
      <alignment horizontal="centerContinuous" vertical="center"/>
    </xf>
    <xf numFmtId="0" fontId="36" fillId="0" borderId="0" xfId="0" applyFont="1" applyFill="1" applyAlignment="1">
      <alignment horizontal="center" vertical="center"/>
    </xf>
    <xf numFmtId="14" fontId="36" fillId="0" borderId="0" xfId="0" applyNumberFormat="1" applyFont="1" applyFill="1" applyAlignment="1">
      <alignment horizontal="center" vertical="center"/>
    </xf>
    <xf numFmtId="0" fontId="20" fillId="6" borderId="0" xfId="1" applyFont="1" applyFill="1" applyBorder="1" applyAlignment="1">
      <alignment horizontal="center" vertical="center"/>
    </xf>
    <xf numFmtId="0" fontId="15" fillId="13" borderId="82" xfId="1" applyFont="1" applyFill="1" applyBorder="1" applyAlignment="1">
      <alignment horizontal="center"/>
    </xf>
    <xf numFmtId="0" fontId="24" fillId="13" borderId="76" xfId="1" applyFont="1" applyFill="1" applyBorder="1" applyAlignment="1">
      <alignment horizontal="center"/>
    </xf>
    <xf numFmtId="0" fontId="24" fillId="13" borderId="115" xfId="1" applyFont="1" applyFill="1" applyBorder="1" applyAlignment="1">
      <alignment horizontal="center"/>
    </xf>
    <xf numFmtId="0" fontId="24" fillId="13" borderId="113" xfId="1" applyFont="1" applyFill="1" applyBorder="1" applyAlignment="1">
      <alignment horizontal="center"/>
    </xf>
    <xf numFmtId="0" fontId="24" fillId="13" borderId="116" xfId="1" applyFont="1" applyFill="1" applyBorder="1" applyAlignment="1">
      <alignment horizontal="center"/>
    </xf>
    <xf numFmtId="0" fontId="24" fillId="13" borderId="117" xfId="1" applyFont="1" applyFill="1" applyBorder="1" applyAlignment="1">
      <alignment horizontal="center"/>
    </xf>
    <xf numFmtId="0" fontId="20" fillId="20" borderId="150" xfId="1" applyFont="1" applyFill="1" applyBorder="1" applyAlignment="1">
      <alignment horizontal="center" vertical="center"/>
    </xf>
    <xf numFmtId="0" fontId="16" fillId="0" borderId="1" xfId="1" applyFont="1" applyBorder="1" applyAlignment="1">
      <alignment wrapText="1"/>
    </xf>
    <xf numFmtId="0" fontId="16" fillId="0" borderId="1" xfId="1" applyFont="1" applyBorder="1" applyAlignment="1"/>
    <xf numFmtId="0" fontId="20" fillId="19" borderId="50" xfId="1" applyFont="1" applyFill="1" applyBorder="1" applyAlignment="1">
      <alignment horizontal="center" vertical="center"/>
    </xf>
    <xf numFmtId="0" fontId="12" fillId="0" borderId="1" xfId="1" applyFont="1" applyFill="1" applyBorder="1" applyAlignment="1">
      <alignment horizontal="left" vertical="center"/>
    </xf>
    <xf numFmtId="0" fontId="15" fillId="14" borderId="88" xfId="1" applyFont="1" applyFill="1" applyBorder="1" applyAlignment="1">
      <alignment horizontal="center"/>
    </xf>
    <xf numFmtId="0" fontId="12" fillId="0" borderId="0" xfId="1" applyFont="1" applyFill="1" applyBorder="1" applyAlignment="1">
      <alignment horizontal="left" vertical="center"/>
    </xf>
    <xf numFmtId="0" fontId="20" fillId="12" borderId="142" xfId="1" applyFont="1" applyFill="1" applyBorder="1" applyAlignment="1">
      <alignment horizontal="center" vertical="center"/>
    </xf>
    <xf numFmtId="0" fontId="15" fillId="13" borderId="67" xfId="1" applyFont="1" applyFill="1" applyBorder="1" applyAlignment="1">
      <alignment horizontal="center"/>
    </xf>
    <xf numFmtId="0" fontId="15" fillId="13" borderId="63" xfId="1" applyFont="1" applyFill="1" applyBorder="1" applyAlignment="1">
      <alignment horizontal="center"/>
    </xf>
    <xf numFmtId="0" fontId="22" fillId="0" borderId="152" xfId="1" applyFont="1" applyBorder="1" applyAlignment="1">
      <alignment horizontal="left" vertical="center"/>
    </xf>
    <xf numFmtId="0" fontId="15" fillId="0" borderId="154" xfId="1" applyFont="1" applyFill="1" applyBorder="1" applyAlignment="1">
      <alignment horizontal="center"/>
    </xf>
    <xf numFmtId="0" fontId="15" fillId="0" borderId="155" xfId="1" applyFont="1" applyFill="1" applyBorder="1" applyAlignment="1">
      <alignment horizontal="center"/>
    </xf>
    <xf numFmtId="0" fontId="15" fillId="0" borderId="156" xfId="1" applyFont="1" applyFill="1" applyBorder="1" applyAlignment="1">
      <alignment horizontal="center"/>
    </xf>
    <xf numFmtId="0" fontId="15" fillId="0" borderId="157" xfId="1" applyFont="1" applyFill="1" applyBorder="1" applyAlignment="1">
      <alignment horizontal="center"/>
    </xf>
    <xf numFmtId="0" fontId="15" fillId="0" borderId="158" xfId="1" applyFont="1" applyFill="1" applyBorder="1" applyAlignment="1">
      <alignment horizontal="center"/>
    </xf>
    <xf numFmtId="0" fontId="15" fillId="8" borderId="155" xfId="1" applyFont="1" applyFill="1" applyBorder="1" applyAlignment="1">
      <alignment horizontal="center"/>
    </xf>
    <xf numFmtId="0" fontId="15" fillId="8" borderId="158" xfId="1" applyFont="1" applyFill="1" applyBorder="1" applyAlignment="1">
      <alignment horizontal="center"/>
    </xf>
    <xf numFmtId="0" fontId="15" fillId="8" borderId="157" xfId="1" applyFont="1" applyFill="1" applyBorder="1" applyAlignment="1">
      <alignment horizontal="center"/>
    </xf>
    <xf numFmtId="0" fontId="15" fillId="8" borderId="159" xfId="1" applyFont="1" applyFill="1" applyBorder="1" applyAlignment="1">
      <alignment horizontal="center"/>
    </xf>
    <xf numFmtId="0" fontId="15" fillId="8" borderId="160" xfId="1" applyFont="1" applyFill="1" applyBorder="1" applyAlignment="1">
      <alignment horizontal="center"/>
    </xf>
    <xf numFmtId="0" fontId="15" fillId="8" borderId="156" xfId="1" applyFont="1" applyFill="1" applyBorder="1" applyAlignment="1">
      <alignment horizontal="center"/>
    </xf>
    <xf numFmtId="0" fontId="15" fillId="0" borderId="161" xfId="1" applyFont="1" applyFill="1" applyBorder="1" applyAlignment="1">
      <alignment horizontal="center"/>
    </xf>
    <xf numFmtId="0" fontId="15" fillId="18" borderId="155" xfId="1" applyFont="1" applyFill="1" applyBorder="1" applyAlignment="1">
      <alignment horizontal="center"/>
    </xf>
    <xf numFmtId="0" fontId="15" fillId="18" borderId="158" xfId="1" applyFont="1" applyFill="1" applyBorder="1" applyAlignment="1">
      <alignment horizontal="center"/>
    </xf>
    <xf numFmtId="0" fontId="15" fillId="18" borderId="157" xfId="1" applyFont="1" applyFill="1" applyBorder="1" applyAlignment="1">
      <alignment horizontal="center"/>
    </xf>
    <xf numFmtId="0" fontId="15" fillId="0" borderId="162" xfId="1" applyFont="1" applyFill="1" applyBorder="1" applyAlignment="1">
      <alignment horizontal="center"/>
    </xf>
    <xf numFmtId="0" fontId="15" fillId="11" borderId="157" xfId="1" applyFont="1" applyFill="1" applyBorder="1" applyAlignment="1">
      <alignment horizontal="center"/>
    </xf>
    <xf numFmtId="0" fontId="15" fillId="0" borderId="163" xfId="1" applyFont="1" applyFill="1" applyBorder="1" applyAlignment="1">
      <alignment horizontal="center"/>
    </xf>
    <xf numFmtId="0" fontId="16" fillId="0" borderId="131" xfId="1" applyFont="1" applyBorder="1" applyAlignment="1"/>
    <xf numFmtId="0" fontId="20" fillId="16" borderId="153" xfId="1" applyFont="1" applyFill="1" applyBorder="1" applyAlignment="1">
      <alignment horizontal="center" vertical="center"/>
    </xf>
    <xf numFmtId="0" fontId="37" fillId="0" borderId="0" xfId="0" applyFont="1" applyAlignment="1">
      <alignment wrapText="1"/>
    </xf>
    <xf numFmtId="0" fontId="39" fillId="0" borderId="0" xfId="1" applyFont="1" applyBorder="1" applyAlignment="1">
      <alignment horizontal="left" vertical="center"/>
    </xf>
    <xf numFmtId="0" fontId="24" fillId="17" borderId="64" xfId="1" applyFont="1" applyFill="1" applyBorder="1" applyAlignment="1">
      <alignment horizontal="center"/>
    </xf>
    <xf numFmtId="0" fontId="24" fillId="17" borderId="62" xfId="1" applyFont="1" applyFill="1" applyBorder="1" applyAlignment="1">
      <alignment horizontal="center"/>
    </xf>
    <xf numFmtId="0" fontId="24" fillId="17" borderId="63" xfId="1" applyFont="1" applyFill="1" applyBorder="1" applyAlignment="1">
      <alignment horizontal="center"/>
    </xf>
    <xf numFmtId="0" fontId="24" fillId="17" borderId="67" xfId="1" applyFont="1" applyFill="1" applyBorder="1" applyAlignment="1">
      <alignment horizontal="center"/>
    </xf>
    <xf numFmtId="0" fontId="24" fillId="17" borderId="65" xfId="1" applyFont="1" applyFill="1" applyBorder="1" applyAlignment="1">
      <alignment horizontal="center"/>
    </xf>
    <xf numFmtId="0" fontId="20" fillId="12" borderId="98" xfId="1" applyFont="1" applyFill="1" applyBorder="1" applyAlignment="1">
      <alignment horizontal="center" vertical="center"/>
    </xf>
    <xf numFmtId="0" fontId="15" fillId="14" borderId="78" xfId="1" applyFont="1" applyFill="1" applyBorder="1" applyAlignment="1">
      <alignment horizontal="center"/>
    </xf>
    <xf numFmtId="0" fontId="15" fillId="14" borderId="154" xfId="1" applyFont="1" applyFill="1" applyBorder="1" applyAlignment="1">
      <alignment horizontal="center"/>
    </xf>
    <xf numFmtId="0" fontId="15" fillId="13" borderId="155" xfId="1" applyFont="1" applyFill="1" applyBorder="1" applyAlignment="1">
      <alignment horizontal="center"/>
    </xf>
    <xf numFmtId="0" fontId="25" fillId="0" borderId="134" xfId="1" applyFont="1" applyBorder="1" applyAlignment="1">
      <alignment horizontal="center" vertical="center"/>
    </xf>
    <xf numFmtId="0" fontId="11" fillId="0" borderId="0" xfId="0" applyFont="1" applyAlignment="1">
      <alignment wrapText="1"/>
    </xf>
    <xf numFmtId="0" fontId="18" fillId="5" borderId="5" xfId="1" applyFont="1" applyFill="1" applyBorder="1" applyAlignment="1">
      <alignment vertical="center"/>
    </xf>
    <xf numFmtId="0" fontId="20" fillId="12" borderId="153" xfId="1" applyFont="1" applyFill="1" applyBorder="1" applyAlignment="1">
      <alignment horizontal="center" vertical="center"/>
    </xf>
    <xf numFmtId="14" fontId="16" fillId="0" borderId="1" xfId="1" applyNumberFormat="1" applyFont="1" applyBorder="1" applyAlignment="1"/>
    <xf numFmtId="0" fontId="26" fillId="23" borderId="1" xfId="1" applyFont="1" applyFill="1" applyBorder="1" applyAlignment="1"/>
    <xf numFmtId="0" fontId="15" fillId="20" borderId="25" xfId="1" applyFont="1" applyFill="1" applyBorder="1" applyAlignment="1">
      <alignment horizontal="center"/>
    </xf>
    <xf numFmtId="0" fontId="15" fillId="20" borderId="38" xfId="1" applyFont="1" applyFill="1" applyBorder="1" applyAlignment="1">
      <alignment horizontal="center"/>
    </xf>
    <xf numFmtId="0" fontId="15" fillId="20" borderId="52" xfId="1" applyFont="1" applyFill="1" applyBorder="1" applyAlignment="1">
      <alignment horizontal="center"/>
    </xf>
    <xf numFmtId="0" fontId="15" fillId="20" borderId="62" xfId="1" applyFont="1" applyFill="1" applyBorder="1" applyAlignment="1">
      <alignment horizontal="center"/>
    </xf>
    <xf numFmtId="0" fontId="15" fillId="20" borderId="74" xfId="1" applyFont="1" applyFill="1" applyBorder="1" applyAlignment="1">
      <alignment horizontal="center"/>
    </xf>
    <xf numFmtId="0" fontId="15" fillId="20" borderId="87" xfId="1" applyFont="1" applyFill="1" applyBorder="1" applyAlignment="1">
      <alignment horizontal="center"/>
    </xf>
    <xf numFmtId="0" fontId="15" fillId="20" borderId="155" xfId="1" applyFont="1" applyFill="1" applyBorder="1" applyAlignment="1">
      <alignment horizontal="center"/>
    </xf>
    <xf numFmtId="0" fontId="17" fillId="3" borderId="0" xfId="1" applyFont="1" applyFill="1" applyAlignment="1">
      <alignment horizontal="right" vertical="center"/>
    </xf>
    <xf numFmtId="0" fontId="15" fillId="6" borderId="165" xfId="1" applyFont="1" applyFill="1" applyBorder="1" applyAlignment="1">
      <alignment horizontal="center"/>
    </xf>
    <xf numFmtId="0" fontId="0" fillId="18" borderId="0" xfId="0" applyFill="1"/>
    <xf numFmtId="0" fontId="15" fillId="14" borderId="25" xfId="1" applyFont="1" applyFill="1" applyBorder="1" applyAlignment="1">
      <alignment horizontal="center"/>
    </xf>
    <xf numFmtId="0" fontId="20" fillId="20" borderId="1" xfId="1" applyFont="1" applyFill="1" applyBorder="1" applyAlignment="1">
      <alignment horizontal="center" vertical="center"/>
    </xf>
    <xf numFmtId="0" fontId="20" fillId="16" borderId="111" xfId="1" applyFont="1" applyFill="1" applyBorder="1" applyAlignment="1">
      <alignment horizontal="center" vertical="center"/>
    </xf>
    <xf numFmtId="0" fontId="15" fillId="17" borderId="116" xfId="1" applyFont="1" applyFill="1" applyBorder="1" applyAlignment="1">
      <alignment horizontal="center"/>
    </xf>
    <xf numFmtId="0" fontId="15" fillId="17" borderId="117" xfId="1" applyFont="1" applyFill="1" applyBorder="1" applyAlignment="1">
      <alignment horizontal="center"/>
    </xf>
    <xf numFmtId="0" fontId="15" fillId="0" borderId="173" xfId="1" applyFont="1" applyFill="1" applyBorder="1" applyAlignment="1">
      <alignment horizontal="center"/>
    </xf>
    <xf numFmtId="0" fontId="15" fillId="0" borderId="174" xfId="1" applyFont="1" applyFill="1" applyBorder="1" applyAlignment="1">
      <alignment horizontal="center"/>
    </xf>
    <xf numFmtId="0" fontId="15" fillId="0" borderId="175" xfId="1" applyFont="1" applyFill="1" applyBorder="1" applyAlignment="1">
      <alignment horizontal="center"/>
    </xf>
    <xf numFmtId="0" fontId="15" fillId="0" borderId="172" xfId="1" applyFont="1" applyFill="1" applyBorder="1" applyAlignment="1">
      <alignment horizontal="center"/>
    </xf>
    <xf numFmtId="0" fontId="15" fillId="0" borderId="176" xfId="1" applyFont="1" applyFill="1" applyBorder="1" applyAlignment="1">
      <alignment horizontal="center"/>
    </xf>
    <xf numFmtId="0" fontId="15" fillId="20" borderId="173" xfId="1" applyFont="1" applyFill="1" applyBorder="1" applyAlignment="1">
      <alignment horizontal="center"/>
    </xf>
    <xf numFmtId="0" fontId="15" fillId="18" borderId="173" xfId="1" applyFont="1" applyFill="1" applyBorder="1" applyAlignment="1">
      <alignment horizontal="center"/>
    </xf>
    <xf numFmtId="0" fontId="15" fillId="18" borderId="172" xfId="1" applyFont="1" applyFill="1" applyBorder="1" applyAlignment="1">
      <alignment horizontal="center"/>
    </xf>
    <xf numFmtId="0" fontId="15" fillId="18" borderId="176" xfId="1" applyFont="1" applyFill="1" applyBorder="1" applyAlignment="1">
      <alignment horizontal="center"/>
    </xf>
    <xf numFmtId="0" fontId="15" fillId="13" borderId="176" xfId="1" applyFont="1" applyFill="1" applyBorder="1" applyAlignment="1">
      <alignment horizontal="center"/>
    </xf>
    <xf numFmtId="0" fontId="15" fillId="13" borderId="173" xfId="1" applyFont="1" applyFill="1" applyBorder="1" applyAlignment="1">
      <alignment horizontal="center"/>
    </xf>
    <xf numFmtId="0" fontId="15" fillId="13" borderId="177" xfId="1" applyFont="1" applyFill="1" applyBorder="1" applyAlignment="1">
      <alignment horizontal="center"/>
    </xf>
    <xf numFmtId="0" fontId="15" fillId="13" borderId="178" xfId="1" applyFont="1" applyFill="1" applyBorder="1" applyAlignment="1">
      <alignment horizontal="center"/>
    </xf>
    <xf numFmtId="0" fontId="15" fillId="11" borderId="176" xfId="1" applyFont="1" applyFill="1" applyBorder="1" applyAlignment="1">
      <alignment horizontal="center"/>
    </xf>
    <xf numFmtId="0" fontId="20" fillId="12" borderId="99" xfId="1" applyFont="1" applyFill="1" applyBorder="1" applyAlignment="1">
      <alignment horizontal="center" vertical="center"/>
    </xf>
    <xf numFmtId="0" fontId="15" fillId="17" borderId="68" xfId="1" applyFont="1" applyFill="1" applyBorder="1" applyAlignment="1">
      <alignment horizontal="center"/>
    </xf>
    <xf numFmtId="0" fontId="20" fillId="16" borderId="144" xfId="1" applyFont="1" applyFill="1" applyBorder="1" applyAlignment="1">
      <alignment horizontal="center" vertical="center"/>
    </xf>
    <xf numFmtId="0" fontId="15" fillId="8" borderId="0" xfId="1" applyFont="1" applyFill="1" applyBorder="1" applyAlignment="1">
      <alignment horizontal="center"/>
    </xf>
    <xf numFmtId="0" fontId="15" fillId="20" borderId="0" xfId="1" applyFont="1" applyFill="1" applyBorder="1" applyAlignment="1">
      <alignment horizontal="center"/>
    </xf>
    <xf numFmtId="0" fontId="15" fillId="13" borderId="0" xfId="1" applyFont="1" applyFill="1" applyBorder="1" applyAlignment="1">
      <alignment horizontal="center"/>
    </xf>
    <xf numFmtId="0" fontId="15" fillId="18" borderId="0" xfId="1" applyFont="1" applyFill="1" applyBorder="1" applyAlignment="1">
      <alignment horizontal="center"/>
    </xf>
    <xf numFmtId="0" fontId="16" fillId="0" borderId="0" xfId="1" applyFont="1" applyBorder="1" applyAlignment="1"/>
    <xf numFmtId="0" fontId="15" fillId="11" borderId="0" xfId="1" applyFont="1" applyFill="1" applyBorder="1" applyAlignment="1">
      <alignment horizontal="center"/>
    </xf>
    <xf numFmtId="0" fontId="15" fillId="14" borderId="52" xfId="1" applyFont="1" applyFill="1" applyBorder="1" applyAlignment="1">
      <alignment horizontal="center"/>
    </xf>
    <xf numFmtId="0" fontId="37" fillId="0" borderId="0" xfId="0" applyFont="1" applyAlignment="1">
      <alignment horizontal="left" wrapText="1"/>
    </xf>
    <xf numFmtId="0" fontId="12" fillId="0" borderId="0" xfId="0" applyFont="1" applyAlignment="1">
      <alignment horizontal="center" wrapText="1"/>
    </xf>
    <xf numFmtId="0" fontId="11" fillId="0" borderId="0" xfId="0" applyFont="1" applyAlignment="1">
      <alignment horizontal="left" wrapText="1"/>
    </xf>
    <xf numFmtId="0" fontId="11" fillId="0" borderId="0" xfId="0" applyFont="1" applyAlignment="1">
      <alignment wrapText="1"/>
    </xf>
    <xf numFmtId="0" fontId="38" fillId="0" borderId="0" xfId="2" applyAlignment="1">
      <alignment wrapText="1"/>
    </xf>
    <xf numFmtId="0" fontId="11" fillId="0" borderId="0" xfId="0" applyFont="1" applyAlignment="1">
      <alignment horizontal="left" vertical="top" wrapText="1"/>
    </xf>
    <xf numFmtId="0" fontId="33" fillId="21" borderId="0" xfId="0" applyFont="1" applyFill="1" applyBorder="1" applyAlignment="1">
      <alignment horizontal="center" vertical="center"/>
    </xf>
    <xf numFmtId="0" fontId="33" fillId="21" borderId="151" xfId="0" applyFont="1" applyFill="1" applyBorder="1" applyAlignment="1">
      <alignment horizontal="center" vertical="center"/>
    </xf>
    <xf numFmtId="49" fontId="18" fillId="5" borderId="4" xfId="1" applyNumberFormat="1" applyFont="1" applyFill="1" applyBorder="1" applyAlignment="1">
      <alignment horizontal="center" vertical="center"/>
    </xf>
    <xf numFmtId="0" fontId="18" fillId="5" borderId="5" xfId="1" applyFont="1" applyFill="1" applyBorder="1" applyAlignment="1">
      <alignment vertical="center"/>
    </xf>
    <xf numFmtId="0" fontId="18" fillId="5" borderId="6" xfId="1" applyFont="1" applyFill="1" applyBorder="1" applyAlignment="1">
      <alignment vertical="center"/>
    </xf>
    <xf numFmtId="49" fontId="18" fillId="5" borderId="7" xfId="1" applyNumberFormat="1" applyFont="1" applyFill="1" applyBorder="1" applyAlignment="1">
      <alignment horizontal="center" vertical="center"/>
    </xf>
    <xf numFmtId="0" fontId="18" fillId="5" borderId="8" xfId="1" applyFont="1" applyFill="1" applyBorder="1" applyAlignment="1">
      <alignment vertical="center"/>
    </xf>
    <xf numFmtId="0" fontId="18" fillId="5" borderId="9" xfId="1" applyFont="1" applyFill="1" applyBorder="1" applyAlignment="1">
      <alignment vertical="center"/>
    </xf>
    <xf numFmtId="49" fontId="18" fillId="5" borderId="5" xfId="1" applyNumberFormat="1" applyFont="1" applyFill="1" applyBorder="1" applyAlignment="1">
      <alignment horizontal="center" vertical="center"/>
    </xf>
    <xf numFmtId="0" fontId="18" fillId="5" borderId="10" xfId="1" applyFont="1" applyFill="1" applyBorder="1" applyAlignment="1">
      <alignment vertical="center"/>
    </xf>
    <xf numFmtId="0" fontId="21" fillId="8" borderId="26" xfId="1" applyFont="1" applyFill="1" applyBorder="1" applyAlignment="1">
      <alignment horizontal="center"/>
    </xf>
    <xf numFmtId="0" fontId="21" fillId="8" borderId="29" xfId="1" applyFont="1" applyFill="1" applyBorder="1" applyAlignment="1">
      <alignment horizontal="center"/>
    </xf>
    <xf numFmtId="0" fontId="21" fillId="8" borderId="30" xfId="1" applyFont="1" applyFill="1" applyBorder="1" applyAlignment="1">
      <alignment horizontal="center"/>
    </xf>
    <xf numFmtId="0" fontId="13" fillId="3" borderId="0" xfId="1" applyFont="1" applyFill="1" applyAlignment="1">
      <alignment horizontal="center" vertical="center"/>
    </xf>
    <xf numFmtId="0" fontId="13" fillId="4" borderId="0" xfId="1" applyFont="1" applyFill="1" applyAlignment="1">
      <alignment horizontal="center" vertical="center"/>
    </xf>
    <xf numFmtId="0" fontId="17" fillId="3" borderId="0" xfId="1" applyFont="1" applyFill="1" applyAlignment="1">
      <alignment horizontal="left" vertical="center"/>
    </xf>
    <xf numFmtId="0" fontId="17" fillId="4" borderId="0" xfId="1" applyFont="1" applyFill="1" applyAlignment="1">
      <alignment horizontal="left" vertical="center"/>
    </xf>
    <xf numFmtId="0" fontId="18" fillId="5" borderId="2" xfId="1" applyFont="1" applyFill="1" applyBorder="1" applyAlignment="1">
      <alignment horizontal="center" vertical="center"/>
    </xf>
    <xf numFmtId="0" fontId="19" fillId="5" borderId="11" xfId="1" applyFont="1" applyFill="1" applyBorder="1"/>
    <xf numFmtId="0" fontId="18" fillId="5" borderId="3" xfId="1" applyFont="1" applyFill="1" applyBorder="1" applyAlignment="1">
      <alignment horizontal="center" vertical="center"/>
    </xf>
    <xf numFmtId="0" fontId="19" fillId="5" borderId="12" xfId="1" applyFont="1" applyFill="1" applyBorder="1"/>
    <xf numFmtId="0" fontId="18" fillId="5" borderId="164" xfId="1" applyFont="1" applyFill="1" applyBorder="1" applyAlignment="1">
      <alignment horizontal="center" vertical="center"/>
    </xf>
    <xf numFmtId="0" fontId="0" fillId="18" borderId="170" xfId="0" applyFill="1" applyBorder="1" applyAlignment="1">
      <alignment horizontal="center"/>
    </xf>
    <xf numFmtId="0" fontId="18" fillId="5" borderId="166" xfId="1" applyFont="1" applyFill="1" applyBorder="1" applyAlignment="1">
      <alignment horizontal="center" vertical="center"/>
    </xf>
    <xf numFmtId="0" fontId="18" fillId="5" borderId="167" xfId="1" applyFont="1" applyFill="1" applyBorder="1" applyAlignment="1">
      <alignment horizontal="center" vertical="center"/>
    </xf>
    <xf numFmtId="0" fontId="18" fillId="5" borderId="168" xfId="1" applyFont="1" applyFill="1" applyBorder="1" applyAlignment="1">
      <alignment horizontal="center" vertical="center"/>
    </xf>
    <xf numFmtId="0" fontId="18" fillId="5" borderId="169" xfId="1" applyFont="1" applyFill="1" applyBorder="1" applyAlignment="1">
      <alignment horizontal="center" vertical="center"/>
    </xf>
    <xf numFmtId="0" fontId="18" fillId="5" borderId="5" xfId="1" applyFont="1" applyFill="1" applyBorder="1" applyAlignment="1">
      <alignment horizontal="center" vertical="center"/>
    </xf>
    <xf numFmtId="49" fontId="18" fillId="5" borderId="166" xfId="1" applyNumberFormat="1" applyFont="1" applyFill="1" applyBorder="1" applyAlignment="1">
      <alignment horizontal="center" vertical="center"/>
    </xf>
    <xf numFmtId="49" fontId="18" fillId="5" borderId="167" xfId="1" applyNumberFormat="1" applyFont="1" applyFill="1" applyBorder="1" applyAlignment="1">
      <alignment horizontal="center" vertical="center"/>
    </xf>
    <xf numFmtId="49" fontId="18" fillId="5" borderId="168" xfId="1" applyNumberFormat="1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23" borderId="171" xfId="0" applyFill="1" applyBorder="1" applyAlignment="1">
      <alignment horizontal="center"/>
    </xf>
    <xf numFmtId="0" fontId="0" fillId="24" borderId="171" xfId="0" applyFill="1" applyBorder="1" applyAlignment="1">
      <alignment horizontal="center"/>
    </xf>
    <xf numFmtId="0" fontId="0" fillId="25" borderId="171" xfId="0" applyFill="1" applyBorder="1" applyAlignment="1">
      <alignment horizontal="center"/>
    </xf>
    <xf numFmtId="0" fontId="0" fillId="26" borderId="0" xfId="0" applyFill="1" applyAlignment="1">
      <alignment horizontal="center"/>
    </xf>
    <xf numFmtId="0" fontId="0" fillId="27" borderId="0" xfId="0" applyFill="1" applyAlignment="1">
      <alignment horizontal="center"/>
    </xf>
    <xf numFmtId="0" fontId="34" fillId="8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</cellXfs>
  <cellStyles count="4">
    <cellStyle name="Lien hypertexte" xfId="2" builtinId="8"/>
    <cellStyle name="Normal" xfId="0" builtinId="0"/>
    <cellStyle name="Normal 2" xfId="1" xr:uid="{00000000-0005-0000-0000-000002000000}"/>
    <cellStyle name="Normal 3" xfId="3" xr:uid="{0959CDA1-BDD5-4469-81D5-1878DD7CBCBE}"/>
  </cellStyles>
  <dxfs count="12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B05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b/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</dxfs>
  <tableStyles count="0" defaultTableStyle="TableStyleMedium2" defaultPivotStyle="PivotStyleLight16"/>
  <colors>
    <mruColors>
      <color rgb="FF973A0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Nombre</a:t>
            </a:r>
            <a:r>
              <a:rPr lang="fr-FR" baseline="0"/>
              <a:t> de taches par membres</a:t>
            </a:r>
            <a:endParaRPr lang="fr-FR"/>
          </a:p>
        </c:rich>
      </c:tx>
      <c:layout>
        <c:manualLayout>
          <c:xMode val="edge"/>
          <c:yMode val="edge"/>
          <c:x val="3.0766884227967074E-2"/>
          <c:y val="2.44431038862077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2725803079924747"/>
          <c:y val="0.12793307086614172"/>
          <c:w val="0.82969812401768361"/>
          <c:h val="0.81252391838117011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Data!$H$9</c:f>
              <c:strCache>
                <c:ptCount val="1"/>
                <c:pt idx="0">
                  <c:v>Data1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Data!$C$9:$C$24</c:f>
              <c:strCache>
                <c:ptCount val="16"/>
                <c:pt idx="0">
                  <c:v>NGO</c:v>
                </c:pt>
                <c:pt idx="1">
                  <c:v>MPL</c:v>
                </c:pt>
                <c:pt idx="2">
                  <c:v>PTN</c:v>
                </c:pt>
                <c:pt idx="3">
                  <c:v>PCT</c:v>
                </c:pt>
                <c:pt idx="4">
                  <c:v>EDP</c:v>
                </c:pt>
                <c:pt idx="5">
                  <c:v>BAT</c:v>
                </c:pt>
                <c:pt idx="6">
                  <c:v>MPY</c:v>
                </c:pt>
                <c:pt idx="7">
                  <c:v>BVL</c:v>
                </c:pt>
                <c:pt idx="8">
                  <c:v>CEE</c:v>
                </c:pt>
                <c:pt idx="9">
                  <c:v>LDN</c:v>
                </c:pt>
                <c:pt idx="10">
                  <c:v>RCS</c:v>
                </c:pt>
                <c:pt idx="11">
                  <c:v>JKL</c:v>
                </c:pt>
                <c:pt idx="12">
                  <c:v>YRI</c:v>
                </c:pt>
                <c:pt idx="13">
                  <c:v>ACO</c:v>
                </c:pt>
                <c:pt idx="14">
                  <c:v>MRI</c:v>
                </c:pt>
                <c:pt idx="15">
                  <c:v>APA</c:v>
                </c:pt>
              </c:strCache>
            </c:strRef>
          </c:cat>
          <c:val>
            <c:numRef>
              <c:f>Data!$H$10:$H$25</c:f>
              <c:numCache>
                <c:formatCode>General</c:formatCode>
                <c:ptCount val="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</c:v>
                </c:pt>
                <c:pt idx="5">
                  <c:v>#N/A</c:v>
                </c:pt>
                <c:pt idx="6">
                  <c:v>4</c:v>
                </c:pt>
                <c:pt idx="7">
                  <c:v>1</c:v>
                </c:pt>
                <c:pt idx="8">
                  <c:v>#N/A</c:v>
                </c:pt>
                <c:pt idx="9">
                  <c:v>1</c:v>
                </c:pt>
                <c:pt idx="10">
                  <c:v>#N/A</c:v>
                </c:pt>
                <c:pt idx="11">
                  <c:v>3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E9-4D63-AE6B-8B5354D227AB}"/>
            </c:ext>
          </c:extLst>
        </c:ser>
        <c:ser>
          <c:idx val="1"/>
          <c:order val="1"/>
          <c:tx>
            <c:strRef>
              <c:f>Data!$I$9</c:f>
              <c:strCache>
                <c:ptCount val="1"/>
                <c:pt idx="0">
                  <c:v>Data2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Data!$C$9:$C$24</c:f>
              <c:strCache>
                <c:ptCount val="16"/>
                <c:pt idx="0">
                  <c:v>NGO</c:v>
                </c:pt>
                <c:pt idx="1">
                  <c:v>MPL</c:v>
                </c:pt>
                <c:pt idx="2">
                  <c:v>PTN</c:v>
                </c:pt>
                <c:pt idx="3">
                  <c:v>PCT</c:v>
                </c:pt>
                <c:pt idx="4">
                  <c:v>EDP</c:v>
                </c:pt>
                <c:pt idx="5">
                  <c:v>BAT</c:v>
                </c:pt>
                <c:pt idx="6">
                  <c:v>MPY</c:v>
                </c:pt>
                <c:pt idx="7">
                  <c:v>BVL</c:v>
                </c:pt>
                <c:pt idx="8">
                  <c:v>CEE</c:v>
                </c:pt>
                <c:pt idx="9">
                  <c:v>LDN</c:v>
                </c:pt>
                <c:pt idx="10">
                  <c:v>RCS</c:v>
                </c:pt>
                <c:pt idx="11">
                  <c:v>JKL</c:v>
                </c:pt>
                <c:pt idx="12">
                  <c:v>YRI</c:v>
                </c:pt>
                <c:pt idx="13">
                  <c:v>ACO</c:v>
                </c:pt>
                <c:pt idx="14">
                  <c:v>MRI</c:v>
                </c:pt>
                <c:pt idx="15">
                  <c:v>APA</c:v>
                </c:pt>
              </c:strCache>
            </c:strRef>
          </c:cat>
          <c:val>
            <c:numRef>
              <c:f>Data!$I$10:$I$25</c:f>
              <c:numCache>
                <c:formatCode>General</c:formatCode>
                <c:ptCount val="16"/>
                <c:pt idx="0">
                  <c:v>#N/A</c:v>
                </c:pt>
                <c:pt idx="1">
                  <c:v>13</c:v>
                </c:pt>
                <c:pt idx="2">
                  <c:v>10</c:v>
                </c:pt>
                <c:pt idx="3">
                  <c:v>15</c:v>
                </c:pt>
                <c:pt idx="4">
                  <c:v>#N/A</c:v>
                </c:pt>
                <c:pt idx="5">
                  <c:v>6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E9-4D63-AE6B-8B5354D227AB}"/>
            </c:ext>
          </c:extLst>
        </c:ser>
        <c:ser>
          <c:idx val="2"/>
          <c:order val="2"/>
          <c:tx>
            <c:strRef>
              <c:f>Data!$J$9</c:f>
              <c:strCache>
                <c:ptCount val="1"/>
                <c:pt idx="0">
                  <c:v>Data3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Data!$C$9:$C$24</c:f>
              <c:strCache>
                <c:ptCount val="16"/>
                <c:pt idx="0">
                  <c:v>NGO</c:v>
                </c:pt>
                <c:pt idx="1">
                  <c:v>MPL</c:v>
                </c:pt>
                <c:pt idx="2">
                  <c:v>PTN</c:v>
                </c:pt>
                <c:pt idx="3">
                  <c:v>PCT</c:v>
                </c:pt>
                <c:pt idx="4">
                  <c:v>EDP</c:v>
                </c:pt>
                <c:pt idx="5">
                  <c:v>BAT</c:v>
                </c:pt>
                <c:pt idx="6">
                  <c:v>MPY</c:v>
                </c:pt>
                <c:pt idx="7">
                  <c:v>BVL</c:v>
                </c:pt>
                <c:pt idx="8">
                  <c:v>CEE</c:v>
                </c:pt>
                <c:pt idx="9">
                  <c:v>LDN</c:v>
                </c:pt>
                <c:pt idx="10">
                  <c:v>RCS</c:v>
                </c:pt>
                <c:pt idx="11">
                  <c:v>JKL</c:v>
                </c:pt>
                <c:pt idx="12">
                  <c:v>YRI</c:v>
                </c:pt>
                <c:pt idx="13">
                  <c:v>ACO</c:v>
                </c:pt>
                <c:pt idx="14">
                  <c:v>MRI</c:v>
                </c:pt>
                <c:pt idx="15">
                  <c:v>APA</c:v>
                </c:pt>
              </c:strCache>
            </c:strRef>
          </c:cat>
          <c:val>
            <c:numRef>
              <c:f>Data!$J$10:$J$25</c:f>
              <c:numCache>
                <c:formatCode>General</c:formatCode>
                <c:ptCount val="16"/>
                <c:pt idx="0">
                  <c:v>25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21</c:v>
                </c:pt>
                <c:pt idx="9">
                  <c:v>#N/A</c:v>
                </c:pt>
                <c:pt idx="10">
                  <c:v>27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E9-4D63-AE6B-8B5354D227A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-1585793680"/>
        <c:axId val="-1585788240"/>
      </c:barChart>
      <c:catAx>
        <c:axId val="-15857936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ln w="6350" cmpd="sng">
                  <a:solidFill>
                    <a:schemeClr val="bg1"/>
                  </a:solidFill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85788240"/>
        <c:crosses val="autoZero"/>
        <c:auto val="1"/>
        <c:lblAlgn val="ctr"/>
        <c:lblOffset val="500"/>
        <c:noMultiLvlLbl val="0"/>
      </c:catAx>
      <c:valAx>
        <c:axId val="-1585788240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-1585793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 sz="1800"/>
              <a:t>Proportion des taches</a:t>
            </a:r>
          </a:p>
        </c:rich>
      </c:tx>
      <c:layout>
        <c:manualLayout>
          <c:xMode val="edge"/>
          <c:yMode val="edge"/>
          <c:x val="2.5229077860187649E-2"/>
          <c:y val="1.26834051403951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6811492177411061"/>
          <c:y val="0.17117456544347051"/>
          <c:w val="0.51021427836759881"/>
          <c:h val="0.6632785618778784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FB9-44C8-B410-725915EEBE9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FB9-44C8-B410-725915EEBE9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FB9-44C8-B410-725915EEBE91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FB9-44C8-B410-725915EEBE9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Raleway" panose="020B0503030101060003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Planning_Prod!$B$168:$B$172</c15:sqref>
                  </c15:fullRef>
                </c:ext>
              </c:extLst>
              <c:f>Planning_Prod!$B$168:$B$171</c:f>
              <c:strCache>
                <c:ptCount val="4"/>
                <c:pt idx="0">
                  <c:v>A faire</c:v>
                </c:pt>
                <c:pt idx="1">
                  <c:v>En cours</c:v>
                </c:pt>
                <c:pt idx="2">
                  <c:v>Terminée</c:v>
                </c:pt>
                <c:pt idx="3">
                  <c:v>Bloquée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Planning_Prod!$C$168:$C$172</c15:sqref>
                  </c15:fullRef>
                </c:ext>
              </c:extLst>
              <c:f>Planning_Prod!$C$168:$C$171</c:f>
              <c:numCache>
                <c:formatCode>General</c:formatCode>
                <c:ptCount val="4"/>
                <c:pt idx="0">
                  <c:v>19</c:v>
                </c:pt>
                <c:pt idx="1">
                  <c:v>17</c:v>
                </c:pt>
                <c:pt idx="2">
                  <c:v>100</c:v>
                </c:pt>
                <c:pt idx="3">
                  <c:v>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8-1FB9-44C8-B410-725915EEBE9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43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609600</xdr:colOff>
      <xdr:row>2</xdr:row>
      <xdr:rowOff>120650</xdr:rowOff>
    </xdr:from>
    <xdr:to>
      <xdr:col>16</xdr:col>
      <xdr:colOff>0</xdr:colOff>
      <xdr:row>28</xdr:row>
      <xdr:rowOff>57150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698500</xdr:colOff>
      <xdr:row>2</xdr:row>
      <xdr:rowOff>152400</xdr:rowOff>
    </xdr:from>
    <xdr:to>
      <xdr:col>8</xdr:col>
      <xdr:colOff>501650</xdr:colOff>
      <xdr:row>21</xdr:row>
      <xdr:rowOff>19050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11112</xdr:rowOff>
    </xdr:from>
    <xdr:to>
      <xdr:col>2</xdr:col>
      <xdr:colOff>635000</xdr:colOff>
      <xdr:row>13</xdr:row>
      <xdr:rowOff>61912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762000" y="2043112"/>
          <a:ext cx="1397000" cy="787400"/>
          <a:chOff x="1524000" y="4286250"/>
          <a:chExt cx="1397000" cy="787400"/>
        </a:xfrm>
      </xdr:grpSpPr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1524000" y="4286250"/>
            <a:ext cx="1397000" cy="787400"/>
          </a:xfrm>
          <a:prstGeom prst="rect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Planning_Prod!C170">
        <xdr:nvSpPr>
          <xdr:cNvPr id="4" name="ZoneText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1989759" y="4692650"/>
            <a:ext cx="448641" cy="368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7ACB5DE0-C824-46C5-A220-F858CD202EB4}" type="TxLink">
              <a:rPr lang="en-US" sz="1400" b="1" i="0" u="none" strike="noStrike">
                <a:solidFill>
                  <a:srgbClr val="000000"/>
                </a:solidFill>
                <a:latin typeface="Raleway"/>
              </a:rPr>
              <a:pPr/>
              <a:t>100</a:t>
            </a:fld>
            <a:endParaRPr lang="fr-FR" sz="4800" b="1"/>
          </a:p>
        </xdr:txBody>
      </xdr:sp>
      <xdr:sp macro="" textlink="Planning_Prod!B170">
        <xdr:nvSpPr>
          <xdr:cNvPr id="7" name="ZoneText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 txBox="1"/>
        </xdr:nvSpPr>
        <xdr:spPr>
          <a:xfrm>
            <a:off x="1581150" y="4343400"/>
            <a:ext cx="1289050" cy="368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EC5FD9B4-4677-4A53-863C-159FD5062342}" type="TxLink">
              <a:rPr lang="en-US" sz="1800" b="1" i="0" u="none" strike="noStrike">
                <a:solidFill>
                  <a:srgbClr val="000000"/>
                </a:solidFill>
                <a:latin typeface="Raleway"/>
              </a:rPr>
              <a:pPr/>
              <a:t>Terminée</a:t>
            </a:fld>
            <a:endParaRPr lang="fr-FR" sz="2400" b="1"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1</xdr:col>
      <xdr:colOff>0</xdr:colOff>
      <xdr:row>13</xdr:row>
      <xdr:rowOff>180975</xdr:rowOff>
    </xdr:from>
    <xdr:to>
      <xdr:col>2</xdr:col>
      <xdr:colOff>635000</xdr:colOff>
      <xdr:row>18</xdr:row>
      <xdr:rowOff>47625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pSpPr/>
      </xdr:nvGrpSpPr>
      <xdr:grpSpPr>
        <a:xfrm>
          <a:off x="762000" y="2949575"/>
          <a:ext cx="1397000" cy="787400"/>
          <a:chOff x="2997200" y="4286250"/>
          <a:chExt cx="1397000" cy="787400"/>
        </a:xfrm>
      </xdr:grpSpPr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2997200" y="4286250"/>
            <a:ext cx="1397000" cy="787400"/>
          </a:xfrm>
          <a:prstGeom prst="rect">
            <a:avLst/>
          </a:prstGeom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Planning_Prod!C168">
        <xdr:nvSpPr>
          <xdr:cNvPr id="11" name="ZoneTexte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3111500" y="4699000"/>
            <a:ext cx="11620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FA58D55E-C056-4A32-A447-DA8AD5C5C5C7}" type="TxLink">
              <a:rPr lang="en-US" sz="1400" b="1" i="0" u="none" strike="noStrike">
                <a:solidFill>
                  <a:srgbClr val="000000"/>
                </a:solidFill>
                <a:latin typeface="Century Gothic" panose="020B0502020202020204" pitchFamily="34" charset="0"/>
              </a:rPr>
              <a:pPr algn="ctr"/>
              <a:t>19</a:t>
            </a:fld>
            <a:endParaRPr lang="fr-FR" sz="1800" b="1">
              <a:latin typeface="Century Gothic" panose="020B0502020202020204" pitchFamily="34" charset="0"/>
            </a:endParaRPr>
          </a:p>
        </xdr:txBody>
      </xdr:sp>
      <xdr:sp macro="" textlink="Planning_Prod!B168">
        <xdr:nvSpPr>
          <xdr:cNvPr id="12" name="ZoneTexte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 txBox="1"/>
        </xdr:nvSpPr>
        <xdr:spPr>
          <a:xfrm>
            <a:off x="3124200" y="4318000"/>
            <a:ext cx="11620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7B5D2390-6283-436E-B56B-B5A11EF4C4C0}" type="TxLink">
              <a:rPr lang="en-US" sz="1800" b="1" i="0" u="none" strike="noStrike">
                <a:solidFill>
                  <a:srgbClr val="000000"/>
                </a:solidFill>
                <a:latin typeface="Century Gothic" panose="020B0502020202020204" pitchFamily="34" charset="0"/>
              </a:rPr>
              <a:pPr algn="ctr"/>
              <a:t>A faire</a:t>
            </a:fld>
            <a:endParaRPr lang="fr-FR" sz="1800" b="1"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1</xdr:col>
      <xdr:colOff>0</xdr:colOff>
      <xdr:row>18</xdr:row>
      <xdr:rowOff>166688</xdr:rowOff>
    </xdr:from>
    <xdr:to>
      <xdr:col>2</xdr:col>
      <xdr:colOff>635000</xdr:colOff>
      <xdr:row>23</xdr:row>
      <xdr:rowOff>33338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pSpPr/>
      </xdr:nvGrpSpPr>
      <xdr:grpSpPr>
        <a:xfrm>
          <a:off x="762000" y="3856038"/>
          <a:ext cx="1397000" cy="787400"/>
          <a:chOff x="4489450" y="4286250"/>
          <a:chExt cx="1397000" cy="787400"/>
        </a:xfrm>
      </xdr:grpSpPr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4489450" y="4286250"/>
            <a:ext cx="1397000" cy="787400"/>
          </a:xfrm>
          <a:prstGeom prst="rect">
            <a:avLst/>
          </a:prstGeom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Planning_Prod!C169">
        <xdr:nvSpPr>
          <xdr:cNvPr id="13" name="ZoneTexte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4610100" y="4699000"/>
            <a:ext cx="11620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67EBE90E-43E0-4724-8D10-8BC4490D9EFA}" type="TxLink">
              <a:rPr lang="en-US" sz="1400" b="1" i="0" u="none" strike="noStrike">
                <a:solidFill>
                  <a:srgbClr val="000000"/>
                </a:solidFill>
                <a:latin typeface="Century Gothic" panose="020B0502020202020204" pitchFamily="34" charset="0"/>
              </a:rPr>
              <a:pPr algn="ctr"/>
              <a:t>17</a:t>
            </a:fld>
            <a:endParaRPr lang="fr-FR" sz="1800" b="1">
              <a:latin typeface="Century Gothic" panose="020B0502020202020204" pitchFamily="34" charset="0"/>
            </a:endParaRPr>
          </a:p>
        </xdr:txBody>
      </xdr:sp>
      <xdr:sp macro="" textlink="Planning_Prod!B169">
        <xdr:nvSpPr>
          <xdr:cNvPr id="14" name="ZoneTexte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4622800" y="4318000"/>
            <a:ext cx="11620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19CD34F5-8AD7-423D-979D-A0B60962D07E}" type="TxLink">
              <a:rPr lang="en-US" sz="1800" b="1" i="0" u="none" strike="noStrike">
                <a:solidFill>
                  <a:srgbClr val="000000"/>
                </a:solidFill>
                <a:latin typeface="Century Gothic" panose="020B0502020202020204" pitchFamily="34" charset="0"/>
              </a:rPr>
              <a:pPr algn="ctr"/>
              <a:t>En cours</a:t>
            </a:fld>
            <a:endParaRPr lang="fr-FR" sz="1800" b="1"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2</xdr:col>
      <xdr:colOff>711200</xdr:colOff>
      <xdr:row>21</xdr:row>
      <xdr:rowOff>146050</xdr:rowOff>
    </xdr:from>
    <xdr:to>
      <xdr:col>8</xdr:col>
      <xdr:colOff>488950</xdr:colOff>
      <xdr:row>28</xdr:row>
      <xdr:rowOff>50800</xdr:rowOff>
    </xdr:to>
    <xdr:sp macro="" textlink="Data!I2">
      <xdr:nvSpPr>
        <xdr:cNvPr id="17" name="ZoneText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2235200" y="4387850"/>
          <a:ext cx="4349750" cy="119380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BBE812A3-6AAD-41DD-BDEB-3C2F7AC23E93}" type="TxLink">
            <a:rPr lang="en-US" sz="2400" b="1" i="1" u="none" strike="noStrike">
              <a:solidFill>
                <a:schemeClr val="bg1"/>
              </a:solidFill>
              <a:latin typeface="Century Gothic" panose="020B0502020202020204" pitchFamily="34" charset="0"/>
              <a:cs typeface="Calibri"/>
            </a:rPr>
            <a:pPr algn="ctr"/>
            <a:t>06/03/2019</a:t>
          </a:fld>
          <a:endParaRPr lang="fr-FR" sz="2400" b="1" i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0</xdr:col>
      <xdr:colOff>755650</xdr:colOff>
      <xdr:row>2</xdr:row>
      <xdr:rowOff>165100</xdr:rowOff>
    </xdr:from>
    <xdr:to>
      <xdr:col>2</xdr:col>
      <xdr:colOff>628650</xdr:colOff>
      <xdr:row>8</xdr:row>
      <xdr:rowOff>57150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755650" y="908050"/>
          <a:ext cx="1397000" cy="996950"/>
          <a:chOff x="1517650" y="5784850"/>
          <a:chExt cx="1397000" cy="787400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>
            <a:off x="1517650" y="5784850"/>
            <a:ext cx="1397000" cy="787400"/>
          </a:xfrm>
          <a:prstGeom prst="rect">
            <a:avLst/>
          </a:prstGeom>
          <a:solidFill>
            <a:schemeClr val="bg2">
              <a:lumMod val="75000"/>
            </a:schemeClr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Planning_Prod!C173">
        <xdr:nvSpPr>
          <xdr:cNvPr id="20" name="ZoneTexte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 txBox="1"/>
        </xdr:nvSpPr>
        <xdr:spPr>
          <a:xfrm>
            <a:off x="1938959" y="6184900"/>
            <a:ext cx="581991" cy="368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80872C6-F660-43D1-9B99-980C5110A3DF}" type="TxLink">
              <a:rPr lang="en-US" sz="1800" b="1" i="0" u="none" strike="noStrike">
                <a:solidFill>
                  <a:srgbClr val="000000"/>
                </a:solidFill>
                <a:latin typeface="Raleway"/>
              </a:rPr>
              <a:pPr algn="ctr"/>
              <a:t>141</a:t>
            </a:fld>
            <a:endParaRPr lang="fr-FR" sz="8800" b="1"/>
          </a:p>
        </xdr:txBody>
      </xdr:sp>
      <xdr:sp macro="" textlink="Planning_Prod!B173">
        <xdr:nvSpPr>
          <xdr:cNvPr id="21" name="ZoneTexte 20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 txBox="1"/>
        </xdr:nvSpPr>
        <xdr:spPr>
          <a:xfrm>
            <a:off x="1574800" y="5842000"/>
            <a:ext cx="1289050" cy="368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833D08F8-6637-4C10-932B-EA89183F7073}" type="TxLink">
              <a:rPr lang="en-US" sz="1800" b="1" i="0" u="none" strike="noStrike">
                <a:solidFill>
                  <a:srgbClr val="000000"/>
                </a:solidFill>
                <a:latin typeface="Raleway"/>
              </a:rPr>
              <a:pPr algn="ctr"/>
              <a:t>Total</a:t>
            </a:fld>
            <a:endParaRPr lang="fr-FR" sz="4800" b="1"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1</xdr:col>
      <xdr:colOff>0</xdr:colOff>
      <xdr:row>23</xdr:row>
      <xdr:rowOff>139700</xdr:rowOff>
    </xdr:from>
    <xdr:to>
      <xdr:col>2</xdr:col>
      <xdr:colOff>635000</xdr:colOff>
      <xdr:row>28</xdr:row>
      <xdr:rowOff>25400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E784E19A-A9EC-43C6-B2B0-7AAAF752AE41}"/>
            </a:ext>
          </a:extLst>
        </xdr:cNvPr>
        <xdr:cNvGrpSpPr/>
      </xdr:nvGrpSpPr>
      <xdr:grpSpPr>
        <a:xfrm>
          <a:off x="762000" y="4749800"/>
          <a:ext cx="1397000" cy="806450"/>
          <a:chOff x="762000" y="4749800"/>
          <a:chExt cx="1397000" cy="806450"/>
        </a:xfrm>
      </xdr:grpSpPr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762000" y="4762500"/>
            <a:ext cx="1397000" cy="793750"/>
          </a:xfrm>
          <a:prstGeom prst="rect">
            <a:avLst/>
          </a:prstGeom>
          <a:solidFill>
            <a:srgbClr val="973A07"/>
          </a:solidFill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Planning_Prod!C171">
        <xdr:nvSpPr>
          <xdr:cNvPr id="25" name="ZoneTexte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 txBox="1"/>
        </xdr:nvSpPr>
        <xdr:spPr>
          <a:xfrm>
            <a:off x="889000" y="5130800"/>
            <a:ext cx="11620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5AEE00F9-FF38-45C4-8286-75DCBCEDB07D}" type="TxLink">
              <a:rPr lang="en-US" sz="1400" b="1" i="0" u="none" strike="noStrike">
                <a:solidFill>
                  <a:schemeClr val="bg1"/>
                </a:solidFill>
                <a:latin typeface="Raleway"/>
              </a:rPr>
              <a:pPr algn="ctr"/>
              <a:t>4</a:t>
            </a:fld>
            <a:endParaRPr lang="fr-FR" sz="3200" b="1">
              <a:solidFill>
                <a:schemeClr val="bg1"/>
              </a:solidFill>
              <a:latin typeface="Century Gothic" panose="020B0502020202020204" pitchFamily="34" charset="0"/>
            </a:endParaRPr>
          </a:p>
        </xdr:txBody>
      </xdr:sp>
      <xdr:sp macro="" textlink="Planning_Prod!B171">
        <xdr:nvSpPr>
          <xdr:cNvPr id="26" name="ZoneTexte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SpPr txBox="1"/>
        </xdr:nvSpPr>
        <xdr:spPr>
          <a:xfrm>
            <a:off x="838200" y="4749800"/>
            <a:ext cx="1231900" cy="425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D3BCAA96-E022-414D-9973-FAAFD309389B}" type="TxLink">
              <a:rPr lang="en-US" sz="1800" b="1" i="0" u="none" strike="noStrike">
                <a:solidFill>
                  <a:schemeClr val="bg1"/>
                </a:solidFill>
                <a:latin typeface="Raleway"/>
              </a:rPr>
              <a:pPr algn="ctr"/>
              <a:t>Bloquée</a:t>
            </a:fld>
            <a:endParaRPr lang="fr-FR" sz="3200" b="1">
              <a:solidFill>
                <a:schemeClr val="bg1"/>
              </a:solidFill>
              <a:latin typeface="Century Gothic" panose="020B0502020202020204" pitchFamily="34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81</xdr:col>
      <xdr:colOff>194202</xdr:colOff>
      <xdr:row>8</xdr:row>
      <xdr:rowOff>10934</xdr:rowOff>
    </xdr:from>
    <xdr:to>
      <xdr:col>82</xdr:col>
      <xdr:colOff>173038</xdr:colOff>
      <xdr:row>161</xdr:row>
      <xdr:rowOff>166687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5973952" y="2098497"/>
          <a:ext cx="185211" cy="2738137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333375</xdr:colOff>
      <xdr:row>12</xdr:row>
      <xdr:rowOff>161925</xdr:rowOff>
    </xdr:from>
    <xdr:to>
      <xdr:col>7</xdr:col>
      <xdr:colOff>6350</xdr:colOff>
      <xdr:row>16</xdr:row>
      <xdr:rowOff>66675</xdr:rowOff>
    </xdr:to>
    <xdr:sp macro="[1]!CreerGantt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5800725" y="2295525"/>
          <a:ext cx="1374775" cy="615950"/>
        </a:xfrm>
        <a:prstGeom prst="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/>
            <a:t>Go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ameiro%20Nicolas/AppData/Local/Packages/Microsoft.MicrosoftEdge_8wekyb3d8bbwe/TempState/Downloads/Gantt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ning"/>
      <sheetName val="Gantt (1)"/>
    </sheetNames>
    <definedNames>
      <definedName name="CreerGantt"/>
    </definedNames>
    <sheetDataSet>
      <sheetData sheetId="0"/>
      <sheetData sheetId="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blPlan" displayName="tblPlan" ref="A1:G12" totalsRowShown="0" headerRowDxfId="11" dataDxfId="10">
  <autoFilter ref="A1:G12" xr:uid="{00000000-0009-0000-0100-000003000000}"/>
  <tableColumns count="7">
    <tableColumn id="1" xr3:uid="{00000000-0010-0000-0000-000001000000}" name="Numéro" dataDxfId="9"/>
    <tableColumn id="2" xr3:uid="{00000000-0010-0000-0000-000002000000}" name="Nom" dataDxfId="8"/>
    <tableColumn id="3" xr3:uid="{00000000-0010-0000-0000-000003000000}" name="Durée" dataDxfId="7"/>
    <tableColumn id="4" xr3:uid="{00000000-0010-0000-0000-000004000000}" name="Prédecesseur" dataDxfId="6"/>
    <tableColumn id="5" xr3:uid="{00000000-0010-0000-0000-000005000000}" name="Retard" dataDxfId="5"/>
    <tableColumn id="6" xr3:uid="{00000000-0010-0000-0000-000006000000}" name="Début" dataDxfId="4"/>
    <tableColumn id="7" xr3:uid="{00000000-0010-0000-0000-000007000000}" name="Fin" dataDxfId="3">
      <calculatedColumnFormula>F2+C2-1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au1" displayName="Tableau1" ref="A1:F46" totalsRowShown="0" headerRowDxfId="2">
  <autoFilter ref="A1:F46" xr:uid="{00000000-0009-0000-0100-000001000000}"/>
  <tableColumns count="6">
    <tableColumn id="1" xr3:uid="{00000000-0010-0000-0100-000001000000}" name="Prénom"/>
    <tableColumn id="2" xr3:uid="{00000000-0010-0000-0100-000002000000}" name="Nom"/>
    <tableColumn id="3" xr3:uid="{00000000-0010-0000-0100-000003000000}" name="Trigramme"/>
    <tableColumn id="4" xr3:uid="{00000000-0010-0000-0100-000004000000}" name="Année" dataDxfId="1"/>
    <tableColumn id="5" xr3:uid="{00000000-0010-0000-0100-000005000000}" name="Département"/>
    <tableColumn id="6" xr3:uid="{00000000-0010-0000-0100-000006000000}" name="Nb tache" dataDxfId="0">
      <calculatedColumnFormula>COUNTIF(Planning_Prod!B:B,Tableau1[[#This Row],[Trigramme]])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nicolas.gameiro@ecl17.ec-lyon.fr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D22"/>
  <sheetViews>
    <sheetView showGridLines="0" view="pageLayout" zoomScaleNormal="100" workbookViewId="0">
      <selection activeCell="B17" sqref="B17"/>
    </sheetView>
  </sheetViews>
  <sheetFormatPr baseColWidth="10" defaultRowHeight="14"/>
  <cols>
    <col min="1" max="1" width="19.6328125" style="13" customWidth="1"/>
    <col min="2" max="2" width="46.1796875" style="13" customWidth="1"/>
    <col min="3" max="3" width="9.36328125" style="13" customWidth="1"/>
    <col min="4" max="4" width="11.54296875" style="13" bestFit="1" customWidth="1"/>
    <col min="5" max="16384" width="10.90625" style="13"/>
  </cols>
  <sheetData>
    <row r="1" spans="1:4">
      <c r="A1" s="407" t="s">
        <v>337</v>
      </c>
    </row>
    <row r="2" spans="1:4" ht="15.5" customHeight="1">
      <c r="A2" s="465" t="s">
        <v>338</v>
      </c>
      <c r="B2" s="465"/>
      <c r="C2" s="465"/>
      <c r="D2" s="465"/>
    </row>
    <row r="3" spans="1:4" ht="28" customHeight="1">
      <c r="A3" s="463" t="s">
        <v>149</v>
      </c>
      <c r="B3" s="463"/>
      <c r="C3" s="463"/>
      <c r="D3" s="463"/>
    </row>
    <row r="4" spans="1:4">
      <c r="A4" s="12"/>
    </row>
    <row r="5" spans="1:4">
      <c r="A5" s="14" t="s">
        <v>152</v>
      </c>
      <c r="B5" s="14" t="s">
        <v>153</v>
      </c>
      <c r="C5" s="14" t="s">
        <v>154</v>
      </c>
      <c r="D5" s="14" t="s">
        <v>158</v>
      </c>
    </row>
    <row r="6" spans="1:4" ht="28">
      <c r="A6" s="11" t="s">
        <v>155</v>
      </c>
      <c r="B6" s="11" t="s">
        <v>156</v>
      </c>
      <c r="C6" s="11" t="s">
        <v>157</v>
      </c>
      <c r="D6" s="15">
        <v>43488</v>
      </c>
    </row>
    <row r="7" spans="1:4" ht="28">
      <c r="A7" s="11" t="s">
        <v>160</v>
      </c>
      <c r="B7" s="11" t="s">
        <v>161</v>
      </c>
      <c r="C7" s="11" t="s">
        <v>258</v>
      </c>
      <c r="D7" s="15">
        <v>43496</v>
      </c>
    </row>
    <row r="8" spans="1:4">
      <c r="A8" s="16"/>
      <c r="B8" s="16"/>
      <c r="C8" s="16"/>
      <c r="D8" s="16"/>
    </row>
    <row r="9" spans="1:4">
      <c r="A9" s="464" t="s">
        <v>150</v>
      </c>
      <c r="B9" s="464"/>
      <c r="C9" s="464"/>
      <c r="D9" s="464"/>
    </row>
    <row r="10" spans="1:4">
      <c r="A10" s="12"/>
    </row>
    <row r="11" spans="1:4">
      <c r="A11" s="14" t="s">
        <v>152</v>
      </c>
      <c r="B11" s="14" t="s">
        <v>153</v>
      </c>
      <c r="C11" s="14" t="s">
        <v>154</v>
      </c>
      <c r="D11" s="14" t="s">
        <v>158</v>
      </c>
    </row>
    <row r="12" spans="1:4" ht="28">
      <c r="A12" s="11" t="s">
        <v>151</v>
      </c>
      <c r="B12" s="11" t="s">
        <v>159</v>
      </c>
      <c r="C12" s="11" t="s">
        <v>311</v>
      </c>
      <c r="D12" s="15">
        <v>43496</v>
      </c>
    </row>
    <row r="13" spans="1:4">
      <c r="A13" s="11"/>
      <c r="B13" s="11"/>
      <c r="C13" s="11"/>
      <c r="D13" s="11"/>
    </row>
    <row r="14" spans="1:4" s="419" customFormat="1">
      <c r="A14" s="16"/>
      <c r="B14" s="16"/>
      <c r="C14" s="16"/>
      <c r="D14" s="16"/>
    </row>
    <row r="15" spans="1:4">
      <c r="A15" s="12" t="s">
        <v>362</v>
      </c>
    </row>
    <row r="16" spans="1:4">
      <c r="A16" s="468" t="s">
        <v>162</v>
      </c>
      <c r="B16" s="468"/>
      <c r="C16" s="468"/>
      <c r="D16" s="468"/>
    </row>
    <row r="18" spans="1:2" ht="42">
      <c r="A18" s="13" t="s">
        <v>163</v>
      </c>
    </row>
    <row r="20" spans="1:2">
      <c r="A20" s="13" t="s">
        <v>339</v>
      </c>
    </row>
    <row r="21" spans="1:2">
      <c r="A21" s="466" t="s">
        <v>340</v>
      </c>
      <c r="B21" s="466"/>
    </row>
    <row r="22" spans="1:2" ht="17.5" customHeight="1">
      <c r="A22" s="467" t="s">
        <v>341</v>
      </c>
      <c r="B22" s="467"/>
    </row>
  </sheetData>
  <mergeCells count="6">
    <mergeCell ref="A3:D3"/>
    <mergeCell ref="A9:D9"/>
    <mergeCell ref="A2:D2"/>
    <mergeCell ref="A21:B21"/>
    <mergeCell ref="A22:B22"/>
    <mergeCell ref="A16:D16"/>
  </mergeCells>
  <hyperlinks>
    <hyperlink ref="A22" r:id="rId1" xr:uid="{00000000-0004-0000-0000-000000000000}"/>
  </hyperlinks>
  <pageMargins left="0.7" right="0.7" top="0.75" bottom="0.75" header="0.3" footer="0.3"/>
  <pageSetup paperSize="9" orientation="portrait" r:id="rId2"/>
  <headerFooter>
    <oddHeader xml:space="preserve">&amp;C&amp;"Raleway,Gras"&amp;KFF0000Fonctionnement de l'excel gestion de projet EPSA
</oddHeader>
    <oddFooter>&amp;Lpar NGO&amp;CVersion 0.1 du 22/01/2019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B2:P2"/>
  <sheetViews>
    <sheetView showGridLines="0" zoomScaleNormal="100" workbookViewId="0">
      <selection activeCell="Q18" sqref="Q18"/>
    </sheetView>
  </sheetViews>
  <sheetFormatPr baseColWidth="10" defaultRowHeight="14.5"/>
  <cols>
    <col min="16" max="16" width="24.90625" customWidth="1"/>
  </cols>
  <sheetData>
    <row r="2" spans="2:16" ht="44">
      <c r="B2" s="469" t="s">
        <v>271</v>
      </c>
      <c r="C2" s="469"/>
      <c r="D2" s="469"/>
      <c r="E2" s="469"/>
      <c r="F2" s="469"/>
      <c r="G2" s="469"/>
      <c r="H2" s="469"/>
      <c r="I2" s="469"/>
      <c r="J2" s="469"/>
      <c r="K2" s="469"/>
      <c r="L2" s="469"/>
      <c r="M2" s="469"/>
      <c r="N2" s="469"/>
      <c r="O2" s="469"/>
      <c r="P2" s="470"/>
    </row>
  </sheetData>
  <mergeCells count="1">
    <mergeCell ref="B2:P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XFD187"/>
  <sheetViews>
    <sheetView showGridLines="0" tabSelected="1" zoomScale="80" zoomScaleNormal="80" workbookViewId="0">
      <pane xSplit="3" ySplit="8" topLeftCell="AM38" activePane="bottomRight" state="frozen"/>
      <selection pane="topRight" activeCell="D1" sqref="D1"/>
      <selection pane="bottomLeft" activeCell="A9" sqref="A9"/>
      <selection pane="bottomRight" activeCell="AM5" sqref="AM5"/>
    </sheetView>
  </sheetViews>
  <sheetFormatPr baseColWidth="10" defaultRowHeight="13" outlineLevelRow="1"/>
  <cols>
    <col min="1" max="1" width="61.453125" style="19" bestFit="1" customWidth="1"/>
    <col min="2" max="2" width="15.08984375" style="19" bestFit="1" customWidth="1"/>
    <col min="3" max="3" width="13.36328125" style="19" customWidth="1"/>
    <col min="4" max="33" width="3" style="19" hidden="1" customWidth="1"/>
    <col min="34" max="34" width="2.7265625" style="19" hidden="1" customWidth="1"/>
    <col min="35" max="39" width="3" style="19" customWidth="1"/>
    <col min="40" max="40" width="1.81640625" style="19" customWidth="1"/>
    <col min="41" max="123" width="3" style="19" customWidth="1"/>
    <col min="124" max="16384" width="10.90625" style="19"/>
  </cols>
  <sheetData>
    <row r="1" spans="1:123" ht="21" customHeight="1">
      <c r="A1" s="482" t="s">
        <v>164</v>
      </c>
      <c r="B1" s="482"/>
      <c r="C1" s="483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17"/>
      <c r="BG1" s="17"/>
      <c r="BH1" s="17"/>
      <c r="BI1" s="17"/>
      <c r="BJ1" s="17"/>
      <c r="BK1" s="17"/>
      <c r="BL1" s="17"/>
      <c r="BM1" s="17"/>
      <c r="BN1" s="17"/>
      <c r="BO1" s="17"/>
      <c r="BP1" s="17"/>
      <c r="BQ1" s="17"/>
      <c r="BR1" s="17"/>
      <c r="BS1" s="17"/>
      <c r="BT1" s="17"/>
      <c r="BU1" s="17"/>
      <c r="BV1" s="17"/>
      <c r="BW1" s="17"/>
      <c r="BX1" s="17"/>
      <c r="BY1" s="17"/>
      <c r="BZ1" s="17"/>
      <c r="CA1" s="17"/>
      <c r="CB1" s="17"/>
      <c r="CC1" s="17"/>
      <c r="CD1" s="17"/>
      <c r="CE1" s="17"/>
      <c r="CF1" s="17"/>
      <c r="CG1" s="17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</row>
    <row r="2" spans="1:123" ht="21" customHeight="1">
      <c r="A2" s="484" t="s">
        <v>165</v>
      </c>
      <c r="B2" s="484"/>
      <c r="C2" s="485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  <c r="AX2" s="17"/>
      <c r="AY2" s="17"/>
      <c r="AZ2" s="17"/>
      <c r="BA2" s="17"/>
      <c r="BB2" s="17"/>
      <c r="BC2" s="17"/>
      <c r="BD2" s="17"/>
      <c r="BE2" s="17"/>
      <c r="BF2" s="17"/>
      <c r="BG2" s="17"/>
      <c r="BH2" s="17"/>
      <c r="BI2" s="17"/>
      <c r="BJ2" s="17"/>
      <c r="BK2" s="17"/>
      <c r="BL2" s="17"/>
      <c r="BM2" s="17"/>
      <c r="BN2" s="17"/>
      <c r="BO2" s="17"/>
      <c r="BP2" s="17"/>
      <c r="BQ2" s="17"/>
      <c r="BR2" s="17"/>
      <c r="BS2" s="17"/>
      <c r="BT2" s="17"/>
      <c r="BU2" s="17"/>
      <c r="BV2" s="17"/>
      <c r="BW2" s="17"/>
      <c r="BX2" s="17"/>
      <c r="BY2" s="17"/>
      <c r="BZ2" s="17"/>
      <c r="CA2" s="17"/>
      <c r="CB2" s="17"/>
      <c r="CC2" s="17"/>
      <c r="CD2" s="17"/>
      <c r="CE2" s="17"/>
      <c r="CF2" s="17"/>
      <c r="CG2" s="17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J2" s="18"/>
      <c r="DK2" s="18"/>
      <c r="DL2" s="18"/>
      <c r="DM2" s="18"/>
      <c r="DN2" s="18"/>
      <c r="DO2" s="18"/>
      <c r="DP2" s="18"/>
      <c r="DQ2" s="18"/>
      <c r="DR2" s="18"/>
      <c r="DS2" s="18"/>
    </row>
    <row r="3" spans="1:123" ht="21" customHeight="1">
      <c r="A3" s="321" t="s">
        <v>166</v>
      </c>
      <c r="B3" s="323">
        <v>43435</v>
      </c>
      <c r="C3" s="322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  <c r="BO3" s="17"/>
      <c r="BP3" s="17"/>
      <c r="BQ3" s="17"/>
      <c r="BR3" s="17"/>
      <c r="BS3" s="17"/>
      <c r="BT3" s="17"/>
      <c r="BU3" s="17"/>
      <c r="BV3" s="17"/>
      <c r="BW3" s="17"/>
      <c r="BX3" s="17"/>
      <c r="BY3" s="17"/>
      <c r="BZ3" s="17"/>
      <c r="CA3" s="17"/>
      <c r="CB3" s="17"/>
      <c r="CC3" s="17"/>
      <c r="CD3" s="17"/>
      <c r="CE3" s="17"/>
      <c r="CF3" s="17"/>
      <c r="CG3" s="17"/>
      <c r="CH3" s="18"/>
      <c r="CI3" s="18"/>
      <c r="CJ3" s="18"/>
      <c r="CK3" s="18"/>
      <c r="CL3" s="18"/>
      <c r="CM3" s="18"/>
      <c r="CN3" s="18"/>
      <c r="CO3" s="18"/>
      <c r="CP3" s="18"/>
      <c r="CQ3" s="18"/>
      <c r="CR3" s="18"/>
      <c r="CS3" s="18"/>
      <c r="CT3" s="18"/>
      <c r="CU3" s="18"/>
      <c r="CV3" s="18"/>
      <c r="CW3" s="18"/>
      <c r="CX3" s="18"/>
      <c r="CY3" s="18"/>
      <c r="CZ3" s="18"/>
      <c r="DA3" s="18"/>
      <c r="DB3" s="18"/>
      <c r="DC3" s="18"/>
      <c r="DD3" s="18"/>
      <c r="DE3" s="18"/>
      <c r="DF3" s="18"/>
      <c r="DG3" s="18"/>
      <c r="DH3" s="18"/>
      <c r="DI3" s="18"/>
      <c r="DJ3" s="18"/>
      <c r="DK3" s="18"/>
      <c r="DL3" s="18"/>
      <c r="DM3" s="18"/>
      <c r="DN3" s="18"/>
      <c r="DO3" s="18"/>
      <c r="DP3" s="18"/>
      <c r="DQ3" s="18"/>
      <c r="DR3" s="18"/>
      <c r="DS3" s="18"/>
    </row>
    <row r="4" spans="1:123" ht="21" customHeight="1">
      <c r="A4" s="20" t="s">
        <v>167</v>
      </c>
      <c r="B4" s="325">
        <f ca="1">_xlfn.DAYS(B5,TODAY())</f>
        <v>11</v>
      </c>
      <c r="C4" s="21" t="s">
        <v>278</v>
      </c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  <c r="BO4" s="17"/>
      <c r="BP4" s="17"/>
      <c r="BQ4" s="17"/>
      <c r="BR4" s="17"/>
      <c r="BS4" s="17"/>
      <c r="BT4" s="17"/>
      <c r="BU4" s="17"/>
      <c r="BV4" s="17"/>
      <c r="BW4" s="17"/>
      <c r="BX4" s="17"/>
      <c r="BY4" s="17"/>
      <c r="BZ4" s="17"/>
      <c r="CA4" s="17"/>
      <c r="CB4" s="17"/>
      <c r="CC4" s="17"/>
      <c r="CD4" s="17"/>
      <c r="CE4" s="17"/>
      <c r="CF4" s="17"/>
      <c r="CG4" s="17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18"/>
      <c r="DR4" s="18"/>
      <c r="DS4" s="18"/>
    </row>
    <row r="5" spans="1:123" ht="21" customHeight="1">
      <c r="A5" s="321" t="s">
        <v>168</v>
      </c>
      <c r="B5" s="323">
        <v>43541</v>
      </c>
      <c r="C5" s="322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  <c r="BO5" s="17"/>
      <c r="BP5" s="17"/>
      <c r="BQ5" s="17"/>
      <c r="BR5" s="17"/>
      <c r="BS5" s="17"/>
      <c r="BT5" s="17"/>
      <c r="BU5" s="17"/>
      <c r="BV5" s="17"/>
      <c r="BW5" s="17"/>
      <c r="BX5" s="17"/>
      <c r="BY5" s="17"/>
      <c r="BZ5" s="17"/>
      <c r="CA5" s="17"/>
      <c r="CB5" s="17"/>
      <c r="CC5" s="17"/>
      <c r="CD5" s="17"/>
      <c r="CE5" s="17"/>
      <c r="CF5" s="17"/>
      <c r="CG5" s="17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18"/>
      <c r="DR5" s="18"/>
      <c r="DS5" s="18"/>
    </row>
    <row r="6" spans="1:123" ht="21" customHeight="1" thickBot="1">
      <c r="A6" s="20" t="s">
        <v>169</v>
      </c>
      <c r="B6" s="324">
        <f ca="1">TODAY()</f>
        <v>43530</v>
      </c>
      <c r="C6" s="22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18"/>
      <c r="DR6" s="18"/>
      <c r="DS6" s="18"/>
    </row>
    <row r="7" spans="1:123" ht="23" customHeight="1">
      <c r="A7" s="486" t="s">
        <v>170</v>
      </c>
      <c r="B7" s="488" t="s">
        <v>146</v>
      </c>
      <c r="C7" s="488" t="s">
        <v>147</v>
      </c>
      <c r="D7" s="471" t="s">
        <v>171</v>
      </c>
      <c r="E7" s="472"/>
      <c r="F7" s="472"/>
      <c r="G7" s="472"/>
      <c r="H7" s="472"/>
      <c r="I7" s="472"/>
      <c r="J7" s="472"/>
      <c r="K7" s="472"/>
      <c r="L7" s="472"/>
      <c r="M7" s="472"/>
      <c r="N7" s="472"/>
      <c r="O7" s="472"/>
      <c r="P7" s="472"/>
      <c r="Q7" s="472"/>
      <c r="R7" s="472"/>
      <c r="S7" s="472"/>
      <c r="T7" s="472"/>
      <c r="U7" s="472"/>
      <c r="V7" s="472"/>
      <c r="W7" s="472"/>
      <c r="X7" s="472"/>
      <c r="Y7" s="472"/>
      <c r="Z7" s="472"/>
      <c r="AA7" s="472"/>
      <c r="AB7" s="472"/>
      <c r="AC7" s="472"/>
      <c r="AD7" s="472"/>
      <c r="AE7" s="472"/>
      <c r="AF7" s="472"/>
      <c r="AG7" s="472"/>
      <c r="AH7" s="473"/>
      <c r="AI7" s="471" t="s">
        <v>172</v>
      </c>
      <c r="AJ7" s="472"/>
      <c r="AK7" s="472"/>
      <c r="AL7" s="472"/>
      <c r="AM7" s="472"/>
      <c r="AN7" s="472"/>
      <c r="AO7" s="472"/>
      <c r="AP7" s="472"/>
      <c r="AQ7" s="472"/>
      <c r="AR7" s="472"/>
      <c r="AS7" s="472"/>
      <c r="AT7" s="472"/>
      <c r="AU7" s="472"/>
      <c r="AV7" s="472"/>
      <c r="AW7" s="472"/>
      <c r="AX7" s="472"/>
      <c r="AY7" s="472"/>
      <c r="AZ7" s="472"/>
      <c r="BA7" s="472"/>
      <c r="BB7" s="472"/>
      <c r="BC7" s="472"/>
      <c r="BD7" s="472"/>
      <c r="BE7" s="472"/>
      <c r="BF7" s="472"/>
      <c r="BG7" s="472"/>
      <c r="BH7" s="472"/>
      <c r="BI7" s="472"/>
      <c r="BJ7" s="472"/>
      <c r="BK7" s="472"/>
      <c r="BL7" s="472"/>
      <c r="BM7" s="472"/>
      <c r="BN7" s="474" t="s">
        <v>173</v>
      </c>
      <c r="BO7" s="475"/>
      <c r="BP7" s="475"/>
      <c r="BQ7" s="475"/>
      <c r="BR7" s="475"/>
      <c r="BS7" s="475"/>
      <c r="BT7" s="475"/>
      <c r="BU7" s="475"/>
      <c r="BV7" s="475"/>
      <c r="BW7" s="475"/>
      <c r="BX7" s="475"/>
      <c r="BY7" s="475"/>
      <c r="BZ7" s="475"/>
      <c r="CA7" s="475"/>
      <c r="CB7" s="475"/>
      <c r="CC7" s="475"/>
      <c r="CD7" s="475"/>
      <c r="CE7" s="475"/>
      <c r="CF7" s="475"/>
      <c r="CG7" s="475"/>
      <c r="CH7" s="475"/>
      <c r="CI7" s="475"/>
      <c r="CJ7" s="475"/>
      <c r="CK7" s="475"/>
      <c r="CL7" s="475"/>
      <c r="CM7" s="475"/>
      <c r="CN7" s="475"/>
      <c r="CO7" s="476"/>
      <c r="CP7" s="477" t="s">
        <v>174</v>
      </c>
      <c r="CQ7" s="472"/>
      <c r="CR7" s="472"/>
      <c r="CS7" s="472"/>
      <c r="CT7" s="472"/>
      <c r="CU7" s="472"/>
      <c r="CV7" s="472"/>
      <c r="CW7" s="472"/>
      <c r="CX7" s="472"/>
      <c r="CY7" s="472"/>
      <c r="CZ7" s="472"/>
      <c r="DA7" s="472"/>
      <c r="DB7" s="472"/>
      <c r="DC7" s="472"/>
      <c r="DD7" s="472"/>
      <c r="DE7" s="472"/>
      <c r="DF7" s="472"/>
      <c r="DG7" s="472"/>
      <c r="DH7" s="472"/>
      <c r="DI7" s="472"/>
      <c r="DJ7" s="472"/>
      <c r="DK7" s="472"/>
      <c r="DL7" s="472"/>
      <c r="DM7" s="472"/>
      <c r="DN7" s="472"/>
      <c r="DO7" s="472"/>
      <c r="DP7" s="472"/>
      <c r="DQ7" s="472"/>
      <c r="DR7" s="472"/>
      <c r="DS7" s="478"/>
    </row>
    <row r="8" spans="1:123" ht="13.5" thickBot="1">
      <c r="A8" s="487"/>
      <c r="B8" s="489"/>
      <c r="C8" s="489"/>
      <c r="D8" s="23">
        <v>1</v>
      </c>
      <c r="E8" s="24">
        <v>2</v>
      </c>
      <c r="F8" s="24">
        <v>3</v>
      </c>
      <c r="G8" s="24">
        <v>4</v>
      </c>
      <c r="H8" s="24">
        <v>5</v>
      </c>
      <c r="I8" s="24">
        <v>6</v>
      </c>
      <c r="J8" s="24">
        <v>7</v>
      </c>
      <c r="K8" s="24">
        <v>8</v>
      </c>
      <c r="L8" s="24">
        <v>9</v>
      </c>
      <c r="M8" s="24">
        <v>10</v>
      </c>
      <c r="N8" s="24">
        <v>11</v>
      </c>
      <c r="O8" s="24">
        <v>12</v>
      </c>
      <c r="P8" s="24">
        <v>13</v>
      </c>
      <c r="Q8" s="24">
        <v>14</v>
      </c>
      <c r="R8" s="24">
        <v>15</v>
      </c>
      <c r="S8" s="24">
        <v>16</v>
      </c>
      <c r="T8" s="24">
        <v>17</v>
      </c>
      <c r="U8" s="24">
        <v>18</v>
      </c>
      <c r="V8" s="24">
        <v>19</v>
      </c>
      <c r="W8" s="24">
        <v>20</v>
      </c>
      <c r="X8" s="24">
        <v>21</v>
      </c>
      <c r="Y8" s="24">
        <v>22</v>
      </c>
      <c r="Z8" s="24">
        <v>23</v>
      </c>
      <c r="AA8" s="24">
        <v>24</v>
      </c>
      <c r="AB8" s="24">
        <v>25</v>
      </c>
      <c r="AC8" s="24">
        <v>26</v>
      </c>
      <c r="AD8" s="24">
        <v>27</v>
      </c>
      <c r="AE8" s="24">
        <v>28</v>
      </c>
      <c r="AF8" s="24">
        <v>29</v>
      </c>
      <c r="AG8" s="24">
        <v>30</v>
      </c>
      <c r="AH8" s="25">
        <v>31</v>
      </c>
      <c r="AI8" s="23">
        <v>1</v>
      </c>
      <c r="AJ8" s="24">
        <v>2</v>
      </c>
      <c r="AK8" s="24">
        <v>3</v>
      </c>
      <c r="AL8" s="24">
        <v>4</v>
      </c>
      <c r="AM8" s="24">
        <v>5</v>
      </c>
      <c r="AN8" s="24">
        <v>6</v>
      </c>
      <c r="AO8" s="24">
        <v>7</v>
      </c>
      <c r="AP8" s="24">
        <v>8</v>
      </c>
      <c r="AQ8" s="24">
        <v>9</v>
      </c>
      <c r="AR8" s="24">
        <v>10</v>
      </c>
      <c r="AS8" s="24">
        <v>11</v>
      </c>
      <c r="AT8" s="24">
        <v>12</v>
      </c>
      <c r="AU8" s="24">
        <v>13</v>
      </c>
      <c r="AV8" s="24">
        <v>14</v>
      </c>
      <c r="AW8" s="24">
        <v>15</v>
      </c>
      <c r="AX8" s="24">
        <v>16</v>
      </c>
      <c r="AY8" s="24">
        <v>17</v>
      </c>
      <c r="AZ8" s="24">
        <v>18</v>
      </c>
      <c r="BA8" s="24">
        <v>19</v>
      </c>
      <c r="BB8" s="24">
        <v>20</v>
      </c>
      <c r="BC8" s="24">
        <v>21</v>
      </c>
      <c r="BD8" s="24">
        <v>22</v>
      </c>
      <c r="BE8" s="24">
        <v>23</v>
      </c>
      <c r="BF8" s="24">
        <v>24</v>
      </c>
      <c r="BG8" s="24">
        <v>25</v>
      </c>
      <c r="BH8" s="24">
        <v>26</v>
      </c>
      <c r="BI8" s="24">
        <v>27</v>
      </c>
      <c r="BJ8" s="24">
        <v>28</v>
      </c>
      <c r="BK8" s="24">
        <v>29</v>
      </c>
      <c r="BL8" s="24">
        <v>30</v>
      </c>
      <c r="BM8" s="26">
        <v>31</v>
      </c>
      <c r="BN8" s="27">
        <v>1</v>
      </c>
      <c r="BO8" s="24">
        <v>2</v>
      </c>
      <c r="BP8" s="24">
        <v>3</v>
      </c>
      <c r="BQ8" s="24">
        <v>4</v>
      </c>
      <c r="BR8" s="24">
        <v>5</v>
      </c>
      <c r="BS8" s="24">
        <v>6</v>
      </c>
      <c r="BT8" s="24">
        <v>7</v>
      </c>
      <c r="BU8" s="24">
        <v>8</v>
      </c>
      <c r="BV8" s="24">
        <v>9</v>
      </c>
      <c r="BW8" s="24">
        <v>10</v>
      </c>
      <c r="BX8" s="24">
        <v>11</v>
      </c>
      <c r="BY8" s="24">
        <v>12</v>
      </c>
      <c r="BZ8" s="24">
        <v>13</v>
      </c>
      <c r="CA8" s="24">
        <v>14</v>
      </c>
      <c r="CB8" s="24">
        <v>15</v>
      </c>
      <c r="CC8" s="24">
        <v>16</v>
      </c>
      <c r="CD8" s="28">
        <v>17</v>
      </c>
      <c r="CE8" s="29">
        <v>18</v>
      </c>
      <c r="CF8" s="24">
        <v>19</v>
      </c>
      <c r="CG8" s="24">
        <v>20</v>
      </c>
      <c r="CH8" s="24">
        <v>21</v>
      </c>
      <c r="CI8" s="24">
        <v>22</v>
      </c>
      <c r="CJ8" s="24">
        <v>23</v>
      </c>
      <c r="CK8" s="24">
        <v>24</v>
      </c>
      <c r="CL8" s="24">
        <v>25</v>
      </c>
      <c r="CM8" s="24">
        <v>26</v>
      </c>
      <c r="CN8" s="24">
        <v>27</v>
      </c>
      <c r="CO8" s="30">
        <v>28</v>
      </c>
      <c r="CP8" s="29">
        <v>1</v>
      </c>
      <c r="CQ8" s="24">
        <v>2</v>
      </c>
      <c r="CR8" s="24">
        <v>3</v>
      </c>
      <c r="CS8" s="24">
        <v>4</v>
      </c>
      <c r="CT8" s="24">
        <v>5</v>
      </c>
      <c r="CU8" s="24">
        <v>6</v>
      </c>
      <c r="CV8" s="24">
        <v>7</v>
      </c>
      <c r="CW8" s="31">
        <v>8</v>
      </c>
      <c r="CX8" s="24">
        <v>9</v>
      </c>
      <c r="CY8" s="24">
        <v>10</v>
      </c>
      <c r="CZ8" s="24">
        <v>11</v>
      </c>
      <c r="DA8" s="24">
        <v>12</v>
      </c>
      <c r="DB8" s="24">
        <v>13</v>
      </c>
      <c r="DC8" s="24">
        <v>14</v>
      </c>
      <c r="DD8" s="24">
        <v>15</v>
      </c>
      <c r="DE8" s="24">
        <v>16</v>
      </c>
      <c r="DF8" s="24">
        <v>17</v>
      </c>
      <c r="DG8" s="24">
        <v>18</v>
      </c>
      <c r="DH8" s="24">
        <v>19</v>
      </c>
      <c r="DI8" s="24">
        <v>20</v>
      </c>
      <c r="DJ8" s="24">
        <v>21</v>
      </c>
      <c r="DK8" s="24">
        <v>22</v>
      </c>
      <c r="DL8" s="24">
        <v>23</v>
      </c>
      <c r="DM8" s="24">
        <v>24</v>
      </c>
      <c r="DN8" s="24">
        <v>25</v>
      </c>
      <c r="DO8" s="24">
        <v>26</v>
      </c>
      <c r="DP8" s="24">
        <v>27</v>
      </c>
      <c r="DQ8" s="24">
        <v>28</v>
      </c>
      <c r="DR8" s="24">
        <v>29</v>
      </c>
      <c r="DS8" s="32">
        <v>30</v>
      </c>
    </row>
    <row r="9" spans="1:123" ht="14">
      <c r="A9" s="33" t="s">
        <v>175</v>
      </c>
      <c r="B9" s="34"/>
      <c r="C9" s="35"/>
      <c r="D9" s="79"/>
      <c r="E9" s="57"/>
      <c r="F9" s="57"/>
      <c r="G9" s="57"/>
      <c r="H9" s="57"/>
      <c r="I9" s="57"/>
      <c r="J9" s="57"/>
      <c r="K9" s="57"/>
      <c r="L9" s="66"/>
      <c r="M9" s="39"/>
      <c r="N9" s="37"/>
      <c r="O9" s="37"/>
      <c r="P9" s="37"/>
      <c r="Q9" s="37"/>
      <c r="R9" s="37"/>
      <c r="S9" s="40"/>
      <c r="T9" s="39"/>
      <c r="U9" s="37"/>
      <c r="V9" s="37"/>
      <c r="W9" s="37"/>
      <c r="X9" s="37"/>
      <c r="Y9" s="479" t="s">
        <v>176</v>
      </c>
      <c r="Z9" s="480"/>
      <c r="AA9" s="480"/>
      <c r="AB9" s="480"/>
      <c r="AC9" s="480"/>
      <c r="AD9" s="480"/>
      <c r="AE9" s="480"/>
      <c r="AF9" s="480"/>
      <c r="AG9" s="480"/>
      <c r="AH9" s="480"/>
      <c r="AI9" s="480"/>
      <c r="AJ9" s="480"/>
      <c r="AK9" s="480"/>
      <c r="AL9" s="480"/>
      <c r="AM9" s="480"/>
      <c r="AN9" s="481"/>
      <c r="AO9" s="39"/>
      <c r="AP9" s="37"/>
      <c r="AQ9" s="37"/>
      <c r="AR9" s="37"/>
      <c r="AS9" s="37"/>
      <c r="AT9" s="37"/>
      <c r="AU9" s="40"/>
      <c r="AV9" s="39"/>
      <c r="AW9" s="37"/>
      <c r="AX9" s="37"/>
      <c r="AY9" s="37"/>
      <c r="AZ9" s="37"/>
      <c r="BA9" s="37"/>
      <c r="BB9" s="40"/>
      <c r="BC9" s="39"/>
      <c r="BD9" s="37"/>
      <c r="BE9" s="37"/>
      <c r="BF9" s="37"/>
      <c r="BG9" s="37"/>
      <c r="BH9" s="37"/>
      <c r="BI9" s="40"/>
      <c r="BJ9" s="39"/>
      <c r="BK9" s="37"/>
      <c r="BL9" s="37"/>
      <c r="BM9" s="38"/>
      <c r="BN9" s="41"/>
      <c r="BO9" s="37"/>
      <c r="BP9" s="40"/>
      <c r="BQ9" s="39"/>
      <c r="BR9" s="42"/>
      <c r="BS9" s="37"/>
      <c r="BT9" s="37"/>
      <c r="BU9" s="37"/>
      <c r="BV9" s="37"/>
      <c r="BW9" s="40"/>
      <c r="BX9" s="43"/>
      <c r="BY9" s="37"/>
      <c r="BZ9" s="37"/>
      <c r="CA9" s="37"/>
      <c r="CB9" s="37"/>
      <c r="CC9" s="44"/>
      <c r="CD9" s="45"/>
      <c r="CE9" s="46"/>
      <c r="CF9" s="44"/>
      <c r="CG9" s="44"/>
      <c r="CH9" s="44"/>
      <c r="CI9" s="44"/>
      <c r="CJ9" s="44"/>
      <c r="CK9" s="45"/>
      <c r="CL9" s="39"/>
      <c r="CM9" s="37"/>
      <c r="CN9" s="37"/>
      <c r="CO9" s="47"/>
      <c r="CP9" s="43"/>
      <c r="CQ9" s="37"/>
      <c r="CR9" s="40"/>
      <c r="CS9" s="39"/>
      <c r="CT9" s="37"/>
      <c r="CU9" s="37"/>
      <c r="CV9" s="37"/>
      <c r="CW9" s="37"/>
      <c r="CX9" s="37"/>
      <c r="CY9" s="162"/>
      <c r="CZ9" s="37"/>
      <c r="DA9" s="37"/>
      <c r="DB9" s="37"/>
      <c r="DC9" s="37"/>
      <c r="DD9" s="37"/>
      <c r="DE9" s="40"/>
      <c r="DF9" s="48"/>
      <c r="DG9" s="37"/>
      <c r="DH9" s="37"/>
      <c r="DI9" s="37"/>
      <c r="DJ9" s="37"/>
      <c r="DK9" s="37"/>
      <c r="DL9" s="40"/>
      <c r="DM9" s="43"/>
      <c r="DN9" s="37"/>
      <c r="DO9" s="37"/>
      <c r="DP9" s="37"/>
      <c r="DQ9" s="37"/>
      <c r="DR9" s="37"/>
      <c r="DS9" s="49"/>
    </row>
    <row r="10" spans="1:123" ht="14" outlineLevel="1">
      <c r="A10" s="50" t="s">
        <v>177</v>
      </c>
      <c r="B10" s="51" t="s">
        <v>139</v>
      </c>
      <c r="C10" s="52" t="s">
        <v>178</v>
      </c>
      <c r="D10" s="53"/>
      <c r="E10" s="54"/>
      <c r="F10" s="54"/>
      <c r="G10" s="54"/>
      <c r="H10" s="54"/>
      <c r="I10" s="54"/>
      <c r="J10" s="54"/>
      <c r="K10" s="54"/>
      <c r="L10" s="55"/>
      <c r="M10" s="56"/>
      <c r="N10" s="57"/>
      <c r="O10" s="57"/>
      <c r="P10" s="57"/>
      <c r="Q10" s="57"/>
      <c r="R10" s="57"/>
      <c r="S10" s="58"/>
      <c r="T10" s="59"/>
      <c r="U10" s="57"/>
      <c r="V10" s="57"/>
      <c r="W10" s="57"/>
      <c r="X10" s="57"/>
      <c r="Y10" s="60"/>
      <c r="Z10" s="61"/>
      <c r="AA10" s="62"/>
      <c r="AB10" s="60"/>
      <c r="AC10" s="60"/>
      <c r="AD10" s="60"/>
      <c r="AE10" s="60"/>
      <c r="AF10" s="60"/>
      <c r="AG10" s="61"/>
      <c r="AH10" s="63"/>
      <c r="AI10" s="64"/>
      <c r="AJ10" s="60"/>
      <c r="AK10" s="60"/>
      <c r="AL10" s="60"/>
      <c r="AM10" s="60"/>
      <c r="AN10" s="65"/>
      <c r="AO10" s="59"/>
      <c r="AP10" s="57"/>
      <c r="AQ10" s="57"/>
      <c r="AR10" s="57"/>
      <c r="AS10" s="57"/>
      <c r="AT10" s="57"/>
      <c r="AU10" s="58"/>
      <c r="AV10" s="59"/>
      <c r="AW10" s="57"/>
      <c r="AX10" s="57"/>
      <c r="AY10" s="57"/>
      <c r="AZ10" s="57"/>
      <c r="BA10" s="57"/>
      <c r="BB10" s="58"/>
      <c r="BC10" s="59"/>
      <c r="BD10" s="57"/>
      <c r="BE10" s="57"/>
      <c r="BF10" s="57"/>
      <c r="BG10" s="57"/>
      <c r="BH10" s="57"/>
      <c r="BI10" s="58"/>
      <c r="BJ10" s="59"/>
      <c r="BK10" s="57"/>
      <c r="BL10" s="57"/>
      <c r="BM10" s="66"/>
      <c r="BN10" s="67"/>
      <c r="BO10" s="57"/>
      <c r="BP10" s="58"/>
      <c r="BQ10" s="59"/>
      <c r="BR10" s="68"/>
      <c r="BS10" s="57"/>
      <c r="BT10" s="57"/>
      <c r="BU10" s="57"/>
      <c r="BV10" s="57"/>
      <c r="BW10" s="58"/>
      <c r="BX10" s="69"/>
      <c r="BY10" s="57"/>
      <c r="BZ10" s="57"/>
      <c r="CA10" s="57"/>
      <c r="CB10" s="57"/>
      <c r="CC10" s="70"/>
      <c r="CD10" s="71"/>
      <c r="CE10" s="72"/>
      <c r="CF10" s="70"/>
      <c r="CG10" s="70"/>
      <c r="CH10" s="70"/>
      <c r="CI10" s="70"/>
      <c r="CJ10" s="70"/>
      <c r="CK10" s="71"/>
      <c r="CL10" s="59"/>
      <c r="CM10" s="57"/>
      <c r="CN10" s="57"/>
      <c r="CO10" s="73"/>
      <c r="CP10" s="69"/>
      <c r="CQ10" s="57"/>
      <c r="CR10" s="58"/>
      <c r="CS10" s="59"/>
      <c r="CT10" s="57"/>
      <c r="CU10" s="57"/>
      <c r="CV10" s="57"/>
      <c r="CW10" s="57"/>
      <c r="CX10" s="57"/>
      <c r="CY10" s="162"/>
      <c r="CZ10" s="57"/>
      <c r="DA10" s="57"/>
      <c r="DB10" s="57"/>
      <c r="DC10" s="57"/>
      <c r="DD10" s="57"/>
      <c r="DE10" s="58"/>
      <c r="DF10" s="74"/>
      <c r="DG10" s="57"/>
      <c r="DH10" s="57"/>
      <c r="DI10" s="57"/>
      <c r="DJ10" s="57"/>
      <c r="DK10" s="57"/>
      <c r="DL10" s="58"/>
      <c r="DM10" s="69"/>
      <c r="DN10" s="57"/>
      <c r="DO10" s="57"/>
      <c r="DP10" s="57"/>
      <c r="DQ10" s="57"/>
      <c r="DR10" s="57"/>
      <c r="DS10" s="75"/>
    </row>
    <row r="11" spans="1:123" ht="14" outlineLevel="1">
      <c r="A11" s="76" t="s">
        <v>179</v>
      </c>
      <c r="B11" s="77" t="s">
        <v>139</v>
      </c>
      <c r="C11" s="78" t="s">
        <v>178</v>
      </c>
      <c r="D11" s="79"/>
      <c r="E11" s="57"/>
      <c r="F11" s="57"/>
      <c r="G11" s="57"/>
      <c r="H11" s="57"/>
      <c r="I11" s="57"/>
      <c r="J11" s="57"/>
      <c r="K11" s="57"/>
      <c r="L11" s="66"/>
      <c r="M11" s="59"/>
      <c r="N11" s="54"/>
      <c r="O11" s="54"/>
      <c r="P11" s="54"/>
      <c r="Q11" s="54"/>
      <c r="R11" s="54"/>
      <c r="S11" s="80"/>
      <c r="T11" s="56"/>
      <c r="U11" s="81"/>
      <c r="V11" s="54"/>
      <c r="W11" s="54"/>
      <c r="X11" s="54"/>
      <c r="Y11" s="60"/>
      <c r="Z11" s="61"/>
      <c r="AA11" s="62"/>
      <c r="AB11" s="60"/>
      <c r="AC11" s="60"/>
      <c r="AD11" s="60"/>
      <c r="AE11" s="60"/>
      <c r="AF11" s="60"/>
      <c r="AG11" s="61"/>
      <c r="AH11" s="63"/>
      <c r="AI11" s="64"/>
      <c r="AJ11" s="60"/>
      <c r="AK11" s="60"/>
      <c r="AL11" s="60"/>
      <c r="AM11" s="60"/>
      <c r="AN11" s="65"/>
      <c r="AO11" s="59"/>
      <c r="AP11" s="57"/>
      <c r="AQ11" s="57"/>
      <c r="AR11" s="57"/>
      <c r="AS11" s="57"/>
      <c r="AT11" s="57"/>
      <c r="AU11" s="58"/>
      <c r="AV11" s="59"/>
      <c r="AW11" s="57"/>
      <c r="AX11" s="57"/>
      <c r="AY11" s="57"/>
      <c r="AZ11" s="57"/>
      <c r="BA11" s="57"/>
      <c r="BB11" s="58"/>
      <c r="BC11" s="59"/>
      <c r="BD11" s="57"/>
      <c r="BE11" s="57"/>
      <c r="BF11" s="57"/>
      <c r="BG11" s="57"/>
      <c r="BH11" s="57"/>
      <c r="BI11" s="58"/>
      <c r="BJ11" s="59"/>
      <c r="BK11" s="57"/>
      <c r="BL11" s="57"/>
      <c r="BM11" s="66"/>
      <c r="BN11" s="67"/>
      <c r="BO11" s="57"/>
      <c r="BP11" s="58"/>
      <c r="BQ11" s="59"/>
      <c r="BR11" s="68"/>
      <c r="BS11" s="57"/>
      <c r="BT11" s="57"/>
      <c r="BU11" s="57"/>
      <c r="BV11" s="57"/>
      <c r="BW11" s="58"/>
      <c r="BX11" s="69"/>
      <c r="BY11" s="57"/>
      <c r="BZ11" s="57"/>
      <c r="CA11" s="57"/>
      <c r="CB11" s="57"/>
      <c r="CC11" s="70"/>
      <c r="CD11" s="71"/>
      <c r="CE11" s="72"/>
      <c r="CF11" s="70"/>
      <c r="CG11" s="70"/>
      <c r="CH11" s="70"/>
      <c r="CI11" s="70"/>
      <c r="CJ11" s="70"/>
      <c r="CK11" s="71"/>
      <c r="CL11" s="59"/>
      <c r="CM11" s="57"/>
      <c r="CN11" s="57"/>
      <c r="CO11" s="73"/>
      <c r="CP11" s="69"/>
      <c r="CQ11" s="57"/>
      <c r="CR11" s="58"/>
      <c r="CS11" s="59"/>
      <c r="CT11" s="57"/>
      <c r="CU11" s="57"/>
      <c r="CV11" s="57"/>
      <c r="CW11" s="57"/>
      <c r="CX11" s="57"/>
      <c r="CY11" s="162"/>
      <c r="CZ11" s="57"/>
      <c r="DA11" s="57"/>
      <c r="DB11" s="57"/>
      <c r="DC11" s="57"/>
      <c r="DD11" s="57"/>
      <c r="DE11" s="58"/>
      <c r="DF11" s="74"/>
      <c r="DG11" s="57"/>
      <c r="DH11" s="57"/>
      <c r="DI11" s="57"/>
      <c r="DJ11" s="57"/>
      <c r="DK11" s="57"/>
      <c r="DL11" s="58"/>
      <c r="DM11" s="69"/>
      <c r="DN11" s="57"/>
      <c r="DO11" s="57"/>
      <c r="DP11" s="57"/>
      <c r="DQ11" s="57"/>
      <c r="DR11" s="57"/>
      <c r="DS11" s="75"/>
    </row>
    <row r="12" spans="1:123" ht="14" outlineLevel="1">
      <c r="A12" s="50" t="s">
        <v>315</v>
      </c>
      <c r="B12" s="77" t="s">
        <v>139</v>
      </c>
      <c r="C12" s="78" t="s">
        <v>178</v>
      </c>
      <c r="D12" s="79"/>
      <c r="E12" s="57"/>
      <c r="F12" s="57"/>
      <c r="G12" s="57"/>
      <c r="H12" s="57"/>
      <c r="I12" s="57"/>
      <c r="J12" s="57"/>
      <c r="K12" s="57"/>
      <c r="L12" s="66"/>
      <c r="M12" s="59"/>
      <c r="N12" s="54"/>
      <c r="O12" s="54"/>
      <c r="P12" s="54"/>
      <c r="Q12" s="54"/>
      <c r="R12" s="54"/>
      <c r="S12" s="80"/>
      <c r="T12" s="56"/>
      <c r="U12" s="54"/>
      <c r="V12" s="54"/>
      <c r="W12" s="57"/>
      <c r="X12" s="57"/>
      <c r="Y12" s="60"/>
      <c r="Z12" s="61"/>
      <c r="AA12" s="62"/>
      <c r="AB12" s="60"/>
      <c r="AC12" s="60"/>
      <c r="AD12" s="60"/>
      <c r="AE12" s="60"/>
      <c r="AF12" s="60"/>
      <c r="AG12" s="61"/>
      <c r="AH12" s="63"/>
      <c r="AI12" s="64"/>
      <c r="AJ12" s="60"/>
      <c r="AK12" s="60"/>
      <c r="AL12" s="60"/>
      <c r="AM12" s="60"/>
      <c r="AN12" s="65"/>
      <c r="AO12" s="59"/>
      <c r="AP12" s="57"/>
      <c r="AQ12" s="57"/>
      <c r="AR12" s="57"/>
      <c r="AS12" s="57"/>
      <c r="AT12" s="57"/>
      <c r="AU12" s="58"/>
      <c r="AV12" s="59"/>
      <c r="AW12" s="57"/>
      <c r="AX12" s="57"/>
      <c r="AY12" s="57"/>
      <c r="AZ12" s="57"/>
      <c r="BA12" s="57"/>
      <c r="BB12" s="58"/>
      <c r="BC12" s="59"/>
      <c r="BD12" s="57"/>
      <c r="BE12" s="57"/>
      <c r="BF12" s="57"/>
      <c r="BG12" s="57"/>
      <c r="BH12" s="57"/>
      <c r="BI12" s="58"/>
      <c r="BJ12" s="59"/>
      <c r="BK12" s="57"/>
      <c r="BL12" s="57"/>
      <c r="BM12" s="66"/>
      <c r="BN12" s="67"/>
      <c r="BO12" s="57"/>
      <c r="BP12" s="58"/>
      <c r="BQ12" s="59"/>
      <c r="BR12" s="68"/>
      <c r="BS12" s="57"/>
      <c r="BT12" s="57"/>
      <c r="BU12" s="57"/>
      <c r="BV12" s="57"/>
      <c r="BW12" s="58"/>
      <c r="BX12" s="69"/>
      <c r="BY12" s="57"/>
      <c r="BZ12" s="57"/>
      <c r="CA12" s="57"/>
      <c r="CB12" s="57"/>
      <c r="CC12" s="70"/>
      <c r="CD12" s="71"/>
      <c r="CE12" s="72"/>
      <c r="CF12" s="70"/>
      <c r="CG12" s="70"/>
      <c r="CH12" s="70"/>
      <c r="CI12" s="70"/>
      <c r="CJ12" s="70"/>
      <c r="CK12" s="71"/>
      <c r="CL12" s="59"/>
      <c r="CM12" s="57"/>
      <c r="CN12" s="57"/>
      <c r="CO12" s="73"/>
      <c r="CP12" s="69"/>
      <c r="CQ12" s="57"/>
      <c r="CR12" s="58"/>
      <c r="CS12" s="59"/>
      <c r="CT12" s="57"/>
      <c r="CU12" s="57"/>
      <c r="CV12" s="57"/>
      <c r="CW12" s="57"/>
      <c r="CX12" s="57"/>
      <c r="CY12" s="162"/>
      <c r="CZ12" s="57"/>
      <c r="DA12" s="57"/>
      <c r="DB12" s="57"/>
      <c r="DC12" s="57"/>
      <c r="DD12" s="57"/>
      <c r="DE12" s="58"/>
      <c r="DF12" s="74"/>
      <c r="DG12" s="57"/>
      <c r="DH12" s="57"/>
      <c r="DI12" s="57"/>
      <c r="DJ12" s="57"/>
      <c r="DK12" s="57"/>
      <c r="DL12" s="58"/>
      <c r="DM12" s="69"/>
      <c r="DN12" s="57"/>
      <c r="DO12" s="57"/>
      <c r="DP12" s="57"/>
      <c r="DQ12" s="57"/>
      <c r="DR12" s="57"/>
      <c r="DS12" s="75"/>
    </row>
    <row r="13" spans="1:123" ht="14.5" outlineLevel="1" thickBot="1">
      <c r="A13" s="76" t="s">
        <v>180</v>
      </c>
      <c r="B13" s="77" t="s">
        <v>139</v>
      </c>
      <c r="C13" s="105" t="s">
        <v>178</v>
      </c>
      <c r="D13" s="79"/>
      <c r="E13" s="57"/>
      <c r="F13" s="57"/>
      <c r="G13" s="57"/>
      <c r="H13" s="57"/>
      <c r="I13" s="57"/>
      <c r="J13" s="57"/>
      <c r="K13" s="57"/>
      <c r="L13" s="66"/>
      <c r="M13" s="86"/>
      <c r="N13" s="84"/>
      <c r="O13" s="84"/>
      <c r="P13" s="84"/>
      <c r="Q13" s="84"/>
      <c r="R13" s="84"/>
      <c r="S13" s="87"/>
      <c r="T13" s="86"/>
      <c r="U13" s="84"/>
      <c r="V13" s="84"/>
      <c r="W13" s="84"/>
      <c r="X13" s="84"/>
      <c r="Y13" s="88"/>
      <c r="Z13" s="89"/>
      <c r="AA13" s="90"/>
      <c r="AB13" s="88"/>
      <c r="AC13" s="88"/>
      <c r="AD13" s="88"/>
      <c r="AE13" s="88"/>
      <c r="AF13" s="88"/>
      <c r="AG13" s="89"/>
      <c r="AH13" s="91"/>
      <c r="AI13" s="92"/>
      <c r="AJ13" s="88"/>
      <c r="AK13" s="88"/>
      <c r="AL13" s="88"/>
      <c r="AM13" s="88"/>
      <c r="AN13" s="93"/>
      <c r="AO13" s="327"/>
      <c r="AP13" s="328"/>
      <c r="AQ13" s="328"/>
      <c r="AR13" s="328"/>
      <c r="AS13" s="328"/>
      <c r="AT13" s="328"/>
      <c r="AU13" s="329"/>
      <c r="AV13" s="327"/>
      <c r="AW13" s="328"/>
      <c r="AX13" s="328"/>
      <c r="AY13" s="328"/>
      <c r="AZ13" s="328"/>
      <c r="BA13" s="328"/>
      <c r="BB13" s="329"/>
      <c r="BC13" s="327"/>
      <c r="BD13" s="328"/>
      <c r="BE13" s="328"/>
      <c r="BF13" s="328"/>
      <c r="BG13" s="328"/>
      <c r="BH13" s="327"/>
      <c r="BI13" s="327"/>
      <c r="BJ13" s="327"/>
      <c r="BK13" s="328"/>
      <c r="BL13" s="328"/>
      <c r="BM13" s="328"/>
      <c r="BN13" s="328"/>
      <c r="BO13" s="328"/>
      <c r="BP13" s="328"/>
      <c r="BQ13" s="328"/>
      <c r="BR13" s="95"/>
      <c r="BS13" s="84"/>
      <c r="BT13" s="84"/>
      <c r="BU13" s="462"/>
      <c r="BV13" s="84"/>
      <c r="BW13" s="87"/>
      <c r="BX13" s="98"/>
      <c r="BY13" s="84"/>
      <c r="BZ13" s="84"/>
      <c r="CA13" s="84"/>
      <c r="CB13" s="84"/>
      <c r="CC13" s="99"/>
      <c r="CD13" s="100"/>
      <c r="CE13" s="101"/>
      <c r="CF13" s="99"/>
      <c r="CG13" s="99"/>
      <c r="CH13" s="99"/>
      <c r="CI13" s="99"/>
      <c r="CJ13" s="99"/>
      <c r="CK13" s="100"/>
      <c r="CL13" s="86"/>
      <c r="CM13" s="84"/>
      <c r="CN13" s="84"/>
      <c r="CO13" s="102"/>
      <c r="CP13" s="98"/>
      <c r="CQ13" s="84"/>
      <c r="CR13" s="87"/>
      <c r="CS13" s="86"/>
      <c r="CT13" s="84"/>
      <c r="CU13" s="84"/>
      <c r="CV13" s="84"/>
      <c r="CW13" s="84"/>
      <c r="CX13" s="84"/>
      <c r="CY13" s="162"/>
      <c r="CZ13" s="84"/>
      <c r="DA13" s="84"/>
      <c r="DB13" s="84"/>
      <c r="DC13" s="84"/>
      <c r="DD13" s="84"/>
      <c r="DE13" s="87"/>
      <c r="DF13" s="103"/>
      <c r="DG13" s="84"/>
      <c r="DH13" s="84"/>
      <c r="DI13" s="84"/>
      <c r="DJ13" s="84"/>
      <c r="DK13" s="84"/>
      <c r="DL13" s="87"/>
      <c r="DM13" s="98"/>
      <c r="DN13" s="84"/>
      <c r="DO13" s="84"/>
      <c r="DP13" s="84"/>
      <c r="DQ13" s="84"/>
      <c r="DR13" s="84"/>
      <c r="DS13" s="104"/>
    </row>
    <row r="14" spans="1:123" ht="14" outlineLevel="1">
      <c r="A14" s="50" t="s">
        <v>182</v>
      </c>
      <c r="B14" s="77" t="s">
        <v>139</v>
      </c>
      <c r="C14" s="105" t="s">
        <v>178</v>
      </c>
      <c r="D14" s="79"/>
      <c r="E14" s="57"/>
      <c r="F14" s="57"/>
      <c r="G14" s="57"/>
      <c r="H14" s="57"/>
      <c r="I14" s="57"/>
      <c r="J14" s="57"/>
      <c r="K14" s="57"/>
      <c r="L14" s="66"/>
      <c r="M14" s="109"/>
      <c r="N14" s="107"/>
      <c r="O14" s="107"/>
      <c r="P14" s="107"/>
      <c r="Q14" s="107"/>
      <c r="R14" s="107"/>
      <c r="S14" s="110"/>
      <c r="T14" s="109"/>
      <c r="U14" s="107"/>
      <c r="V14" s="107"/>
      <c r="W14" s="107"/>
      <c r="X14" s="107"/>
      <c r="Y14" s="111"/>
      <c r="Z14" s="112"/>
      <c r="AA14" s="113"/>
      <c r="AB14" s="111"/>
      <c r="AC14" s="111"/>
      <c r="AD14" s="111"/>
      <c r="AE14" s="111"/>
      <c r="AF14" s="111"/>
      <c r="AG14" s="112"/>
      <c r="AH14" s="114"/>
      <c r="AI14" s="115"/>
      <c r="AJ14" s="111"/>
      <c r="AK14" s="111"/>
      <c r="AL14" s="111"/>
      <c r="AM14" s="111"/>
      <c r="AN14" s="116"/>
      <c r="AO14" s="117"/>
      <c r="AP14" s="118"/>
      <c r="AQ14" s="118"/>
      <c r="AR14" s="118"/>
      <c r="AS14" s="118"/>
      <c r="AT14" s="118"/>
      <c r="AU14" s="119"/>
      <c r="AV14" s="120"/>
      <c r="AW14" s="121"/>
      <c r="AX14" s="121"/>
      <c r="AY14" s="121"/>
      <c r="AZ14" s="122"/>
      <c r="BA14" s="107"/>
      <c r="BB14" s="110"/>
      <c r="BC14" s="109"/>
      <c r="BD14" s="107"/>
      <c r="BE14" s="107"/>
      <c r="BF14" s="107"/>
      <c r="BG14" s="107"/>
      <c r="BH14" s="107"/>
      <c r="BI14" s="110"/>
      <c r="BJ14" s="59"/>
      <c r="BK14" s="57"/>
      <c r="BL14" s="57"/>
      <c r="BM14" s="66"/>
      <c r="BN14" s="67"/>
      <c r="BO14" s="57"/>
      <c r="BP14" s="58"/>
      <c r="BQ14" s="109"/>
      <c r="BR14" s="124"/>
      <c r="BS14" s="107"/>
      <c r="BT14" s="107"/>
      <c r="BU14" s="107"/>
      <c r="BV14" s="107"/>
      <c r="BW14" s="110"/>
      <c r="BX14" s="125"/>
      <c r="BY14" s="107"/>
      <c r="BZ14" s="107"/>
      <c r="CA14" s="107"/>
      <c r="CB14" s="57"/>
      <c r="CC14" s="126"/>
      <c r="CD14" s="127"/>
      <c r="CE14" s="128"/>
      <c r="CF14" s="126"/>
      <c r="CG14" s="126"/>
      <c r="CH14" s="126"/>
      <c r="CI14" s="126"/>
      <c r="CJ14" s="126"/>
      <c r="CK14" s="127"/>
      <c r="CL14" s="109"/>
      <c r="CM14" s="107"/>
      <c r="CN14" s="107"/>
      <c r="CO14" s="129"/>
      <c r="CP14" s="125"/>
      <c r="CQ14" s="107"/>
      <c r="CR14" s="110"/>
      <c r="CS14" s="109"/>
      <c r="CT14" s="107"/>
      <c r="CU14" s="107"/>
      <c r="CV14" s="107"/>
      <c r="CW14" s="107"/>
      <c r="CX14" s="107"/>
      <c r="CY14" s="162"/>
      <c r="CZ14" s="107"/>
      <c r="DA14" s="107"/>
      <c r="DB14" s="107"/>
      <c r="DC14" s="107"/>
      <c r="DD14" s="107"/>
      <c r="DE14" s="110"/>
      <c r="DF14" s="130"/>
      <c r="DG14" s="107"/>
      <c r="DH14" s="107"/>
      <c r="DI14" s="107"/>
      <c r="DJ14" s="107"/>
      <c r="DK14" s="107"/>
      <c r="DL14" s="110"/>
      <c r="DM14" s="125"/>
      <c r="DN14" s="107"/>
      <c r="DO14" s="107"/>
      <c r="DP14" s="107"/>
      <c r="DQ14" s="107"/>
      <c r="DR14" s="107"/>
      <c r="DS14" s="131"/>
    </row>
    <row r="15" spans="1:123" ht="14.5" outlineLevel="1" thickBot="1">
      <c r="A15" s="76" t="s">
        <v>183</v>
      </c>
      <c r="B15" s="77" t="s">
        <v>139</v>
      </c>
      <c r="C15" s="105" t="s">
        <v>178</v>
      </c>
      <c r="D15" s="106"/>
      <c r="E15" s="107"/>
      <c r="F15" s="107"/>
      <c r="G15" s="107"/>
      <c r="H15" s="107"/>
      <c r="I15" s="107"/>
      <c r="J15" s="107"/>
      <c r="K15" s="107"/>
      <c r="L15" s="108"/>
      <c r="M15" s="109"/>
      <c r="N15" s="107"/>
      <c r="O15" s="107"/>
      <c r="P15" s="107"/>
      <c r="Q15" s="107"/>
      <c r="R15" s="107"/>
      <c r="S15" s="110"/>
      <c r="T15" s="109"/>
      <c r="U15" s="107"/>
      <c r="V15" s="107"/>
      <c r="W15" s="107"/>
      <c r="X15" s="107"/>
      <c r="Y15" s="111"/>
      <c r="Z15" s="112"/>
      <c r="AA15" s="113"/>
      <c r="AB15" s="111"/>
      <c r="AC15" s="111"/>
      <c r="AD15" s="111"/>
      <c r="AE15" s="111"/>
      <c r="AF15" s="111"/>
      <c r="AG15" s="112"/>
      <c r="AH15" s="114"/>
      <c r="AI15" s="115"/>
      <c r="AJ15" s="111"/>
      <c r="AK15" s="111"/>
      <c r="AL15" s="111"/>
      <c r="AM15" s="111"/>
      <c r="AN15" s="116"/>
      <c r="AO15" s="117"/>
      <c r="AP15" s="118"/>
      <c r="AQ15" s="118"/>
      <c r="AR15" s="118"/>
      <c r="AS15" s="118"/>
      <c r="AT15" s="118"/>
      <c r="AU15" s="119"/>
      <c r="AV15" s="109"/>
      <c r="AW15" s="107"/>
      <c r="AX15" s="107"/>
      <c r="AY15" s="107"/>
      <c r="AZ15" s="107"/>
      <c r="BA15" s="107"/>
      <c r="BB15" s="110"/>
      <c r="BC15" s="330"/>
      <c r="BD15" s="331"/>
      <c r="BE15" s="331"/>
      <c r="BF15" s="331"/>
      <c r="BG15" s="331"/>
      <c r="BH15" s="107"/>
      <c r="BI15" s="110"/>
      <c r="BJ15" s="328"/>
      <c r="BK15" s="328"/>
      <c r="BL15" s="328"/>
      <c r="BM15" s="328"/>
      <c r="BN15" s="328"/>
      <c r="BO15" s="57"/>
      <c r="BP15" s="58"/>
      <c r="BQ15" s="328"/>
      <c r="BR15" s="121"/>
      <c r="BS15" s="107"/>
      <c r="BT15" s="107"/>
      <c r="BU15" s="107"/>
      <c r="BV15" s="107"/>
      <c r="BW15" s="110"/>
      <c r="BX15" s="125"/>
      <c r="BY15" s="107"/>
      <c r="BZ15" s="57"/>
      <c r="CA15" s="57"/>
      <c r="CB15" s="57"/>
      <c r="CC15" s="126"/>
      <c r="CD15" s="127"/>
      <c r="CE15" s="128"/>
      <c r="CF15" s="126"/>
      <c r="CG15" s="126"/>
      <c r="CH15" s="126"/>
      <c r="CI15" s="126"/>
      <c r="CJ15" s="126"/>
      <c r="CK15" s="127"/>
      <c r="CL15" s="109"/>
      <c r="CM15" s="107"/>
      <c r="CN15" s="107"/>
      <c r="CO15" s="129"/>
      <c r="CP15" s="125"/>
      <c r="CQ15" s="107"/>
      <c r="CR15" s="110"/>
      <c r="CS15" s="109"/>
      <c r="CT15" s="107"/>
      <c r="CU15" s="107"/>
      <c r="CV15" s="107"/>
      <c r="CW15" s="107"/>
      <c r="CX15" s="107"/>
      <c r="CY15" s="162"/>
      <c r="CZ15" s="107"/>
      <c r="DA15" s="107"/>
      <c r="DB15" s="107"/>
      <c r="DC15" s="107"/>
      <c r="DD15" s="107"/>
      <c r="DE15" s="110"/>
      <c r="DF15" s="130"/>
      <c r="DG15" s="107"/>
      <c r="DH15" s="107"/>
      <c r="DI15" s="107"/>
      <c r="DJ15" s="107"/>
      <c r="DK15" s="107"/>
      <c r="DL15" s="110"/>
      <c r="DM15" s="125"/>
      <c r="DN15" s="107"/>
      <c r="DO15" s="107"/>
      <c r="DP15" s="107"/>
      <c r="DQ15" s="107"/>
      <c r="DR15" s="107"/>
      <c r="DS15" s="131"/>
    </row>
    <row r="16" spans="1:123" ht="14" outlineLevel="1">
      <c r="A16" s="50" t="s">
        <v>184</v>
      </c>
      <c r="B16" s="77" t="s">
        <v>139</v>
      </c>
      <c r="C16" s="105" t="s">
        <v>178</v>
      </c>
      <c r="D16" s="79"/>
      <c r="E16" s="57"/>
      <c r="F16" s="57"/>
      <c r="G16" s="57"/>
      <c r="H16" s="57"/>
      <c r="I16" s="57"/>
      <c r="J16" s="57"/>
      <c r="K16" s="57"/>
      <c r="L16" s="66"/>
      <c r="M16" s="109"/>
      <c r="N16" s="107"/>
      <c r="O16" s="107"/>
      <c r="P16" s="107"/>
      <c r="Q16" s="107"/>
      <c r="R16" s="107"/>
      <c r="S16" s="110"/>
      <c r="T16" s="109"/>
      <c r="U16" s="107"/>
      <c r="V16" s="107"/>
      <c r="W16" s="107"/>
      <c r="X16" s="107"/>
      <c r="Y16" s="111"/>
      <c r="Z16" s="112"/>
      <c r="AA16" s="113"/>
      <c r="AB16" s="111"/>
      <c r="AC16" s="111"/>
      <c r="AD16" s="111"/>
      <c r="AE16" s="111"/>
      <c r="AF16" s="111"/>
      <c r="AG16" s="112"/>
      <c r="AH16" s="114"/>
      <c r="AI16" s="115"/>
      <c r="AJ16" s="111"/>
      <c r="AK16" s="111"/>
      <c r="AL16" s="111"/>
      <c r="AM16" s="111"/>
      <c r="AN16" s="116"/>
      <c r="AO16" s="117"/>
      <c r="AP16" s="118"/>
      <c r="AQ16" s="118"/>
      <c r="AR16" s="118"/>
      <c r="AS16" s="118"/>
      <c r="AT16" s="118"/>
      <c r="AU16" s="119"/>
      <c r="AV16" s="109"/>
      <c r="AW16" s="107"/>
      <c r="AX16" s="107"/>
      <c r="AY16" s="107"/>
      <c r="AZ16" s="107"/>
      <c r="BA16" s="107"/>
      <c r="BB16" s="110"/>
      <c r="BC16" s="120"/>
      <c r="BD16" s="121"/>
      <c r="BE16" s="121"/>
      <c r="BF16" s="121"/>
      <c r="BG16" s="122"/>
      <c r="BH16" s="107"/>
      <c r="BI16" s="110"/>
      <c r="BJ16" s="59"/>
      <c r="BK16" s="57"/>
      <c r="BL16" s="57"/>
      <c r="BM16" s="66"/>
      <c r="BN16" s="67"/>
      <c r="BO16" s="57"/>
      <c r="BP16" s="58"/>
      <c r="BQ16" s="109"/>
      <c r="BR16" s="124"/>
      <c r="BS16" s="107"/>
      <c r="BT16" s="107"/>
      <c r="BU16" s="107"/>
      <c r="BV16" s="107"/>
      <c r="BW16" s="110"/>
      <c r="BX16" s="125"/>
      <c r="BY16" s="107"/>
      <c r="BZ16" s="57"/>
      <c r="CA16" s="57"/>
      <c r="CB16" s="57"/>
      <c r="CC16" s="126"/>
      <c r="CD16" s="127"/>
      <c r="CE16" s="128"/>
      <c r="CF16" s="126"/>
      <c r="CG16" s="126"/>
      <c r="CH16" s="126"/>
      <c r="CI16" s="126"/>
      <c r="CJ16" s="126"/>
      <c r="CK16" s="127"/>
      <c r="CL16" s="109"/>
      <c r="CM16" s="107"/>
      <c r="CN16" s="107"/>
      <c r="CO16" s="129"/>
      <c r="CP16" s="125"/>
      <c r="CQ16" s="107"/>
      <c r="CR16" s="110"/>
      <c r="CS16" s="109"/>
      <c r="CT16" s="107"/>
      <c r="CU16" s="107"/>
      <c r="CV16" s="107"/>
      <c r="CW16" s="107"/>
      <c r="CX16" s="107"/>
      <c r="CY16" s="162"/>
      <c r="CZ16" s="107"/>
      <c r="DA16" s="107"/>
      <c r="DB16" s="107"/>
      <c r="DC16" s="107"/>
      <c r="DD16" s="107"/>
      <c r="DE16" s="110"/>
      <c r="DF16" s="130"/>
      <c r="DG16" s="107"/>
      <c r="DH16" s="107"/>
      <c r="DI16" s="107"/>
      <c r="DJ16" s="107"/>
      <c r="DK16" s="107"/>
      <c r="DL16" s="110"/>
      <c r="DM16" s="125"/>
      <c r="DN16" s="107"/>
      <c r="DO16" s="107"/>
      <c r="DP16" s="107"/>
      <c r="DQ16" s="107"/>
      <c r="DR16" s="107"/>
      <c r="DS16" s="131"/>
    </row>
    <row r="17" spans="1:123" ht="14.5" outlineLevel="1" thickBot="1">
      <c r="A17" s="76" t="s">
        <v>185</v>
      </c>
      <c r="B17" s="77" t="s">
        <v>139</v>
      </c>
      <c r="C17" s="139" t="s">
        <v>190</v>
      </c>
      <c r="D17" s="106"/>
      <c r="E17" s="107"/>
      <c r="F17" s="107"/>
      <c r="G17" s="107"/>
      <c r="H17" s="107"/>
      <c r="I17" s="107"/>
      <c r="J17" s="107"/>
      <c r="K17" s="107"/>
      <c r="L17" s="108"/>
      <c r="M17" s="109"/>
      <c r="N17" s="107"/>
      <c r="O17" s="107"/>
      <c r="P17" s="107"/>
      <c r="Q17" s="107"/>
      <c r="R17" s="107"/>
      <c r="S17" s="110"/>
      <c r="T17" s="109"/>
      <c r="U17" s="107"/>
      <c r="V17" s="107"/>
      <c r="W17" s="107"/>
      <c r="X17" s="107"/>
      <c r="Y17" s="111"/>
      <c r="Z17" s="112"/>
      <c r="AA17" s="113"/>
      <c r="AB17" s="111"/>
      <c r="AC17" s="111"/>
      <c r="AD17" s="111"/>
      <c r="AE17" s="111"/>
      <c r="AF17" s="111"/>
      <c r="AG17" s="112"/>
      <c r="AH17" s="114"/>
      <c r="AI17" s="115"/>
      <c r="AJ17" s="111"/>
      <c r="AK17" s="111"/>
      <c r="AL17" s="111"/>
      <c r="AM17" s="111"/>
      <c r="AN17" s="116"/>
      <c r="AO17" s="117"/>
      <c r="AP17" s="118"/>
      <c r="AQ17" s="118"/>
      <c r="AR17" s="118"/>
      <c r="AS17" s="118"/>
      <c r="AT17" s="118"/>
      <c r="AU17" s="119"/>
      <c r="AV17" s="109"/>
      <c r="AW17" s="107"/>
      <c r="AX17" s="107"/>
      <c r="AY17" s="107"/>
      <c r="AZ17" s="107"/>
      <c r="BA17" s="107"/>
      <c r="BB17" s="110"/>
      <c r="BC17" s="328"/>
      <c r="BD17" s="328"/>
      <c r="BE17" s="328"/>
      <c r="BF17" s="328"/>
      <c r="BG17" s="328"/>
      <c r="BH17" s="328"/>
      <c r="BI17" s="328"/>
      <c r="BJ17" s="328"/>
      <c r="BK17" s="328"/>
      <c r="BL17" s="328"/>
      <c r="BM17" s="328"/>
      <c r="BN17" s="328"/>
      <c r="BO17" s="328"/>
      <c r="BP17" s="327"/>
      <c r="BQ17" s="120"/>
      <c r="BR17" s="427"/>
      <c r="BS17" s="121"/>
      <c r="BT17" s="121"/>
      <c r="BU17" s="121"/>
      <c r="BV17" s="107"/>
      <c r="BW17" s="110"/>
      <c r="BX17" s="125"/>
      <c r="BY17" s="107"/>
      <c r="BZ17" s="57"/>
      <c r="CA17" s="81"/>
      <c r="CB17" s="57"/>
      <c r="CC17" s="126"/>
      <c r="CD17" s="127"/>
      <c r="CE17" s="128"/>
      <c r="CF17" s="126"/>
      <c r="CG17" s="126"/>
      <c r="CH17" s="126"/>
      <c r="CI17" s="126"/>
      <c r="CJ17" s="126"/>
      <c r="CK17" s="127"/>
      <c r="CL17" s="109"/>
      <c r="CM17" s="107"/>
      <c r="CN17" s="107"/>
      <c r="CO17" s="129"/>
      <c r="CP17" s="125"/>
      <c r="CQ17" s="107"/>
      <c r="CR17" s="110"/>
      <c r="CS17" s="109"/>
      <c r="CT17" s="107"/>
      <c r="CU17" s="107"/>
      <c r="CV17" s="107"/>
      <c r="CW17" s="107"/>
      <c r="CX17" s="107"/>
      <c r="CY17" s="162"/>
      <c r="CZ17" s="107"/>
      <c r="DA17" s="107"/>
      <c r="DB17" s="107"/>
      <c r="DC17" s="107"/>
      <c r="DD17" s="107"/>
      <c r="DE17" s="110"/>
      <c r="DF17" s="130"/>
      <c r="DG17" s="107"/>
      <c r="DH17" s="107"/>
      <c r="DI17" s="107"/>
      <c r="DJ17" s="107"/>
      <c r="DK17" s="107"/>
      <c r="DL17" s="110"/>
      <c r="DM17" s="125"/>
      <c r="DN17" s="107"/>
      <c r="DO17" s="107"/>
      <c r="DP17" s="107"/>
      <c r="DQ17" s="107"/>
      <c r="DR17" s="107"/>
      <c r="DS17" s="131"/>
    </row>
    <row r="18" spans="1:123" ht="14">
      <c r="A18" s="33" t="s">
        <v>186</v>
      </c>
      <c r="B18" s="34"/>
      <c r="C18" s="34"/>
      <c r="D18" s="36"/>
      <c r="E18" s="37"/>
      <c r="F18" s="37"/>
      <c r="G18" s="37"/>
      <c r="H18" s="37"/>
      <c r="I18" s="37"/>
      <c r="J18" s="37"/>
      <c r="K18" s="37"/>
      <c r="L18" s="38"/>
      <c r="M18" s="39"/>
      <c r="N18" s="37"/>
      <c r="O18" s="37"/>
      <c r="P18" s="37"/>
      <c r="Q18" s="37"/>
      <c r="R18" s="37"/>
      <c r="S18" s="40"/>
      <c r="T18" s="39"/>
      <c r="U18" s="37"/>
      <c r="V18" s="37"/>
      <c r="W18" s="37"/>
      <c r="X18" s="37"/>
      <c r="Y18" s="132"/>
      <c r="Z18" s="133"/>
      <c r="AA18" s="134"/>
      <c r="AB18" s="132"/>
      <c r="AC18" s="132"/>
      <c r="AD18" s="132"/>
      <c r="AE18" s="132"/>
      <c r="AF18" s="132"/>
      <c r="AG18" s="133"/>
      <c r="AH18" s="135"/>
      <c r="AI18" s="136"/>
      <c r="AJ18" s="132"/>
      <c r="AK18" s="132"/>
      <c r="AL18" s="132"/>
      <c r="AM18" s="132"/>
      <c r="AN18" s="137"/>
      <c r="AO18" s="39"/>
      <c r="AP18" s="37"/>
      <c r="AQ18" s="37"/>
      <c r="AR18" s="37"/>
      <c r="AS18" s="37"/>
      <c r="AT18" s="37"/>
      <c r="AU18" s="40"/>
      <c r="AV18" s="39"/>
      <c r="AW18" s="37"/>
      <c r="AX18" s="37"/>
      <c r="AY18" s="37"/>
      <c r="AZ18" s="37"/>
      <c r="BA18" s="37"/>
      <c r="BB18" s="40"/>
      <c r="BC18" s="39"/>
      <c r="BD18" s="37"/>
      <c r="BE18" s="37"/>
      <c r="BF18" s="37"/>
      <c r="BG18" s="37"/>
      <c r="BH18" s="37"/>
      <c r="BI18" s="40"/>
      <c r="BJ18" s="39"/>
      <c r="BK18" s="37"/>
      <c r="BL18" s="37"/>
      <c r="BM18" s="38"/>
      <c r="BN18" s="41"/>
      <c r="BO18" s="37"/>
      <c r="BP18" s="40"/>
      <c r="BQ18" s="39"/>
      <c r="BR18" s="424"/>
      <c r="BS18" s="37"/>
      <c r="BT18" s="37"/>
      <c r="BU18" s="37"/>
      <c r="BV18" s="37"/>
      <c r="BW18" s="40"/>
      <c r="BX18" s="43"/>
      <c r="BY18" s="37"/>
      <c r="BZ18" s="37"/>
      <c r="CA18" s="37"/>
      <c r="CB18" s="37"/>
      <c r="CC18" s="44"/>
      <c r="CD18" s="45"/>
      <c r="CE18" s="46"/>
      <c r="CF18" s="44"/>
      <c r="CG18" s="44"/>
      <c r="CH18" s="44"/>
      <c r="CI18" s="44"/>
      <c r="CJ18" s="44"/>
      <c r="CK18" s="45"/>
      <c r="CL18" s="39"/>
      <c r="CM18" s="37"/>
      <c r="CN18" s="37"/>
      <c r="CO18" s="47"/>
      <c r="CP18" s="43"/>
      <c r="CQ18" s="37"/>
      <c r="CR18" s="40"/>
      <c r="CS18" s="39"/>
      <c r="CT18" s="37"/>
      <c r="CU18" s="37"/>
      <c r="CV18" s="37"/>
      <c r="CW18" s="37"/>
      <c r="CX18" s="37"/>
      <c r="CY18" s="162"/>
      <c r="CZ18" s="37"/>
      <c r="DA18" s="37"/>
      <c r="DB18" s="37"/>
      <c r="DC18" s="37"/>
      <c r="DD18" s="37"/>
      <c r="DE18" s="40"/>
      <c r="DF18" s="48"/>
      <c r="DG18" s="37"/>
      <c r="DH18" s="37"/>
      <c r="DI18" s="37"/>
      <c r="DJ18" s="37"/>
      <c r="DK18" s="37"/>
      <c r="DL18" s="40"/>
      <c r="DM18" s="43"/>
      <c r="DN18" s="37"/>
      <c r="DO18" s="37"/>
      <c r="DP18" s="37"/>
      <c r="DQ18" s="37"/>
      <c r="DR18" s="37"/>
      <c r="DS18" s="49"/>
    </row>
    <row r="19" spans="1:123" ht="14" outlineLevel="1">
      <c r="A19" s="50" t="s">
        <v>187</v>
      </c>
      <c r="B19" s="77" t="s">
        <v>9</v>
      </c>
      <c r="C19" s="105" t="s">
        <v>178</v>
      </c>
      <c r="D19" s="138"/>
      <c r="E19" s="54"/>
      <c r="F19" s="54"/>
      <c r="G19" s="54"/>
      <c r="H19" s="54"/>
      <c r="I19" s="81"/>
      <c r="J19" s="54"/>
      <c r="K19" s="54"/>
      <c r="L19" s="55"/>
      <c r="M19" s="59"/>
      <c r="N19" s="57"/>
      <c r="O19" s="57"/>
      <c r="P19" s="57"/>
      <c r="Q19" s="57"/>
      <c r="R19" s="57"/>
      <c r="S19" s="58"/>
      <c r="T19" s="59"/>
      <c r="U19" s="57"/>
      <c r="V19" s="57"/>
      <c r="W19" s="57"/>
      <c r="X19" s="57"/>
      <c r="Y19" s="60"/>
      <c r="Z19" s="61"/>
      <c r="AA19" s="62"/>
      <c r="AB19" s="60"/>
      <c r="AC19" s="60"/>
      <c r="AD19" s="60"/>
      <c r="AE19" s="60"/>
      <c r="AF19" s="60"/>
      <c r="AG19" s="61"/>
      <c r="AH19" s="63"/>
      <c r="AI19" s="64"/>
      <c r="AJ19" s="60"/>
      <c r="AK19" s="60"/>
      <c r="AL19" s="60"/>
      <c r="AM19" s="60"/>
      <c r="AN19" s="65"/>
      <c r="AO19" s="59"/>
      <c r="AP19" s="57"/>
      <c r="AQ19" s="57"/>
      <c r="AR19" s="57"/>
      <c r="AS19" s="57"/>
      <c r="AT19" s="57"/>
      <c r="AU19" s="58"/>
      <c r="AV19" s="59"/>
      <c r="AW19" s="57"/>
      <c r="AX19" s="57"/>
      <c r="AY19" s="57"/>
      <c r="AZ19" s="57"/>
      <c r="BA19" s="57"/>
      <c r="BB19" s="58"/>
      <c r="BC19" s="59"/>
      <c r="BD19" s="57"/>
      <c r="BE19" s="57"/>
      <c r="BF19" s="57"/>
      <c r="BG19" s="57"/>
      <c r="BH19" s="57"/>
      <c r="BI19" s="58"/>
      <c r="BJ19" s="59"/>
      <c r="BK19" s="57"/>
      <c r="BL19" s="57"/>
      <c r="BM19" s="66"/>
      <c r="BN19" s="67"/>
      <c r="BO19" s="57"/>
      <c r="BP19" s="58"/>
      <c r="BQ19" s="59"/>
      <c r="BR19" s="425"/>
      <c r="BS19" s="57"/>
      <c r="BT19" s="57"/>
      <c r="BU19" s="57"/>
      <c r="BV19" s="57"/>
      <c r="BW19" s="58"/>
      <c r="BX19" s="69"/>
      <c r="BY19" s="57"/>
      <c r="BZ19" s="57"/>
      <c r="CA19" s="57"/>
      <c r="CB19" s="57"/>
      <c r="CC19" s="70"/>
      <c r="CD19" s="71"/>
      <c r="CE19" s="72"/>
      <c r="CF19" s="70"/>
      <c r="CG19" s="70"/>
      <c r="CH19" s="70"/>
      <c r="CI19" s="70"/>
      <c r="CJ19" s="70"/>
      <c r="CK19" s="71"/>
      <c r="CL19" s="59"/>
      <c r="CM19" s="57"/>
      <c r="CN19" s="57"/>
      <c r="CO19" s="73"/>
      <c r="CP19" s="69"/>
      <c r="CQ19" s="57"/>
      <c r="CR19" s="58"/>
      <c r="CS19" s="59"/>
      <c r="CT19" s="57"/>
      <c r="CU19" s="57"/>
      <c r="CV19" s="57"/>
      <c r="CW19" s="57"/>
      <c r="CX19" s="57"/>
      <c r="CY19" s="162"/>
      <c r="CZ19" s="57"/>
      <c r="DA19" s="57"/>
      <c r="DB19" s="57"/>
      <c r="DC19" s="57"/>
      <c r="DD19" s="57"/>
      <c r="DE19" s="58"/>
      <c r="DF19" s="74"/>
      <c r="DG19" s="57"/>
      <c r="DH19" s="57"/>
      <c r="DI19" s="57"/>
      <c r="DJ19" s="57"/>
      <c r="DK19" s="57"/>
      <c r="DL19" s="58"/>
      <c r="DM19" s="69"/>
      <c r="DN19" s="57"/>
      <c r="DO19" s="57"/>
      <c r="DP19" s="57"/>
      <c r="DQ19" s="57"/>
      <c r="DR19" s="57"/>
      <c r="DS19" s="75"/>
    </row>
    <row r="20" spans="1:123" ht="14" outlineLevel="1">
      <c r="A20" s="76" t="s">
        <v>188</v>
      </c>
      <c r="B20" s="77" t="s">
        <v>9</v>
      </c>
      <c r="C20" s="105" t="s">
        <v>178</v>
      </c>
      <c r="D20" s="79"/>
      <c r="E20" s="57"/>
      <c r="F20" s="57"/>
      <c r="G20" s="57"/>
      <c r="H20" s="57"/>
      <c r="I20" s="57"/>
      <c r="J20" s="57"/>
      <c r="K20" s="57"/>
      <c r="L20" s="66"/>
      <c r="M20" s="56"/>
      <c r="N20" s="54"/>
      <c r="O20" s="54"/>
      <c r="P20" s="81"/>
      <c r="Q20" s="54"/>
      <c r="R20" s="54"/>
      <c r="S20" s="80"/>
      <c r="T20" s="56"/>
      <c r="U20" s="54"/>
      <c r="V20" s="54"/>
      <c r="W20" s="54"/>
      <c r="X20" s="54"/>
      <c r="Y20" s="60"/>
      <c r="Z20" s="61"/>
      <c r="AA20" s="62"/>
      <c r="AB20" s="60"/>
      <c r="AC20" s="60"/>
      <c r="AD20" s="60"/>
      <c r="AE20" s="60"/>
      <c r="AF20" s="60"/>
      <c r="AG20" s="61"/>
      <c r="AH20" s="63"/>
      <c r="AI20" s="64"/>
      <c r="AJ20" s="60"/>
      <c r="AK20" s="60"/>
      <c r="AL20" s="60"/>
      <c r="AM20" s="60"/>
      <c r="AN20" s="65"/>
      <c r="AO20" s="59"/>
      <c r="AP20" s="57"/>
      <c r="AQ20" s="57"/>
      <c r="AR20" s="57"/>
      <c r="AS20" s="57"/>
      <c r="AT20" s="57"/>
      <c r="AU20" s="58"/>
      <c r="AV20" s="59"/>
      <c r="AW20" s="57"/>
      <c r="AX20" s="57"/>
      <c r="AY20" s="57"/>
      <c r="AZ20" s="57"/>
      <c r="BA20" s="57"/>
      <c r="BB20" s="58"/>
      <c r="BC20" s="59"/>
      <c r="BD20" s="57"/>
      <c r="BE20" s="57"/>
      <c r="BF20" s="57"/>
      <c r="BG20" s="57"/>
      <c r="BH20" s="57"/>
      <c r="BI20" s="58"/>
      <c r="BJ20" s="69"/>
      <c r="BK20" s="57"/>
      <c r="BL20" s="57"/>
      <c r="BM20" s="66"/>
      <c r="BN20" s="67"/>
      <c r="BO20" s="57"/>
      <c r="BP20" s="57"/>
      <c r="BQ20" s="59"/>
      <c r="BR20" s="425"/>
      <c r="BS20" s="57"/>
      <c r="BT20" s="57"/>
      <c r="BU20" s="57"/>
      <c r="BV20" s="57"/>
      <c r="BW20" s="58"/>
      <c r="BX20" s="69"/>
      <c r="BY20" s="57"/>
      <c r="BZ20" s="57"/>
      <c r="CA20" s="57"/>
      <c r="CB20" s="57"/>
      <c r="CC20" s="70"/>
      <c r="CD20" s="71"/>
      <c r="CE20" s="72"/>
      <c r="CF20" s="70"/>
      <c r="CG20" s="70"/>
      <c r="CH20" s="70"/>
      <c r="CI20" s="70"/>
      <c r="CJ20" s="70"/>
      <c r="CK20" s="71"/>
      <c r="CL20" s="59"/>
      <c r="CM20" s="57"/>
      <c r="CN20" s="57"/>
      <c r="CO20" s="73"/>
      <c r="CP20" s="69"/>
      <c r="CQ20" s="57"/>
      <c r="CR20" s="58"/>
      <c r="CS20" s="59"/>
      <c r="CT20" s="57"/>
      <c r="CU20" s="57"/>
      <c r="CV20" s="57"/>
      <c r="CW20" s="57"/>
      <c r="CX20" s="57"/>
      <c r="CY20" s="162"/>
      <c r="CZ20" s="57"/>
      <c r="DA20" s="57"/>
      <c r="DB20" s="57"/>
      <c r="DC20" s="57"/>
      <c r="DD20" s="57"/>
      <c r="DE20" s="58"/>
      <c r="DF20" s="74"/>
      <c r="DG20" s="57"/>
      <c r="DH20" s="57"/>
      <c r="DI20" s="57"/>
      <c r="DJ20" s="57"/>
      <c r="DK20" s="57"/>
      <c r="DL20" s="58"/>
      <c r="DM20" s="69"/>
      <c r="DN20" s="57"/>
      <c r="DO20" s="57"/>
      <c r="DP20" s="57"/>
      <c r="DQ20" s="57"/>
      <c r="DR20" s="57"/>
      <c r="DS20" s="75"/>
    </row>
    <row r="21" spans="1:123" ht="14" outlineLevel="1">
      <c r="A21" s="76" t="s">
        <v>189</v>
      </c>
      <c r="B21" s="77" t="s">
        <v>9</v>
      </c>
      <c r="C21" s="379" t="s">
        <v>253</v>
      </c>
      <c r="D21" s="79"/>
      <c r="E21" s="57"/>
      <c r="F21" s="57"/>
      <c r="G21" s="57"/>
      <c r="H21" s="57"/>
      <c r="I21" s="57"/>
      <c r="J21" s="57"/>
      <c r="K21" s="57"/>
      <c r="L21" s="66"/>
      <c r="M21" s="59"/>
      <c r="N21" s="107"/>
      <c r="O21" s="107"/>
      <c r="P21" s="107"/>
      <c r="Q21" s="107"/>
      <c r="R21" s="57"/>
      <c r="S21" s="58"/>
      <c r="T21" s="59"/>
      <c r="U21" s="57"/>
      <c r="V21" s="57"/>
      <c r="W21" s="57"/>
      <c r="X21" s="57"/>
      <c r="Y21" s="60"/>
      <c r="Z21" s="61"/>
      <c r="AA21" s="62"/>
      <c r="AB21" s="60"/>
      <c r="AC21" s="60"/>
      <c r="AD21" s="60"/>
      <c r="AE21" s="60"/>
      <c r="AF21" s="60"/>
      <c r="AG21" s="61"/>
      <c r="AH21" s="63"/>
      <c r="AI21" s="64"/>
      <c r="AJ21" s="60"/>
      <c r="AK21" s="60"/>
      <c r="AL21" s="60"/>
      <c r="AM21" s="60"/>
      <c r="AN21" s="65"/>
      <c r="AO21" s="56"/>
      <c r="AP21" s="54"/>
      <c r="AQ21" s="54"/>
      <c r="AR21" s="54"/>
      <c r="AS21" s="54"/>
      <c r="AT21" s="54"/>
      <c r="AU21" s="80"/>
      <c r="AV21" s="56"/>
      <c r="AW21" s="54"/>
      <c r="AX21" s="54"/>
      <c r="AY21" s="54"/>
      <c r="AZ21" s="54"/>
      <c r="BA21" s="54"/>
      <c r="BB21" s="80"/>
      <c r="BC21" s="59"/>
      <c r="BD21" s="57"/>
      <c r="BE21" s="57"/>
      <c r="BF21" s="57"/>
      <c r="BG21" s="57"/>
      <c r="BH21" s="57"/>
      <c r="BI21" s="58"/>
      <c r="BJ21" s="69"/>
      <c r="BK21" s="57"/>
      <c r="BL21" s="57"/>
      <c r="BM21" s="66"/>
      <c r="BN21" s="67"/>
      <c r="BO21" s="57"/>
      <c r="BP21" s="57"/>
      <c r="BQ21" s="59"/>
      <c r="BR21" s="425"/>
      <c r="BS21" s="57"/>
      <c r="BT21" s="57"/>
      <c r="BU21" s="57"/>
      <c r="BV21" s="57"/>
      <c r="BW21" s="58"/>
      <c r="BX21" s="69"/>
      <c r="BY21" s="57"/>
      <c r="BZ21" s="57"/>
      <c r="CA21" s="57"/>
      <c r="CB21" s="57"/>
      <c r="CC21" s="70"/>
      <c r="CD21" s="71"/>
      <c r="CE21" s="72"/>
      <c r="CF21" s="70"/>
      <c r="CG21" s="70"/>
      <c r="CH21" s="70"/>
      <c r="CI21" s="70"/>
      <c r="CJ21" s="70"/>
      <c r="CK21" s="71"/>
      <c r="CL21" s="59"/>
      <c r="CM21" s="57"/>
      <c r="CN21" s="57"/>
      <c r="CO21" s="73"/>
      <c r="CP21" s="69"/>
      <c r="CQ21" s="57"/>
      <c r="CR21" s="58"/>
      <c r="CS21" s="59"/>
      <c r="CT21" s="57"/>
      <c r="CU21" s="57"/>
      <c r="CV21" s="57"/>
      <c r="CW21" s="57"/>
      <c r="CX21" s="57"/>
      <c r="CY21" s="162"/>
      <c r="CZ21" s="57"/>
      <c r="DA21" s="57"/>
      <c r="DB21" s="57"/>
      <c r="DC21" s="57"/>
      <c r="DD21" s="57"/>
      <c r="DE21" s="58"/>
      <c r="DF21" s="74"/>
      <c r="DG21" s="57"/>
      <c r="DH21" s="57"/>
      <c r="DI21" s="57"/>
      <c r="DJ21" s="57"/>
      <c r="DK21" s="57"/>
      <c r="DL21" s="58"/>
      <c r="DM21" s="69"/>
      <c r="DN21" s="57"/>
      <c r="DO21" s="57"/>
      <c r="DP21" s="57"/>
      <c r="DQ21" s="57"/>
      <c r="DR21" s="57"/>
      <c r="DS21" s="75"/>
    </row>
    <row r="22" spans="1:123" ht="14.5" outlineLevel="1" thickBot="1">
      <c r="A22" s="140" t="s">
        <v>191</v>
      </c>
      <c r="B22" s="77" t="s">
        <v>9</v>
      </c>
      <c r="C22" s="105" t="s">
        <v>178</v>
      </c>
      <c r="D22" s="57"/>
      <c r="E22" s="57"/>
      <c r="F22" s="57"/>
      <c r="G22" s="57"/>
      <c r="H22" s="57"/>
      <c r="I22" s="57"/>
      <c r="J22" s="57"/>
      <c r="K22" s="57"/>
      <c r="L22" s="57"/>
      <c r="M22" s="59"/>
      <c r="N22" s="57"/>
      <c r="O22" s="57"/>
      <c r="P22" s="57"/>
      <c r="Q22" s="95"/>
      <c r="R22" s="95"/>
      <c r="S22" s="96"/>
      <c r="T22" s="141"/>
      <c r="U22" s="95"/>
      <c r="V22" s="95"/>
      <c r="W22" s="84"/>
      <c r="X22" s="84"/>
      <c r="Y22" s="60"/>
      <c r="Z22" s="61"/>
      <c r="AA22" s="62"/>
      <c r="AB22" s="60"/>
      <c r="AC22" s="60"/>
      <c r="AD22" s="60"/>
      <c r="AE22" s="60"/>
      <c r="AF22" s="60"/>
      <c r="AG22" s="61"/>
      <c r="AH22" s="63"/>
      <c r="AI22" s="64"/>
      <c r="AJ22" s="60"/>
      <c r="AK22" s="60"/>
      <c r="AL22" s="60"/>
      <c r="AM22" s="60"/>
      <c r="AN22" s="65"/>
      <c r="AO22" s="59"/>
      <c r="AP22" s="57"/>
      <c r="AQ22" s="57"/>
      <c r="AR22" s="57"/>
      <c r="AS22" s="57"/>
      <c r="AT22" s="57"/>
      <c r="AU22" s="58"/>
      <c r="AV22" s="59"/>
      <c r="AW22" s="57"/>
      <c r="AX22" s="57"/>
      <c r="AY22" s="57"/>
      <c r="AZ22" s="57"/>
      <c r="BA22" s="57"/>
      <c r="BB22" s="58"/>
      <c r="BC22" s="59"/>
      <c r="BD22" s="57"/>
      <c r="BE22" s="57"/>
      <c r="BF22" s="57"/>
      <c r="BG22" s="57"/>
      <c r="BH22" s="57"/>
      <c r="BI22" s="58"/>
      <c r="BJ22" s="59"/>
      <c r="BK22" s="57"/>
      <c r="BL22" s="57"/>
      <c r="BM22" s="66"/>
      <c r="BN22" s="67"/>
      <c r="BP22" s="58"/>
      <c r="BQ22" s="59"/>
      <c r="BR22" s="425"/>
      <c r="BS22" s="57"/>
      <c r="BT22" s="57"/>
      <c r="BU22" s="57"/>
      <c r="BV22" s="57"/>
      <c r="BW22" s="58"/>
      <c r="BX22" s="69"/>
      <c r="BY22" s="57"/>
      <c r="BZ22" s="57"/>
      <c r="CA22" s="57"/>
      <c r="CB22" s="57"/>
      <c r="CC22" s="70"/>
      <c r="CD22" s="71"/>
      <c r="CE22" s="72"/>
      <c r="CF22" s="70"/>
      <c r="CG22" s="70"/>
      <c r="CH22" s="70"/>
      <c r="CI22" s="70"/>
      <c r="CJ22" s="70"/>
      <c r="CK22" s="71"/>
      <c r="CL22" s="59"/>
      <c r="CM22" s="57"/>
      <c r="CN22" s="57"/>
      <c r="CO22" s="73"/>
      <c r="CP22" s="69"/>
      <c r="CQ22" s="57"/>
      <c r="CR22" s="58"/>
      <c r="CS22" s="59"/>
      <c r="CT22" s="57"/>
      <c r="CU22" s="57"/>
      <c r="CV22" s="57"/>
      <c r="CW22" s="57"/>
      <c r="CX22" s="57"/>
      <c r="CY22" s="162"/>
      <c r="CZ22" s="57"/>
      <c r="DA22" s="57"/>
      <c r="DB22" s="57"/>
      <c r="DC22" s="57"/>
      <c r="DD22" s="57"/>
      <c r="DE22" s="58"/>
      <c r="DF22" s="103"/>
      <c r="DG22" s="84"/>
      <c r="DH22" s="84"/>
      <c r="DI22" s="84"/>
      <c r="DJ22" s="84"/>
      <c r="DK22" s="84"/>
      <c r="DL22" s="87"/>
      <c r="DM22" s="98"/>
      <c r="DN22" s="84"/>
      <c r="DO22" s="84"/>
      <c r="DP22" s="84"/>
      <c r="DQ22" s="84"/>
      <c r="DR22" s="84"/>
      <c r="DS22" s="104"/>
    </row>
    <row r="23" spans="1:123" ht="14" outlineLevel="1">
      <c r="A23" s="140" t="s">
        <v>192</v>
      </c>
      <c r="B23" s="77" t="s">
        <v>9</v>
      </c>
      <c r="C23" s="105" t="s">
        <v>178</v>
      </c>
      <c r="D23" s="57"/>
      <c r="E23" s="57"/>
      <c r="F23" s="57"/>
      <c r="G23" s="57"/>
      <c r="H23" s="57"/>
      <c r="I23" s="57"/>
      <c r="J23" s="57"/>
      <c r="K23" s="57"/>
      <c r="L23" s="57"/>
      <c r="M23" s="59"/>
      <c r="N23" s="57"/>
      <c r="O23" s="57"/>
      <c r="P23" s="57"/>
      <c r="Q23" s="57"/>
      <c r="R23" s="57"/>
      <c r="S23" s="57"/>
      <c r="T23" s="56"/>
      <c r="U23" s="54"/>
      <c r="V23" s="54"/>
      <c r="W23" s="54"/>
      <c r="X23" s="122"/>
      <c r="Y23" s="60"/>
      <c r="Z23" s="61"/>
      <c r="AA23" s="62"/>
      <c r="AB23" s="60"/>
      <c r="AC23" s="60"/>
      <c r="AD23" s="60"/>
      <c r="AE23" s="60"/>
      <c r="AF23" s="60"/>
      <c r="AG23" s="61"/>
      <c r="AH23" s="63"/>
      <c r="AI23" s="64"/>
      <c r="AJ23" s="60"/>
      <c r="AK23" s="60"/>
      <c r="AL23" s="60"/>
      <c r="AM23" s="60"/>
      <c r="AN23" s="65"/>
      <c r="AO23" s="59"/>
      <c r="AP23" s="57"/>
      <c r="AQ23" s="57"/>
      <c r="AR23" s="57"/>
      <c r="AS23" s="57"/>
      <c r="AT23" s="57"/>
      <c r="AU23" s="58"/>
      <c r="AV23" s="59"/>
      <c r="AW23" s="57"/>
      <c r="AX23" s="57"/>
      <c r="AY23" s="57"/>
      <c r="AZ23" s="57"/>
      <c r="BA23" s="57"/>
      <c r="BB23" s="58"/>
      <c r="BC23" s="59"/>
      <c r="BD23" s="57"/>
      <c r="BE23" s="57"/>
      <c r="BF23" s="57"/>
      <c r="BG23" s="57"/>
      <c r="BH23" s="57"/>
      <c r="BI23" s="58"/>
      <c r="BJ23" s="59"/>
      <c r="BK23" s="57"/>
      <c r="BL23" s="57"/>
      <c r="BM23" s="66"/>
      <c r="BN23" s="67"/>
      <c r="BO23" s="57"/>
      <c r="BP23" s="58"/>
      <c r="BQ23" s="59"/>
      <c r="BR23" s="425"/>
      <c r="BS23" s="57"/>
      <c r="BT23" s="57"/>
      <c r="BU23" s="57"/>
      <c r="BV23" s="57"/>
      <c r="BW23" s="58"/>
      <c r="BX23" s="69"/>
      <c r="BY23" s="57"/>
      <c r="BZ23" s="57"/>
      <c r="CA23" s="57"/>
      <c r="CB23" s="57"/>
      <c r="CC23" s="70"/>
      <c r="CD23" s="71"/>
      <c r="CE23" s="128"/>
      <c r="CF23" s="126"/>
      <c r="CG23" s="126"/>
      <c r="CH23" s="126"/>
      <c r="CI23" s="126"/>
      <c r="CJ23" s="126"/>
      <c r="CK23" s="127"/>
      <c r="CL23" s="59"/>
      <c r="CM23" s="57"/>
      <c r="CN23" s="57"/>
      <c r="CO23" s="73"/>
      <c r="CP23" s="69"/>
      <c r="CQ23" s="57"/>
      <c r="CR23" s="58"/>
      <c r="CS23" s="59"/>
      <c r="CT23" s="57"/>
      <c r="CU23" s="57"/>
      <c r="CV23" s="57"/>
      <c r="CW23" s="57"/>
      <c r="CX23" s="57"/>
      <c r="CY23" s="162"/>
      <c r="CZ23" s="57"/>
      <c r="DA23" s="57"/>
      <c r="DB23" s="57"/>
      <c r="DC23" s="57"/>
      <c r="DD23" s="57"/>
      <c r="DE23" s="58"/>
      <c r="DF23" s="130"/>
      <c r="DG23" s="107"/>
      <c r="DH23" s="107"/>
      <c r="DI23" s="107"/>
      <c r="DJ23" s="107"/>
      <c r="DK23" s="107"/>
      <c r="DL23" s="110"/>
      <c r="DM23" s="125"/>
      <c r="DN23" s="107"/>
      <c r="DO23" s="107"/>
      <c r="DP23" s="107"/>
      <c r="DQ23" s="107"/>
      <c r="DR23" s="107"/>
      <c r="DS23" s="131"/>
    </row>
    <row r="24" spans="1:123" ht="14" outlineLevel="1">
      <c r="A24" s="140" t="s">
        <v>193</v>
      </c>
      <c r="B24" s="77" t="s">
        <v>9</v>
      </c>
      <c r="C24" s="105" t="s">
        <v>178</v>
      </c>
      <c r="D24" s="79"/>
      <c r="E24" s="57"/>
      <c r="F24" s="57"/>
      <c r="G24" s="57"/>
      <c r="H24" s="57"/>
      <c r="I24" s="57"/>
      <c r="J24" s="57"/>
      <c r="K24" s="57"/>
      <c r="L24" s="66"/>
      <c r="M24" s="59"/>
      <c r="N24" s="57"/>
      <c r="O24" s="57"/>
      <c r="P24" s="57"/>
      <c r="Q24" s="57"/>
      <c r="R24" s="57"/>
      <c r="S24" s="57"/>
      <c r="T24" s="59"/>
      <c r="U24" s="57"/>
      <c r="V24" s="57"/>
      <c r="W24" s="57"/>
      <c r="X24" s="57"/>
      <c r="Y24" s="60"/>
      <c r="Z24" s="61"/>
      <c r="AA24" s="62"/>
      <c r="AB24" s="60"/>
      <c r="AC24" s="60"/>
      <c r="AD24" s="60"/>
      <c r="AE24" s="60"/>
      <c r="AF24" s="60"/>
      <c r="AG24" s="61"/>
      <c r="AH24" s="63"/>
      <c r="AI24" s="64"/>
      <c r="AJ24" s="60"/>
      <c r="AK24" s="60"/>
      <c r="AL24" s="60"/>
      <c r="AM24" s="60"/>
      <c r="AN24" s="65"/>
      <c r="AO24" s="59"/>
      <c r="AP24" s="57"/>
      <c r="AQ24" s="57"/>
      <c r="AR24" s="57"/>
      <c r="AS24" s="57"/>
      <c r="AT24" s="57"/>
      <c r="AU24" s="58"/>
      <c r="AV24" s="56"/>
      <c r="AW24" s="54"/>
      <c r="AX24" s="54"/>
      <c r="AY24" s="54"/>
      <c r="AZ24" s="54"/>
      <c r="BA24" s="54"/>
      <c r="BB24" s="80"/>
      <c r="BC24" s="109"/>
      <c r="BD24" s="107"/>
      <c r="BE24" s="122"/>
      <c r="BF24" s="107"/>
      <c r="BG24" s="107"/>
      <c r="BH24" s="107"/>
      <c r="BI24" s="110"/>
      <c r="BJ24" s="109"/>
      <c r="BK24" s="107"/>
      <c r="BL24" s="107"/>
      <c r="BM24" s="108"/>
      <c r="BN24" s="123"/>
      <c r="BO24" s="107"/>
      <c r="BP24" s="110"/>
      <c r="BQ24" s="109"/>
      <c r="BR24" s="427"/>
      <c r="BS24" s="107"/>
      <c r="BT24" s="107"/>
      <c r="BU24" s="107"/>
      <c r="BV24" s="107"/>
      <c r="BW24" s="110"/>
      <c r="BX24" s="125"/>
      <c r="BY24" s="107"/>
      <c r="BZ24" s="57"/>
      <c r="CA24" s="57"/>
      <c r="CB24" s="57"/>
      <c r="CC24" s="126"/>
      <c r="CD24" s="127"/>
      <c r="CE24" s="128"/>
      <c r="CF24" s="126"/>
      <c r="CG24" s="126"/>
      <c r="CH24" s="126"/>
      <c r="CI24" s="126"/>
      <c r="CJ24" s="126"/>
      <c r="CK24" s="127"/>
      <c r="CL24" s="109"/>
      <c r="CM24" s="107"/>
      <c r="CN24" s="107"/>
      <c r="CO24" s="129"/>
      <c r="CP24" s="125"/>
      <c r="CQ24" s="107"/>
      <c r="CR24" s="110"/>
      <c r="CS24" s="109"/>
      <c r="CT24" s="107"/>
      <c r="CU24" s="107"/>
      <c r="CV24" s="107"/>
      <c r="CW24" s="107"/>
      <c r="CX24" s="107"/>
      <c r="CY24" s="162"/>
      <c r="CZ24" s="107"/>
      <c r="DA24" s="107"/>
      <c r="DB24" s="107"/>
      <c r="DC24" s="107"/>
      <c r="DD24" s="107"/>
      <c r="DE24" s="110"/>
      <c r="DF24" s="130"/>
      <c r="DG24" s="107"/>
      <c r="DH24" s="107"/>
      <c r="DI24" s="107"/>
      <c r="DJ24" s="107"/>
      <c r="DK24" s="107"/>
      <c r="DL24" s="110"/>
      <c r="DM24" s="125"/>
      <c r="DN24" s="107"/>
      <c r="DO24" s="107"/>
      <c r="DP24" s="107"/>
      <c r="DQ24" s="107"/>
      <c r="DR24" s="107"/>
      <c r="DS24" s="131"/>
    </row>
    <row r="25" spans="1:123" ht="14" outlineLevel="1">
      <c r="A25" s="140" t="s">
        <v>194</v>
      </c>
      <c r="B25" s="77" t="s">
        <v>9</v>
      </c>
      <c r="C25" s="379" t="s">
        <v>253</v>
      </c>
      <c r="D25" s="106"/>
      <c r="E25" s="107"/>
      <c r="F25" s="107"/>
      <c r="G25" s="107"/>
      <c r="H25" s="107"/>
      <c r="I25" s="107"/>
      <c r="J25" s="107"/>
      <c r="K25" s="107"/>
      <c r="L25" s="108"/>
      <c r="M25" s="59"/>
      <c r="N25" s="57"/>
      <c r="O25" s="57"/>
      <c r="P25" s="57"/>
      <c r="Q25" s="57"/>
      <c r="R25" s="57"/>
      <c r="S25" s="57"/>
      <c r="T25" s="59"/>
      <c r="U25" s="57"/>
      <c r="V25" s="57"/>
      <c r="W25" s="57"/>
      <c r="X25" s="57"/>
      <c r="Y25" s="60"/>
      <c r="Z25" s="61"/>
      <c r="AA25" s="62"/>
      <c r="AB25" s="60"/>
      <c r="AC25" s="60"/>
      <c r="AD25" s="60"/>
      <c r="AE25" s="60"/>
      <c r="AF25" s="60"/>
      <c r="AG25" s="61"/>
      <c r="AH25" s="63"/>
      <c r="AI25" s="64"/>
      <c r="AJ25" s="60"/>
      <c r="AK25" s="60"/>
      <c r="AL25" s="60"/>
      <c r="AM25" s="60"/>
      <c r="AN25" s="65"/>
      <c r="AO25" s="59"/>
      <c r="AP25" s="57"/>
      <c r="AQ25" s="57"/>
      <c r="AR25" s="57"/>
      <c r="AS25" s="57"/>
      <c r="AT25" s="57"/>
      <c r="AU25" s="58"/>
      <c r="AV25" s="59"/>
      <c r="AW25" s="57"/>
      <c r="AX25" s="57"/>
      <c r="AY25" s="57"/>
      <c r="AZ25" s="57"/>
      <c r="BA25" s="57"/>
      <c r="BB25" s="58"/>
      <c r="BC25" s="120"/>
      <c r="BD25" s="121"/>
      <c r="BE25" s="121"/>
      <c r="BF25" s="121"/>
      <c r="BG25" s="121"/>
      <c r="BH25" s="121"/>
      <c r="BI25" s="142"/>
      <c r="BJ25" s="330"/>
      <c r="BK25" s="331"/>
      <c r="BL25" s="331"/>
      <c r="BM25" s="332"/>
      <c r="BN25" s="333"/>
      <c r="BO25" s="107"/>
      <c r="BP25" s="110"/>
      <c r="BQ25" s="109"/>
      <c r="BR25" s="427"/>
      <c r="BS25" s="107"/>
      <c r="BT25" s="107"/>
      <c r="BU25" s="107"/>
      <c r="BV25" s="107"/>
      <c r="BW25" s="110"/>
      <c r="BX25" s="125"/>
      <c r="BY25" s="107"/>
      <c r="BZ25" s="57"/>
      <c r="CA25" s="57"/>
      <c r="CB25" s="57"/>
      <c r="CC25" s="126"/>
      <c r="CD25" s="127"/>
      <c r="CE25" s="128"/>
      <c r="CF25" s="126"/>
      <c r="CG25" s="126"/>
      <c r="CH25" s="126"/>
      <c r="CI25" s="126"/>
      <c r="CJ25" s="126"/>
      <c r="CK25" s="127"/>
      <c r="CL25" s="109"/>
      <c r="CM25" s="107"/>
      <c r="CN25" s="107"/>
      <c r="CO25" s="129"/>
      <c r="CP25" s="125"/>
      <c r="CQ25" s="107"/>
      <c r="CR25" s="110"/>
      <c r="CS25" s="109"/>
      <c r="CT25" s="107"/>
      <c r="CU25" s="107"/>
      <c r="CV25" s="107"/>
      <c r="CW25" s="107"/>
      <c r="CX25" s="107"/>
      <c r="CY25" s="162"/>
      <c r="CZ25" s="107"/>
      <c r="DA25" s="107"/>
      <c r="DB25" s="107"/>
      <c r="DC25" s="107"/>
      <c r="DD25" s="107"/>
      <c r="DE25" s="110"/>
      <c r="DF25" s="130"/>
      <c r="DG25" s="107"/>
      <c r="DH25" s="107"/>
      <c r="DI25" s="107"/>
      <c r="DJ25" s="107"/>
      <c r="DK25" s="107"/>
      <c r="DL25" s="110"/>
      <c r="DM25" s="125"/>
      <c r="DN25" s="107"/>
      <c r="DO25" s="107"/>
      <c r="DP25" s="107"/>
      <c r="DQ25" s="107"/>
      <c r="DR25" s="107"/>
      <c r="DS25" s="131"/>
    </row>
    <row r="26" spans="1:123" ht="14" outlineLevel="1">
      <c r="A26" s="140" t="s">
        <v>316</v>
      </c>
      <c r="B26" s="77" t="s">
        <v>9</v>
      </c>
      <c r="C26" s="379" t="s">
        <v>253</v>
      </c>
      <c r="D26" s="79"/>
      <c r="E26" s="57"/>
      <c r="F26" s="57"/>
      <c r="G26" s="57"/>
      <c r="H26" s="57"/>
      <c r="I26" s="57"/>
      <c r="J26" s="57"/>
      <c r="K26" s="57"/>
      <c r="L26" s="66"/>
      <c r="M26" s="59"/>
      <c r="N26" s="57"/>
      <c r="O26" s="57"/>
      <c r="P26" s="57"/>
      <c r="Q26" s="57"/>
      <c r="R26" s="57"/>
      <c r="S26" s="57"/>
      <c r="T26" s="59"/>
      <c r="U26" s="57"/>
      <c r="V26" s="57"/>
      <c r="W26" s="57"/>
      <c r="X26" s="57"/>
      <c r="Y26" s="60"/>
      <c r="Z26" s="61"/>
      <c r="AA26" s="62"/>
      <c r="AB26" s="60"/>
      <c r="AC26" s="60"/>
      <c r="AD26" s="60"/>
      <c r="AE26" s="60"/>
      <c r="AF26" s="60"/>
      <c r="AG26" s="61"/>
      <c r="AH26" s="63"/>
      <c r="AI26" s="64"/>
      <c r="AJ26" s="60"/>
      <c r="AK26" s="60"/>
      <c r="AL26" s="60"/>
      <c r="AM26" s="60"/>
      <c r="AN26" s="65"/>
      <c r="AO26" s="59"/>
      <c r="AP26" s="57"/>
      <c r="AQ26" s="57"/>
      <c r="AR26" s="57"/>
      <c r="AS26" s="57"/>
      <c r="AT26" s="57"/>
      <c r="AU26" s="58"/>
      <c r="AV26" s="59"/>
      <c r="AW26" s="57"/>
      <c r="AX26" s="57"/>
      <c r="AY26" s="57"/>
      <c r="AZ26" s="57"/>
      <c r="BA26" s="57"/>
      <c r="BB26" s="58"/>
      <c r="BC26" s="109"/>
      <c r="BD26" s="107"/>
      <c r="BE26" s="107"/>
      <c r="BF26" s="107"/>
      <c r="BG26" s="107"/>
      <c r="BH26" s="107"/>
      <c r="BI26" s="110"/>
      <c r="BJ26" s="109"/>
      <c r="BK26" s="107"/>
      <c r="BL26" s="107"/>
      <c r="BM26" s="108"/>
      <c r="BN26" s="123"/>
      <c r="BO26" s="107"/>
      <c r="BP26" s="110"/>
      <c r="BQ26" s="330"/>
      <c r="BR26" s="427"/>
      <c r="BS26" s="331"/>
      <c r="BT26" s="331"/>
      <c r="BU26" s="331"/>
      <c r="BV26" s="107"/>
      <c r="BW26" s="110"/>
      <c r="BX26" s="125"/>
      <c r="BY26" s="107"/>
      <c r="BZ26" s="57"/>
      <c r="CA26" s="57"/>
      <c r="CB26" s="57"/>
      <c r="CC26" s="126"/>
      <c r="CD26" s="127"/>
      <c r="CE26" s="128"/>
      <c r="CF26" s="126"/>
      <c r="CG26" s="126"/>
      <c r="CH26" s="126"/>
      <c r="CI26" s="126"/>
      <c r="CJ26" s="126"/>
      <c r="CK26" s="127"/>
      <c r="CL26" s="109"/>
      <c r="CM26" s="107"/>
      <c r="CN26" s="107"/>
      <c r="CO26" s="129"/>
      <c r="CP26" s="125"/>
      <c r="CQ26" s="107"/>
      <c r="CR26" s="110"/>
      <c r="CS26" s="109"/>
      <c r="CT26" s="107"/>
      <c r="CU26" s="107"/>
      <c r="CV26" s="107"/>
      <c r="CW26" s="107"/>
      <c r="CX26" s="107"/>
      <c r="CY26" s="162"/>
      <c r="CZ26" s="107"/>
      <c r="DA26" s="107"/>
      <c r="DB26" s="107"/>
      <c r="DC26" s="107"/>
      <c r="DD26" s="107"/>
      <c r="DE26" s="110"/>
      <c r="DF26" s="130"/>
      <c r="DG26" s="107"/>
      <c r="DH26" s="107"/>
      <c r="DI26" s="107"/>
      <c r="DJ26" s="107"/>
      <c r="DK26" s="107"/>
      <c r="DL26" s="110"/>
      <c r="DM26" s="125"/>
      <c r="DN26" s="107"/>
      <c r="DO26" s="107"/>
      <c r="DP26" s="107"/>
      <c r="DQ26" s="107"/>
      <c r="DR26" s="107"/>
      <c r="DS26" s="131"/>
    </row>
    <row r="27" spans="1:123" ht="14.5" outlineLevel="1" thickBot="1">
      <c r="A27" s="140" t="s">
        <v>195</v>
      </c>
      <c r="B27" s="77" t="s">
        <v>9</v>
      </c>
      <c r="C27" s="379" t="s">
        <v>253</v>
      </c>
      <c r="D27" s="106"/>
      <c r="E27" s="107"/>
      <c r="F27" s="107"/>
      <c r="G27" s="107"/>
      <c r="H27" s="107"/>
      <c r="I27" s="107"/>
      <c r="J27" s="107"/>
      <c r="K27" s="107"/>
      <c r="L27" s="108"/>
      <c r="M27" s="59"/>
      <c r="N27" s="57"/>
      <c r="O27" s="57"/>
      <c r="P27" s="57"/>
      <c r="Q27" s="57"/>
      <c r="R27" s="57"/>
      <c r="S27" s="57"/>
      <c r="T27" s="59"/>
      <c r="U27" s="57"/>
      <c r="V27" s="57"/>
      <c r="W27" s="57"/>
      <c r="X27" s="57"/>
      <c r="Y27" s="60"/>
      <c r="Z27" s="61"/>
      <c r="AA27" s="62"/>
      <c r="AB27" s="60"/>
      <c r="AC27" s="60"/>
      <c r="AD27" s="60"/>
      <c r="AE27" s="60"/>
      <c r="AF27" s="60"/>
      <c r="AG27" s="61"/>
      <c r="AH27" s="63"/>
      <c r="AI27" s="64"/>
      <c r="AJ27" s="60"/>
      <c r="AK27" s="60"/>
      <c r="AL27" s="60"/>
      <c r="AM27" s="60"/>
      <c r="AN27" s="65"/>
      <c r="AO27" s="59"/>
      <c r="AP27" s="57"/>
      <c r="AQ27" s="57"/>
      <c r="AR27" s="57"/>
      <c r="AS27" s="57"/>
      <c r="AT27" s="57"/>
      <c r="AU27" s="58"/>
      <c r="AV27" s="59"/>
      <c r="AW27" s="57"/>
      <c r="AX27" s="57"/>
      <c r="AY27" s="57"/>
      <c r="AZ27" s="57"/>
      <c r="BA27" s="57"/>
      <c r="BB27" s="58"/>
      <c r="BC27" s="334"/>
      <c r="BD27" s="335"/>
      <c r="BE27" s="335"/>
      <c r="BF27" s="335"/>
      <c r="BG27" s="335"/>
      <c r="BH27" s="335"/>
      <c r="BI27" s="336"/>
      <c r="BJ27" s="409"/>
      <c r="BK27" s="410"/>
      <c r="BL27" s="410"/>
      <c r="BM27" s="411"/>
      <c r="BN27" s="412"/>
      <c r="BO27" s="410"/>
      <c r="BP27" s="413"/>
      <c r="BQ27" s="109"/>
      <c r="BR27" s="427"/>
      <c r="BS27" s="107"/>
      <c r="BT27" s="107"/>
      <c r="BU27" s="107"/>
      <c r="BV27" s="107"/>
      <c r="BW27" s="110"/>
      <c r="BX27" s="125"/>
      <c r="BY27" s="107"/>
      <c r="BZ27" s="57"/>
      <c r="CA27" s="57"/>
      <c r="CB27" s="57"/>
      <c r="CC27" s="126"/>
      <c r="CD27" s="127"/>
      <c r="CE27" s="128"/>
      <c r="CF27" s="126"/>
      <c r="CG27" s="126"/>
      <c r="CH27" s="126"/>
      <c r="CI27" s="126"/>
      <c r="CJ27" s="126"/>
      <c r="CK27" s="127"/>
      <c r="CL27" s="109"/>
      <c r="CM27" s="107"/>
      <c r="CN27" s="107"/>
      <c r="CO27" s="129"/>
      <c r="CP27" s="125"/>
      <c r="CQ27" s="107"/>
      <c r="CR27" s="110"/>
      <c r="CS27" s="109"/>
      <c r="CT27" s="107"/>
      <c r="CU27" s="107"/>
      <c r="CV27" s="107"/>
      <c r="CW27" s="107"/>
      <c r="CX27" s="107"/>
      <c r="CY27" s="162"/>
      <c r="CZ27" s="107"/>
      <c r="DA27" s="107"/>
      <c r="DB27" s="107"/>
      <c r="DC27" s="107"/>
      <c r="DD27" s="107"/>
      <c r="DE27" s="110"/>
      <c r="DF27" s="130"/>
      <c r="DG27" s="107"/>
      <c r="DH27" s="107"/>
      <c r="DI27" s="107"/>
      <c r="DJ27" s="107"/>
      <c r="DK27" s="107"/>
      <c r="DL27" s="110"/>
      <c r="DM27" s="125"/>
      <c r="DN27" s="107"/>
      <c r="DO27" s="107"/>
      <c r="DP27" s="107"/>
      <c r="DQ27" s="107"/>
      <c r="DR27" s="107"/>
      <c r="DS27" s="131"/>
    </row>
    <row r="28" spans="1:123" ht="14">
      <c r="A28" s="33" t="s">
        <v>196</v>
      </c>
      <c r="B28" s="34"/>
      <c r="C28" s="34"/>
      <c r="D28" s="36"/>
      <c r="E28" s="37"/>
      <c r="F28" s="37"/>
      <c r="G28" s="37"/>
      <c r="H28" s="37"/>
      <c r="I28" s="37"/>
      <c r="J28" s="37"/>
      <c r="K28" s="37"/>
      <c r="L28" s="38"/>
      <c r="M28" s="39"/>
      <c r="N28" s="37"/>
      <c r="O28" s="37"/>
      <c r="P28" s="37"/>
      <c r="Q28" s="37"/>
      <c r="R28" s="37"/>
      <c r="S28" s="40"/>
      <c r="T28" s="39"/>
      <c r="U28" s="37"/>
      <c r="V28" s="37"/>
      <c r="W28" s="37"/>
      <c r="X28" s="37"/>
      <c r="Y28" s="132"/>
      <c r="Z28" s="133"/>
      <c r="AA28" s="134"/>
      <c r="AB28" s="132"/>
      <c r="AC28" s="132"/>
      <c r="AD28" s="132"/>
      <c r="AE28" s="132"/>
      <c r="AF28" s="132"/>
      <c r="AG28" s="133"/>
      <c r="AH28" s="135"/>
      <c r="AI28" s="136"/>
      <c r="AJ28" s="132"/>
      <c r="AK28" s="132"/>
      <c r="AL28" s="132"/>
      <c r="AM28" s="132"/>
      <c r="AN28" s="137"/>
      <c r="AO28" s="39"/>
      <c r="AP28" s="37"/>
      <c r="AQ28" s="37"/>
      <c r="AR28" s="37"/>
      <c r="AS28" s="37"/>
      <c r="AT28" s="37"/>
      <c r="AU28" s="40"/>
      <c r="AV28" s="39"/>
      <c r="AW28" s="37"/>
      <c r="AX28" s="37"/>
      <c r="AY28" s="37"/>
      <c r="AZ28" s="37"/>
      <c r="BA28" s="37"/>
      <c r="BB28" s="40"/>
      <c r="BC28" s="39"/>
      <c r="BD28" s="37"/>
      <c r="BE28" s="37"/>
      <c r="BF28" s="37"/>
      <c r="BG28" s="37"/>
      <c r="BH28" s="37"/>
      <c r="BI28" s="40"/>
      <c r="BJ28" s="39"/>
      <c r="BK28" s="37"/>
      <c r="BL28" s="37"/>
      <c r="BM28" s="38"/>
      <c r="BN28" s="41"/>
      <c r="BO28" s="37"/>
      <c r="BP28" s="40"/>
      <c r="BQ28" s="39"/>
      <c r="BR28" s="424"/>
      <c r="BS28" s="37"/>
      <c r="BT28" s="37"/>
      <c r="BU28" s="37"/>
      <c r="BV28" s="37"/>
      <c r="BW28" s="40"/>
      <c r="BX28" s="43"/>
      <c r="BY28" s="37"/>
      <c r="BZ28" s="37"/>
      <c r="CA28" s="37"/>
      <c r="CB28" s="37"/>
      <c r="CC28" s="44"/>
      <c r="CD28" s="45"/>
      <c r="CE28" s="46"/>
      <c r="CF28" s="44"/>
      <c r="CG28" s="44"/>
      <c r="CH28" s="44"/>
      <c r="CI28" s="44"/>
      <c r="CJ28" s="44"/>
      <c r="CK28" s="45"/>
      <c r="CL28" s="39"/>
      <c r="CM28" s="37"/>
      <c r="CN28" s="37"/>
      <c r="CO28" s="47"/>
      <c r="CP28" s="43"/>
      <c r="CQ28" s="37"/>
      <c r="CR28" s="40"/>
      <c r="CS28" s="39"/>
      <c r="CT28" s="37"/>
      <c r="CU28" s="37"/>
      <c r="CV28" s="37"/>
      <c r="CW28" s="37"/>
      <c r="CX28" s="37"/>
      <c r="CY28" s="162"/>
      <c r="CZ28" s="37"/>
      <c r="DA28" s="37"/>
      <c r="DB28" s="37"/>
      <c r="DC28" s="37"/>
      <c r="DD28" s="37"/>
      <c r="DE28" s="40"/>
      <c r="DF28" s="48"/>
      <c r="DG28" s="37"/>
      <c r="DH28" s="37"/>
      <c r="DI28" s="37"/>
      <c r="DJ28" s="37"/>
      <c r="DK28" s="37"/>
      <c r="DL28" s="40"/>
      <c r="DM28" s="43"/>
      <c r="DN28" s="37"/>
      <c r="DO28" s="37"/>
      <c r="DP28" s="37"/>
      <c r="DQ28" s="37"/>
      <c r="DR28" s="37"/>
      <c r="DS28" s="49"/>
    </row>
    <row r="29" spans="1:123" ht="14" outlineLevel="1">
      <c r="A29" s="50" t="s">
        <v>197</v>
      </c>
      <c r="B29" s="51" t="s">
        <v>139</v>
      </c>
      <c r="C29" s="52" t="s">
        <v>178</v>
      </c>
      <c r="D29" s="53"/>
      <c r="E29" s="54"/>
      <c r="F29" s="54"/>
      <c r="G29" s="54"/>
      <c r="H29" s="54"/>
      <c r="I29" s="54"/>
      <c r="J29" s="54"/>
      <c r="K29" s="54"/>
      <c r="L29" s="55"/>
      <c r="M29" s="56"/>
      <c r="N29" s="57"/>
      <c r="O29" s="57"/>
      <c r="P29" s="57"/>
      <c r="Q29" s="57"/>
      <c r="R29" s="57"/>
      <c r="S29" s="58"/>
      <c r="T29" s="59"/>
      <c r="U29" s="57"/>
      <c r="V29" s="57"/>
      <c r="W29" s="57"/>
      <c r="X29" s="57"/>
      <c r="Y29" s="60"/>
      <c r="Z29" s="61"/>
      <c r="AA29" s="62"/>
      <c r="AB29" s="60"/>
      <c r="AC29" s="60"/>
      <c r="AD29" s="60"/>
      <c r="AE29" s="60"/>
      <c r="AF29" s="60"/>
      <c r="AG29" s="61"/>
      <c r="AH29" s="63"/>
      <c r="AI29" s="64"/>
      <c r="AJ29" s="60"/>
      <c r="AK29" s="60"/>
      <c r="AL29" s="60"/>
      <c r="AM29" s="60"/>
      <c r="AN29" s="65"/>
      <c r="AO29" s="59"/>
      <c r="AP29" s="57"/>
      <c r="AQ29" s="57"/>
      <c r="AR29" s="57"/>
      <c r="AS29" s="57"/>
      <c r="AT29" s="57"/>
      <c r="AU29" s="58"/>
      <c r="AV29" s="59"/>
      <c r="AW29" s="57"/>
      <c r="AX29" s="57"/>
      <c r="AY29" s="57"/>
      <c r="AZ29" s="57"/>
      <c r="BA29" s="57"/>
      <c r="BB29" s="58"/>
      <c r="BC29" s="59"/>
      <c r="BD29" s="57"/>
      <c r="BE29" s="57"/>
      <c r="BF29" s="57"/>
      <c r="BG29" s="57"/>
      <c r="BH29" s="57"/>
      <c r="BI29" s="58"/>
      <c r="BJ29" s="59"/>
      <c r="BK29" s="57"/>
      <c r="BL29" s="57"/>
      <c r="BM29" s="66"/>
      <c r="BN29" s="67"/>
      <c r="BO29" s="57"/>
      <c r="BP29" s="58"/>
      <c r="BQ29" s="59"/>
      <c r="BR29" s="425"/>
      <c r="BS29" s="57"/>
      <c r="BT29" s="57"/>
      <c r="BU29" s="57"/>
      <c r="BV29" s="57"/>
      <c r="BW29" s="58"/>
      <c r="BX29" s="69"/>
      <c r="BY29" s="57"/>
      <c r="BZ29" s="57"/>
      <c r="CA29" s="57"/>
      <c r="CB29" s="57"/>
      <c r="CC29" s="70"/>
      <c r="CD29" s="71"/>
      <c r="CE29" s="72"/>
      <c r="CF29" s="70"/>
      <c r="CG29" s="70"/>
      <c r="CH29" s="70"/>
      <c r="CI29" s="70"/>
      <c r="CJ29" s="70"/>
      <c r="CK29" s="71"/>
      <c r="CL29" s="59"/>
      <c r="CM29" s="57"/>
      <c r="CN29" s="57"/>
      <c r="CO29" s="73"/>
      <c r="CP29" s="69"/>
      <c r="CQ29" s="57"/>
      <c r="CR29" s="58"/>
      <c r="CS29" s="59"/>
      <c r="CT29" s="57"/>
      <c r="CU29" s="57"/>
      <c r="CV29" s="57"/>
      <c r="CW29" s="57"/>
      <c r="CX29" s="57"/>
      <c r="CY29" s="162"/>
      <c r="CZ29" s="57"/>
      <c r="DA29" s="57"/>
      <c r="DB29" s="57"/>
      <c r="DC29" s="57"/>
      <c r="DD29" s="57"/>
      <c r="DE29" s="58"/>
      <c r="DF29" s="74"/>
      <c r="DG29" s="57"/>
      <c r="DH29" s="57"/>
      <c r="DI29" s="57"/>
      <c r="DJ29" s="57"/>
      <c r="DK29" s="57"/>
      <c r="DL29" s="58"/>
      <c r="DM29" s="69"/>
      <c r="DN29" s="57"/>
      <c r="DO29" s="57"/>
      <c r="DP29" s="57"/>
      <c r="DQ29" s="57"/>
      <c r="DR29" s="57"/>
      <c r="DS29" s="75"/>
    </row>
    <row r="30" spans="1:123" ht="14" outlineLevel="1">
      <c r="A30" s="76" t="s">
        <v>179</v>
      </c>
      <c r="B30" s="77" t="s">
        <v>139</v>
      </c>
      <c r="C30" s="78" t="s">
        <v>178</v>
      </c>
      <c r="D30" s="79"/>
      <c r="E30" s="57"/>
      <c r="F30" s="57"/>
      <c r="G30" s="57"/>
      <c r="H30" s="57"/>
      <c r="I30" s="57"/>
      <c r="J30" s="57"/>
      <c r="K30" s="57"/>
      <c r="L30" s="66"/>
      <c r="M30" s="59"/>
      <c r="N30" s="143"/>
      <c r="O30" s="143"/>
      <c r="P30" s="143"/>
      <c r="Q30" s="143"/>
      <c r="R30" s="143"/>
      <c r="S30" s="144"/>
      <c r="T30" s="145"/>
      <c r="U30" s="143"/>
      <c r="V30" s="143"/>
      <c r="W30" s="143"/>
      <c r="X30" s="143"/>
      <c r="Y30" s="60"/>
      <c r="Z30" s="61"/>
      <c r="AA30" s="62"/>
      <c r="AB30" s="60"/>
      <c r="AC30" s="60"/>
      <c r="AD30" s="60"/>
      <c r="AE30" s="60"/>
      <c r="AF30" s="60"/>
      <c r="AG30" s="61"/>
      <c r="AH30" s="63"/>
      <c r="AI30" s="64"/>
      <c r="AJ30" s="60"/>
      <c r="AK30" s="60"/>
      <c r="AL30" s="60"/>
      <c r="AM30" s="60"/>
      <c r="AN30" s="65"/>
      <c r="AO30" s="56"/>
      <c r="AP30" s="54"/>
      <c r="AQ30" s="54"/>
      <c r="AR30" s="54"/>
      <c r="AS30" s="54"/>
      <c r="AT30" s="54"/>
      <c r="AU30" s="80"/>
      <c r="AV30" s="59"/>
      <c r="AW30" s="57"/>
      <c r="AX30" s="57"/>
      <c r="AY30" s="57"/>
      <c r="AZ30" s="57"/>
      <c r="BA30" s="57"/>
      <c r="BB30" s="58"/>
      <c r="BC30" s="59"/>
      <c r="BD30" s="57"/>
      <c r="BE30" s="57"/>
      <c r="BF30" s="57"/>
      <c r="BG30" s="57"/>
      <c r="BH30" s="57"/>
      <c r="BI30" s="58"/>
      <c r="BJ30" s="59"/>
      <c r="BK30" s="57"/>
      <c r="BL30" s="57"/>
      <c r="BM30" s="66"/>
      <c r="BN30" s="67"/>
      <c r="BO30" s="57"/>
      <c r="BP30" s="58"/>
      <c r="BQ30" s="59"/>
      <c r="BR30" s="425"/>
      <c r="BS30" s="57"/>
      <c r="BT30" s="57"/>
      <c r="BU30" s="57"/>
      <c r="BV30" s="57"/>
      <c r="BW30" s="58"/>
      <c r="BX30" s="69"/>
      <c r="BY30" s="57"/>
      <c r="BZ30" s="57"/>
      <c r="CA30" s="57"/>
      <c r="CB30" s="57"/>
      <c r="CC30" s="70"/>
      <c r="CD30" s="71"/>
      <c r="CE30" s="72"/>
      <c r="CF30" s="70"/>
      <c r="CG30" s="70"/>
      <c r="CH30" s="70"/>
      <c r="CI30" s="70"/>
      <c r="CJ30" s="70"/>
      <c r="CK30" s="71"/>
      <c r="CL30" s="59"/>
      <c r="CM30" s="57"/>
      <c r="CN30" s="57"/>
      <c r="CO30" s="73"/>
      <c r="CP30" s="69"/>
      <c r="CQ30" s="57"/>
      <c r="CR30" s="58"/>
      <c r="CS30" s="59"/>
      <c r="CT30" s="57"/>
      <c r="CU30" s="57"/>
      <c r="CV30" s="57"/>
      <c r="CW30" s="57"/>
      <c r="CX30" s="57"/>
      <c r="CY30" s="162"/>
      <c r="CZ30" s="57"/>
      <c r="DA30" s="57"/>
      <c r="DB30" s="57"/>
      <c r="DC30" s="57"/>
      <c r="DD30" s="57"/>
      <c r="DE30" s="58"/>
      <c r="DF30" s="74"/>
      <c r="DG30" s="57"/>
      <c r="DH30" s="57"/>
      <c r="DI30" s="57"/>
      <c r="DJ30" s="57"/>
      <c r="DK30" s="57"/>
      <c r="DL30" s="58"/>
      <c r="DM30" s="69"/>
      <c r="DN30" s="57"/>
      <c r="DO30" s="57"/>
      <c r="DP30" s="57"/>
      <c r="DQ30" s="57"/>
      <c r="DR30" s="57"/>
      <c r="DS30" s="75"/>
    </row>
    <row r="31" spans="1:123" ht="14" outlineLevel="1">
      <c r="A31" s="50" t="s">
        <v>198</v>
      </c>
      <c r="B31" s="77" t="s">
        <v>139</v>
      </c>
      <c r="C31" s="105" t="s">
        <v>178</v>
      </c>
      <c r="D31" s="79"/>
      <c r="E31" s="57"/>
      <c r="F31" s="57"/>
      <c r="G31" s="57"/>
      <c r="H31" s="57"/>
      <c r="I31" s="57"/>
      <c r="J31" s="57"/>
      <c r="K31" s="57"/>
      <c r="L31" s="66"/>
      <c r="M31" s="59"/>
      <c r="N31" s="54"/>
      <c r="O31" s="54"/>
      <c r="P31" s="54"/>
      <c r="Q31" s="54"/>
      <c r="R31" s="54"/>
      <c r="S31" s="80"/>
      <c r="T31" s="56"/>
      <c r="U31" s="54"/>
      <c r="V31" s="54"/>
      <c r="W31" s="57"/>
      <c r="X31" s="57"/>
      <c r="Y31" s="60"/>
      <c r="Z31" s="61"/>
      <c r="AA31" s="62"/>
      <c r="AB31" s="60"/>
      <c r="AC31" s="60"/>
      <c r="AD31" s="60"/>
      <c r="AE31" s="60"/>
      <c r="AF31" s="60"/>
      <c r="AG31" s="61"/>
      <c r="AH31" s="63"/>
      <c r="AI31" s="64"/>
      <c r="AJ31" s="60"/>
      <c r="AK31" s="60"/>
      <c r="AL31" s="60"/>
      <c r="AM31" s="60"/>
      <c r="AN31" s="65"/>
      <c r="AO31" s="59"/>
      <c r="AP31" s="57"/>
      <c r="AQ31" s="57"/>
      <c r="AR31" s="57"/>
      <c r="AS31" s="57"/>
      <c r="AT31" s="57"/>
      <c r="AU31" s="58"/>
      <c r="AV31" s="59"/>
      <c r="AW31" s="57"/>
      <c r="AX31" s="57"/>
      <c r="AY31" s="57"/>
      <c r="AZ31" s="57"/>
      <c r="BA31" s="57"/>
      <c r="BB31" s="58"/>
      <c r="BC31" s="59"/>
      <c r="BD31" s="57"/>
      <c r="BE31" s="57"/>
      <c r="BF31" s="57"/>
      <c r="BG31" s="57"/>
      <c r="BH31" s="57"/>
      <c r="BI31" s="58"/>
      <c r="BJ31" s="59"/>
      <c r="BK31" s="57"/>
      <c r="BL31" s="57"/>
      <c r="BM31" s="66"/>
      <c r="BN31" s="67"/>
      <c r="BO31" s="57"/>
      <c r="BP31" s="58"/>
      <c r="BQ31" s="59"/>
      <c r="BR31" s="425"/>
      <c r="BS31" s="57"/>
      <c r="BT31" s="57"/>
      <c r="BU31" s="57"/>
      <c r="BV31" s="57"/>
      <c r="BW31" s="58"/>
      <c r="BX31" s="69"/>
      <c r="BY31" s="57"/>
      <c r="BZ31" s="57"/>
      <c r="CA31" s="57"/>
      <c r="CB31" s="57"/>
      <c r="CC31" s="70"/>
      <c r="CD31" s="71"/>
      <c r="CE31" s="72"/>
      <c r="CF31" s="70"/>
      <c r="CG31" s="70"/>
      <c r="CH31" s="70"/>
      <c r="CI31" s="70"/>
      <c r="CJ31" s="70"/>
      <c r="CK31" s="71"/>
      <c r="CL31" s="59"/>
      <c r="CM31" s="57"/>
      <c r="CN31" s="57"/>
      <c r="CO31" s="73"/>
      <c r="CP31" s="69"/>
      <c r="CQ31" s="57"/>
      <c r="CR31" s="58"/>
      <c r="CS31" s="59"/>
      <c r="CT31" s="57"/>
      <c r="CU31" s="57"/>
      <c r="CV31" s="57"/>
      <c r="CW31" s="57"/>
      <c r="CX31" s="57"/>
      <c r="CY31" s="162"/>
      <c r="CZ31" s="57"/>
      <c r="DA31" s="57"/>
      <c r="DB31" s="57"/>
      <c r="DC31" s="57"/>
      <c r="DD31" s="57"/>
      <c r="DE31" s="58"/>
      <c r="DF31" s="74"/>
      <c r="DG31" s="57"/>
      <c r="DH31" s="57"/>
      <c r="DI31" s="57"/>
      <c r="DJ31" s="57"/>
      <c r="DK31" s="57"/>
      <c r="DL31" s="58"/>
      <c r="DM31" s="69"/>
      <c r="DN31" s="57"/>
      <c r="DO31" s="57"/>
      <c r="DP31" s="57"/>
      <c r="DQ31" s="57"/>
      <c r="DR31" s="57"/>
      <c r="DS31" s="75"/>
    </row>
    <row r="32" spans="1:123" ht="14.5" outlineLevel="1" thickBot="1">
      <c r="A32" s="76" t="s">
        <v>180</v>
      </c>
      <c r="B32" s="77" t="s">
        <v>139</v>
      </c>
      <c r="C32" s="82" t="s">
        <v>181</v>
      </c>
      <c r="D32" s="83"/>
      <c r="E32" s="84"/>
      <c r="F32" s="84"/>
      <c r="G32" s="84"/>
      <c r="H32" s="84"/>
      <c r="I32" s="84"/>
      <c r="J32" s="84"/>
      <c r="K32" s="84"/>
      <c r="L32" s="85"/>
      <c r="M32" s="86"/>
      <c r="N32" s="84"/>
      <c r="O32" s="84"/>
      <c r="P32" s="84"/>
      <c r="Q32" s="84"/>
      <c r="R32" s="84"/>
      <c r="S32" s="87"/>
      <c r="T32" s="86"/>
      <c r="U32" s="84"/>
      <c r="V32" s="84"/>
      <c r="W32" s="84"/>
      <c r="X32" s="84"/>
      <c r="Y32" s="88"/>
      <c r="Z32" s="89"/>
      <c r="AA32" s="90"/>
      <c r="AB32" s="88"/>
      <c r="AC32" s="88"/>
      <c r="AD32" s="88"/>
      <c r="AE32" s="88"/>
      <c r="AF32" s="88"/>
      <c r="AG32" s="89"/>
      <c r="AH32" s="91"/>
      <c r="AI32" s="92"/>
      <c r="AJ32" s="88"/>
      <c r="AK32" s="88"/>
      <c r="AL32" s="88"/>
      <c r="AM32" s="88"/>
      <c r="AN32" s="93"/>
      <c r="AO32" s="94"/>
      <c r="AP32" s="95"/>
      <c r="AQ32" s="95"/>
      <c r="AR32" s="95"/>
      <c r="AS32" s="95"/>
      <c r="AT32" s="95"/>
      <c r="AU32" s="96"/>
      <c r="AV32" s="86"/>
      <c r="AW32" s="84"/>
      <c r="AX32" s="84"/>
      <c r="AY32" s="84"/>
      <c r="AZ32" s="84"/>
      <c r="BA32" s="84"/>
      <c r="BB32" s="87"/>
      <c r="BC32" s="86"/>
      <c r="BD32" s="84"/>
      <c r="BE32" s="84"/>
      <c r="BF32" s="84"/>
      <c r="BG32" s="84"/>
      <c r="BH32" s="84"/>
      <c r="BI32" s="87"/>
      <c r="BJ32" s="86"/>
      <c r="BK32" s="84"/>
      <c r="BL32" s="84"/>
      <c r="BM32" s="85"/>
      <c r="BN32" s="97"/>
      <c r="BO32" s="84"/>
      <c r="BP32" s="87"/>
      <c r="BQ32" s="86"/>
      <c r="BR32" s="426"/>
      <c r="BS32" s="84"/>
      <c r="BT32" s="84"/>
      <c r="BU32" s="84"/>
      <c r="BV32" s="84"/>
      <c r="BW32" s="87"/>
      <c r="BX32" s="98"/>
      <c r="BY32" s="84"/>
      <c r="BZ32" s="84"/>
      <c r="CA32" s="57"/>
      <c r="CB32" s="57"/>
      <c r="CC32" s="99"/>
      <c r="CD32" s="100"/>
      <c r="CE32" s="101"/>
      <c r="CF32" s="99"/>
      <c r="CG32" s="99"/>
      <c r="CH32" s="99"/>
      <c r="CI32" s="99"/>
      <c r="CJ32" s="99"/>
      <c r="CK32" s="100"/>
      <c r="CL32" s="86"/>
      <c r="CM32" s="84"/>
      <c r="CN32" s="84"/>
      <c r="CO32" s="102"/>
      <c r="CP32" s="98"/>
      <c r="CQ32" s="84"/>
      <c r="CR32" s="87"/>
      <c r="CS32" s="86"/>
      <c r="CT32" s="84"/>
      <c r="CU32" s="84"/>
      <c r="CV32" s="84"/>
      <c r="CW32" s="84"/>
      <c r="CX32" s="84"/>
      <c r="CY32" s="162"/>
      <c r="CZ32" s="84"/>
      <c r="DA32" s="84"/>
      <c r="DB32" s="84"/>
      <c r="DC32" s="84"/>
      <c r="DD32" s="84"/>
      <c r="DE32" s="87"/>
      <c r="DF32" s="103"/>
      <c r="DG32" s="84"/>
      <c r="DH32" s="84"/>
      <c r="DI32" s="84"/>
      <c r="DJ32" s="84"/>
      <c r="DK32" s="84"/>
      <c r="DL32" s="87"/>
      <c r="DM32" s="98"/>
      <c r="DN32" s="84"/>
      <c r="DO32" s="84"/>
      <c r="DP32" s="84"/>
      <c r="DQ32" s="84"/>
      <c r="DR32" s="84"/>
      <c r="DS32" s="104"/>
    </row>
    <row r="33" spans="1:123" ht="14">
      <c r="A33" s="33" t="s">
        <v>199</v>
      </c>
      <c r="B33" s="34"/>
      <c r="C33" s="34"/>
      <c r="D33" s="36"/>
      <c r="E33" s="37"/>
      <c r="F33" s="37"/>
      <c r="G33" s="37"/>
      <c r="H33" s="37"/>
      <c r="I33" s="37"/>
      <c r="J33" s="37"/>
      <c r="K33" s="37"/>
      <c r="L33" s="38"/>
      <c r="M33" s="39"/>
      <c r="N33" s="37"/>
      <c r="O33" s="37"/>
      <c r="P33" s="37"/>
      <c r="Q33" s="37"/>
      <c r="R33" s="37"/>
      <c r="S33" s="40"/>
      <c r="T33" s="39"/>
      <c r="U33" s="37"/>
      <c r="V33" s="37"/>
      <c r="W33" s="37"/>
      <c r="X33" s="37"/>
      <c r="Y33" s="132"/>
      <c r="Z33" s="133"/>
      <c r="AA33" s="134"/>
      <c r="AB33" s="132"/>
      <c r="AC33" s="132"/>
      <c r="AD33" s="132"/>
      <c r="AE33" s="132"/>
      <c r="AF33" s="132"/>
      <c r="AG33" s="133"/>
      <c r="AH33" s="135"/>
      <c r="AI33" s="136"/>
      <c r="AJ33" s="132"/>
      <c r="AK33" s="132"/>
      <c r="AL33" s="132"/>
      <c r="AM33" s="132"/>
      <c r="AN33" s="137"/>
      <c r="AO33" s="39"/>
      <c r="AP33" s="37"/>
      <c r="AQ33" s="37"/>
      <c r="AR33" s="37"/>
      <c r="AS33" s="37"/>
      <c r="AT33" s="37"/>
      <c r="AU33" s="40"/>
      <c r="AV33" s="39"/>
      <c r="AW33" s="37"/>
      <c r="AX33" s="37"/>
      <c r="AY33" s="37"/>
      <c r="AZ33" s="37"/>
      <c r="BA33" s="37"/>
      <c r="BB33" s="40"/>
      <c r="BC33" s="39"/>
      <c r="BD33" s="37"/>
      <c r="BE33" s="37"/>
      <c r="BF33" s="37"/>
      <c r="BG33" s="37"/>
      <c r="BH33" s="37"/>
      <c r="BI33" s="40"/>
      <c r="BJ33" s="39"/>
      <c r="BK33" s="37"/>
      <c r="BL33" s="37"/>
      <c r="BM33" s="38"/>
      <c r="BN33" s="41"/>
      <c r="BO33" s="37"/>
      <c r="BP33" s="40"/>
      <c r="BQ33" s="39"/>
      <c r="BR33" s="424"/>
      <c r="BS33" s="37"/>
      <c r="BT33" s="37"/>
      <c r="BU33" s="37"/>
      <c r="BV33" s="37"/>
      <c r="BW33" s="40"/>
      <c r="BX33" s="43"/>
      <c r="BY33" s="37"/>
      <c r="BZ33" s="37"/>
      <c r="CA33" s="37"/>
      <c r="CB33" s="37"/>
      <c r="CC33" s="146"/>
      <c r="CD33" s="147"/>
      <c r="CE33" s="148"/>
      <c r="CF33" s="146"/>
      <c r="CG33" s="146"/>
      <c r="CH33" s="146"/>
      <c r="CI33" s="146"/>
      <c r="CJ33" s="146"/>
      <c r="CK33" s="147"/>
      <c r="CL33" s="39"/>
      <c r="CM33" s="37"/>
      <c r="CN33" s="37"/>
      <c r="CO33" s="47"/>
      <c r="CP33" s="43"/>
      <c r="CQ33" s="37"/>
      <c r="CR33" s="40"/>
      <c r="CS33" s="39"/>
      <c r="CT33" s="37"/>
      <c r="CU33" s="37"/>
      <c r="CV33" s="37"/>
      <c r="CW33" s="37"/>
      <c r="CX33" s="37"/>
      <c r="CY33" s="162"/>
      <c r="CZ33" s="37"/>
      <c r="DA33" s="37"/>
      <c r="DB33" s="37"/>
      <c r="DC33" s="37"/>
      <c r="DD33" s="37"/>
      <c r="DE33" s="40"/>
      <c r="DF33" s="48"/>
      <c r="DG33" s="37"/>
      <c r="DH33" s="37"/>
      <c r="DI33" s="37"/>
      <c r="DJ33" s="37"/>
      <c r="DK33" s="37"/>
      <c r="DL33" s="40"/>
      <c r="DM33" s="43"/>
      <c r="DN33" s="37"/>
      <c r="DO33" s="37"/>
      <c r="DP33" s="37"/>
      <c r="DQ33" s="37"/>
      <c r="DR33" s="37"/>
      <c r="DS33" s="49"/>
    </row>
    <row r="34" spans="1:123" ht="14" outlineLevel="1">
      <c r="A34" s="50" t="s">
        <v>200</v>
      </c>
      <c r="B34" s="149" t="s">
        <v>53</v>
      </c>
      <c r="C34" s="105" t="s">
        <v>178</v>
      </c>
      <c r="D34" s="79"/>
      <c r="E34" s="57"/>
      <c r="F34" s="57"/>
      <c r="G34" s="57"/>
      <c r="H34" s="57"/>
      <c r="I34" s="54"/>
      <c r="J34" s="81"/>
      <c r="K34" s="54"/>
      <c r="L34" s="55"/>
      <c r="M34" s="59"/>
      <c r="N34" s="57"/>
      <c r="O34" s="57"/>
      <c r="P34" s="57"/>
      <c r="Q34" s="57"/>
      <c r="R34" s="57"/>
      <c r="S34" s="58"/>
      <c r="T34" s="59"/>
      <c r="U34" s="57"/>
      <c r="V34" s="57"/>
      <c r="W34" s="57"/>
      <c r="X34" s="57"/>
      <c r="Y34" s="60"/>
      <c r="Z34" s="61"/>
      <c r="AA34" s="62"/>
      <c r="AB34" s="60"/>
      <c r="AC34" s="60"/>
      <c r="AD34" s="60"/>
      <c r="AE34" s="60"/>
      <c r="AF34" s="60"/>
      <c r="AG34" s="61"/>
      <c r="AH34" s="63"/>
      <c r="AI34" s="64"/>
      <c r="AJ34" s="60"/>
      <c r="AK34" s="60"/>
      <c r="AL34" s="60"/>
      <c r="AM34" s="60"/>
      <c r="AN34" s="65"/>
      <c r="AO34" s="59"/>
      <c r="AP34" s="57"/>
      <c r="AQ34" s="57"/>
      <c r="AR34" s="57"/>
      <c r="AS34" s="57"/>
      <c r="AT34" s="57"/>
      <c r="AU34" s="58"/>
      <c r="AV34" s="59"/>
      <c r="AW34" s="57"/>
      <c r="AX34" s="57"/>
      <c r="AY34" s="57"/>
      <c r="AZ34" s="57"/>
      <c r="BA34" s="57"/>
      <c r="BB34" s="58"/>
      <c r="BC34" s="59"/>
      <c r="BD34" s="57"/>
      <c r="BE34" s="57"/>
      <c r="BF34" s="57"/>
      <c r="BG34" s="57"/>
      <c r="BH34" s="57"/>
      <c r="BI34" s="58"/>
      <c r="BJ34" s="59"/>
      <c r="BK34" s="57"/>
      <c r="BL34" s="57"/>
      <c r="BM34" s="66"/>
      <c r="BN34" s="67"/>
      <c r="BO34" s="57"/>
      <c r="BP34" s="58"/>
      <c r="BQ34" s="59"/>
      <c r="BR34" s="425"/>
      <c r="BS34" s="57"/>
      <c r="BT34" s="57"/>
      <c r="BU34" s="57"/>
      <c r="BV34" s="57"/>
      <c r="BW34" s="58"/>
      <c r="BX34" s="69"/>
      <c r="BY34" s="57"/>
      <c r="BZ34" s="57"/>
      <c r="CA34" s="57"/>
      <c r="CB34" s="57"/>
      <c r="CC34" s="150"/>
      <c r="CD34" s="151"/>
      <c r="CE34" s="152"/>
      <c r="CF34" s="150"/>
      <c r="CG34" s="150"/>
      <c r="CH34" s="150"/>
      <c r="CI34" s="150"/>
      <c r="CJ34" s="150"/>
      <c r="CK34" s="151"/>
      <c r="CL34" s="59"/>
      <c r="CM34" s="57"/>
      <c r="CN34" s="57"/>
      <c r="CO34" s="73"/>
      <c r="CP34" s="69"/>
      <c r="CQ34" s="57"/>
      <c r="CR34" s="58"/>
      <c r="CS34" s="59"/>
      <c r="CT34" s="57"/>
      <c r="CU34" s="57"/>
      <c r="CV34" s="57"/>
      <c r="CW34" s="57"/>
      <c r="CX34" s="57"/>
      <c r="CY34" s="162"/>
      <c r="CZ34" s="57"/>
      <c r="DA34" s="57"/>
      <c r="DB34" s="57"/>
      <c r="DC34" s="57"/>
      <c r="DD34" s="57"/>
      <c r="DE34" s="58"/>
      <c r="DF34" s="74"/>
      <c r="DG34" s="57"/>
      <c r="DH34" s="57"/>
      <c r="DI34" s="57"/>
      <c r="DJ34" s="57"/>
      <c r="DK34" s="57"/>
      <c r="DL34" s="58"/>
      <c r="DM34" s="69"/>
      <c r="DN34" s="57"/>
      <c r="DO34" s="57"/>
      <c r="DP34" s="57"/>
      <c r="DQ34" s="57"/>
      <c r="DR34" s="57"/>
      <c r="DS34" s="75"/>
    </row>
    <row r="35" spans="1:123" ht="14.5" outlineLevel="1" thickBot="1">
      <c r="A35" s="76" t="s">
        <v>201</v>
      </c>
      <c r="B35" s="149" t="s">
        <v>53</v>
      </c>
      <c r="C35" s="105" t="s">
        <v>178</v>
      </c>
      <c r="D35" s="79"/>
      <c r="E35" s="57"/>
      <c r="F35" s="57"/>
      <c r="G35" s="57"/>
      <c r="H35" s="57"/>
      <c r="I35" s="57"/>
      <c r="J35" s="57"/>
      <c r="K35" s="57"/>
      <c r="L35" s="66"/>
      <c r="M35" s="153"/>
      <c r="N35" s="54"/>
      <c r="O35" s="54"/>
      <c r="P35" s="54"/>
      <c r="Q35" s="54"/>
      <c r="R35" s="54"/>
      <c r="S35" s="80"/>
      <c r="T35" s="59"/>
      <c r="U35" s="57"/>
      <c r="V35" s="57"/>
      <c r="W35" s="57"/>
      <c r="X35" s="57"/>
      <c r="Y35" s="60"/>
      <c r="Z35" s="61"/>
      <c r="AA35" s="62"/>
      <c r="AB35" s="60"/>
      <c r="AC35" s="60"/>
      <c r="AD35" s="60"/>
      <c r="AE35" s="60"/>
      <c r="AF35" s="60"/>
      <c r="AG35" s="61"/>
      <c r="AH35" s="63"/>
      <c r="AI35" s="64"/>
      <c r="AJ35" s="60"/>
      <c r="AK35" s="60"/>
      <c r="AL35" s="60"/>
      <c r="AM35" s="60"/>
      <c r="AN35" s="65"/>
      <c r="AO35" s="59"/>
      <c r="AP35" s="57"/>
      <c r="AQ35" s="57"/>
      <c r="AR35" s="57"/>
      <c r="AS35" s="57"/>
      <c r="AT35" s="57"/>
      <c r="AU35" s="58"/>
      <c r="AV35" s="59"/>
      <c r="AW35" s="57"/>
      <c r="AX35" s="57"/>
      <c r="AY35" s="57"/>
      <c r="AZ35" s="57"/>
      <c r="BA35" s="57"/>
      <c r="BB35" s="58"/>
      <c r="BC35" s="59"/>
      <c r="BD35" s="57"/>
      <c r="BE35" s="57"/>
      <c r="BF35" s="57"/>
      <c r="BG35" s="57"/>
      <c r="BH35" s="57"/>
      <c r="BI35" s="58"/>
      <c r="BJ35" s="59"/>
      <c r="BK35" s="57"/>
      <c r="BL35" s="57"/>
      <c r="BM35" s="66"/>
      <c r="BN35" s="67"/>
      <c r="BO35" s="57"/>
      <c r="BP35" s="58"/>
      <c r="BQ35" s="59"/>
      <c r="BR35" s="425"/>
      <c r="BS35" s="57"/>
      <c r="BT35" s="57"/>
      <c r="BU35" s="57"/>
      <c r="BV35" s="57"/>
      <c r="BW35" s="58"/>
      <c r="BX35" s="69"/>
      <c r="BY35" s="57"/>
      <c r="BZ35" s="57"/>
      <c r="CA35" s="57"/>
      <c r="CB35" s="57"/>
      <c r="CC35" s="150"/>
      <c r="CD35" s="151"/>
      <c r="CE35" s="152"/>
      <c r="CF35" s="150"/>
      <c r="CG35" s="150"/>
      <c r="CH35" s="150"/>
      <c r="CI35" s="150"/>
      <c r="CJ35" s="150"/>
      <c r="CK35" s="151"/>
      <c r="CL35" s="59"/>
      <c r="CM35" s="57"/>
      <c r="CN35" s="57"/>
      <c r="CO35" s="73"/>
      <c r="CP35" s="69"/>
      <c r="CQ35" s="57"/>
      <c r="CR35" s="58"/>
      <c r="CS35" s="59"/>
      <c r="CT35" s="57"/>
      <c r="CU35" s="57"/>
      <c r="CV35" s="57"/>
      <c r="CW35" s="57"/>
      <c r="CX35" s="57"/>
      <c r="CY35" s="162"/>
      <c r="CZ35" s="57"/>
      <c r="DA35" s="57"/>
      <c r="DB35" s="57"/>
      <c r="DC35" s="57"/>
      <c r="DD35" s="57"/>
      <c r="DE35" s="58"/>
      <c r="DF35" s="74"/>
      <c r="DG35" s="57"/>
      <c r="DH35" s="57"/>
      <c r="DI35" s="57"/>
      <c r="DJ35" s="57"/>
      <c r="DK35" s="57"/>
      <c r="DL35" s="58"/>
      <c r="DM35" s="69"/>
      <c r="DN35" s="57"/>
      <c r="DO35" s="57"/>
      <c r="DP35" s="57"/>
      <c r="DQ35" s="57"/>
      <c r="DR35" s="57"/>
      <c r="DS35" s="75"/>
    </row>
    <row r="36" spans="1:123" ht="14.5" outlineLevel="1" thickBot="1">
      <c r="A36" s="76" t="s">
        <v>202</v>
      </c>
      <c r="B36" s="149" t="s">
        <v>53</v>
      </c>
      <c r="C36" s="105" t="s">
        <v>178</v>
      </c>
      <c r="D36" s="79"/>
      <c r="E36" s="57"/>
      <c r="F36" s="57"/>
      <c r="G36" s="57"/>
      <c r="H36" s="57"/>
      <c r="I36" s="57"/>
      <c r="J36" s="57"/>
      <c r="K36" s="57"/>
      <c r="L36" s="66"/>
      <c r="M36" s="59"/>
      <c r="N36" s="57"/>
      <c r="O36" s="57"/>
      <c r="P36" s="57"/>
      <c r="Q36" s="57"/>
      <c r="R36" s="57"/>
      <c r="S36" s="58"/>
      <c r="T36" s="56"/>
      <c r="U36" s="54"/>
      <c r="V36" s="54"/>
      <c r="W36" s="54"/>
      <c r="X36" s="54"/>
      <c r="Y36" s="60"/>
      <c r="Z36" s="61"/>
      <c r="AA36" s="62"/>
      <c r="AB36" s="60"/>
      <c r="AC36" s="60"/>
      <c r="AD36" s="60"/>
      <c r="AE36" s="60"/>
      <c r="AF36" s="60"/>
      <c r="AG36" s="61"/>
      <c r="AH36" s="63"/>
      <c r="AI36" s="64"/>
      <c r="AJ36" s="60"/>
      <c r="AK36" s="60"/>
      <c r="AL36" s="60"/>
      <c r="AM36" s="60"/>
      <c r="AN36" s="65"/>
      <c r="AO36" s="59"/>
      <c r="AP36" s="57"/>
      <c r="AQ36" s="57"/>
      <c r="AR36" s="57"/>
      <c r="AS36" s="57"/>
      <c r="AT36" s="57"/>
      <c r="AU36" s="58"/>
      <c r="AV36" s="59"/>
      <c r="AW36" s="57"/>
      <c r="AX36" s="57"/>
      <c r="AY36" s="57"/>
      <c r="AZ36" s="57"/>
      <c r="BA36" s="57"/>
      <c r="BB36" s="58"/>
      <c r="BC36" s="59"/>
      <c r="BD36" s="57"/>
      <c r="BE36" s="57"/>
      <c r="BF36" s="57"/>
      <c r="BG36" s="57"/>
      <c r="BH36" s="57"/>
      <c r="BI36" s="58"/>
      <c r="BJ36" s="59"/>
      <c r="BK36" s="57"/>
      <c r="BL36" s="57"/>
      <c r="BM36" s="66"/>
      <c r="BN36" s="67"/>
      <c r="BO36" s="57"/>
      <c r="BP36" s="58"/>
      <c r="BQ36" s="59"/>
      <c r="BR36" s="425"/>
      <c r="BS36" s="57"/>
      <c r="BT36" s="57"/>
      <c r="BU36" s="57"/>
      <c r="BV36" s="57"/>
      <c r="BW36" s="58"/>
      <c r="BX36" s="69"/>
      <c r="BY36" s="57"/>
      <c r="BZ36" s="57"/>
      <c r="CA36" s="57"/>
      <c r="CB36" s="37"/>
      <c r="CC36" s="150"/>
      <c r="CD36" s="151"/>
      <c r="CE36" s="152"/>
      <c r="CF36" s="150"/>
      <c r="CG36" s="150"/>
      <c r="CH36" s="150"/>
      <c r="CI36" s="150"/>
      <c r="CJ36" s="150"/>
      <c r="CK36" s="151"/>
      <c r="CL36" s="59"/>
      <c r="CM36" s="57"/>
      <c r="CN36" s="57"/>
      <c r="CO36" s="73"/>
      <c r="CP36" s="69"/>
      <c r="CQ36" s="57"/>
      <c r="CR36" s="58"/>
      <c r="CS36" s="59"/>
      <c r="CT36" s="57"/>
      <c r="CU36" s="57"/>
      <c r="CV36" s="57"/>
      <c r="CW36" s="57"/>
      <c r="CX36" s="57"/>
      <c r="CY36" s="162"/>
      <c r="CZ36" s="57"/>
      <c r="DA36" s="57"/>
      <c r="DB36" s="57"/>
      <c r="DC36" s="57"/>
      <c r="DD36" s="57"/>
      <c r="DE36" s="58"/>
      <c r="DF36" s="74"/>
      <c r="DG36" s="57"/>
      <c r="DH36" s="57"/>
      <c r="DI36" s="57"/>
      <c r="DJ36" s="57"/>
      <c r="DK36" s="57"/>
      <c r="DL36" s="58"/>
      <c r="DM36" s="69"/>
      <c r="DN36" s="57"/>
      <c r="DO36" s="57"/>
      <c r="DP36" s="57"/>
      <c r="DQ36" s="57"/>
      <c r="DR36" s="57"/>
      <c r="DS36" s="75"/>
    </row>
    <row r="37" spans="1:123" ht="14.5" outlineLevel="1" thickBot="1">
      <c r="A37" s="154" t="s">
        <v>203</v>
      </c>
      <c r="B37" s="149" t="s">
        <v>53</v>
      </c>
      <c r="C37" s="105" t="s">
        <v>178</v>
      </c>
      <c r="D37" s="83"/>
      <c r="E37" s="84"/>
      <c r="F37" s="84"/>
      <c r="G37" s="84"/>
      <c r="H37" s="84"/>
      <c r="I37" s="84"/>
      <c r="J37" s="84"/>
      <c r="K37" s="84"/>
      <c r="L37" s="85"/>
      <c r="M37" s="86"/>
      <c r="N37" s="84"/>
      <c r="O37" s="84"/>
      <c r="P37" s="84"/>
      <c r="Q37" s="84"/>
      <c r="R37" s="84"/>
      <c r="S37" s="87"/>
      <c r="T37" s="86"/>
      <c r="U37" s="84"/>
      <c r="V37" s="84"/>
      <c r="W37" s="84"/>
      <c r="X37" s="84"/>
      <c r="Y37" s="88"/>
      <c r="Z37" s="89"/>
      <c r="AA37" s="90"/>
      <c r="AB37" s="88"/>
      <c r="AC37" s="88"/>
      <c r="AD37" s="88"/>
      <c r="AE37" s="88"/>
      <c r="AF37" s="88"/>
      <c r="AG37" s="89"/>
      <c r="AH37" s="91"/>
      <c r="AI37" s="92"/>
      <c r="AJ37" s="88"/>
      <c r="AK37" s="88"/>
      <c r="AL37" s="88"/>
      <c r="AM37" s="88"/>
      <c r="AN37" s="93"/>
      <c r="AO37" s="94"/>
      <c r="AP37" s="95"/>
      <c r="AQ37" s="95"/>
      <c r="AR37" s="95"/>
      <c r="AS37" s="95"/>
      <c r="AT37" s="95"/>
      <c r="AU37" s="96"/>
      <c r="AV37" s="94"/>
      <c r="AW37" s="95"/>
      <c r="AX37" s="95"/>
      <c r="AY37" s="95"/>
      <c r="AZ37" s="95"/>
      <c r="BA37" s="95"/>
      <c r="BB37" s="96"/>
      <c r="BC37" s="94"/>
      <c r="BD37" s="95"/>
      <c r="BE37" s="95"/>
      <c r="BF37" s="95"/>
      <c r="BG37" s="95"/>
      <c r="BH37" s="95"/>
      <c r="BI37" s="96"/>
      <c r="BJ37" s="327"/>
      <c r="BK37" s="328"/>
      <c r="BL37" s="328"/>
      <c r="BM37" s="337"/>
      <c r="BN37" s="338"/>
      <c r="BO37" s="328"/>
      <c r="BP37" s="329"/>
      <c r="BQ37" s="327"/>
      <c r="BR37" s="426"/>
      <c r="BS37" s="328"/>
      <c r="BT37" s="328"/>
      <c r="BU37" s="328"/>
      <c r="BV37" s="328"/>
      <c r="BW37" s="329"/>
      <c r="BX37" s="329"/>
      <c r="BY37" s="329"/>
      <c r="BZ37" s="329"/>
      <c r="CA37" s="329"/>
      <c r="CB37" s="434"/>
      <c r="CC37" s="155"/>
      <c r="CD37" s="156"/>
      <c r="CE37" s="157"/>
      <c r="CF37" s="155"/>
      <c r="CG37" s="155"/>
      <c r="CH37" s="155"/>
      <c r="CI37" s="155"/>
      <c r="CJ37" s="155"/>
      <c r="CK37" s="156"/>
      <c r="CL37" s="86"/>
      <c r="CM37" s="84"/>
      <c r="CN37" s="84"/>
      <c r="CO37" s="102"/>
      <c r="CP37" s="98"/>
      <c r="CQ37" s="84"/>
      <c r="CR37" s="87"/>
      <c r="CS37" s="86"/>
      <c r="CT37" s="84"/>
      <c r="CU37" s="84"/>
      <c r="CV37" s="84"/>
      <c r="CW37" s="84"/>
      <c r="CX37" s="84"/>
      <c r="CY37" s="162"/>
      <c r="CZ37" s="84"/>
      <c r="DA37" s="84"/>
      <c r="DB37" s="84"/>
      <c r="DC37" s="84"/>
      <c r="DD37" s="84"/>
      <c r="DE37" s="87"/>
      <c r="DF37" s="103"/>
      <c r="DG37" s="84"/>
      <c r="DH37" s="84"/>
      <c r="DI37" s="84"/>
      <c r="DJ37" s="84"/>
      <c r="DK37" s="84"/>
      <c r="DL37" s="87"/>
      <c r="DM37" s="98"/>
      <c r="DN37" s="84"/>
      <c r="DO37" s="84"/>
      <c r="DP37" s="84"/>
      <c r="DQ37" s="84"/>
      <c r="DR37" s="84"/>
      <c r="DS37" s="104"/>
    </row>
    <row r="38" spans="1:123" ht="14">
      <c r="A38" s="33" t="s">
        <v>204</v>
      </c>
      <c r="B38" s="34"/>
      <c r="C38" s="34"/>
      <c r="D38" s="36"/>
      <c r="E38" s="37"/>
      <c r="F38" s="37"/>
      <c r="G38" s="37"/>
      <c r="H38" s="37"/>
      <c r="I38" s="37"/>
      <c r="J38" s="37"/>
      <c r="K38" s="37"/>
      <c r="L38" s="38"/>
      <c r="M38" s="39"/>
      <c r="N38" s="37"/>
      <c r="O38" s="37"/>
      <c r="P38" s="37"/>
      <c r="Q38" s="37"/>
      <c r="R38" s="37"/>
      <c r="S38" s="40"/>
      <c r="T38" s="39"/>
      <c r="U38" s="37"/>
      <c r="V38" s="37"/>
      <c r="W38" s="37"/>
      <c r="X38" s="37"/>
      <c r="Y38" s="132"/>
      <c r="Z38" s="133"/>
      <c r="AA38" s="134"/>
      <c r="AB38" s="132"/>
      <c r="AC38" s="132"/>
      <c r="AD38" s="132"/>
      <c r="AE38" s="132"/>
      <c r="AF38" s="132"/>
      <c r="AG38" s="133"/>
      <c r="AH38" s="135"/>
      <c r="AI38" s="136"/>
      <c r="AJ38" s="132"/>
      <c r="AK38" s="132"/>
      <c r="AL38" s="132"/>
      <c r="AM38" s="132"/>
      <c r="AN38" s="137"/>
      <c r="AO38" s="39"/>
      <c r="AP38" s="37"/>
      <c r="AQ38" s="37"/>
      <c r="AR38" s="37"/>
      <c r="AS38" s="37"/>
      <c r="AT38" s="37"/>
      <c r="AU38" s="40"/>
      <c r="AV38" s="39"/>
      <c r="AW38" s="37"/>
      <c r="AX38" s="37"/>
      <c r="AY38" s="37"/>
      <c r="AZ38" s="37"/>
      <c r="BA38" s="37"/>
      <c r="BB38" s="40"/>
      <c r="BC38" s="39"/>
      <c r="BD38" s="37"/>
      <c r="BE38" s="37"/>
      <c r="BF38" s="37"/>
      <c r="BG38" s="37"/>
      <c r="BH38" s="37"/>
      <c r="BI38" s="40"/>
      <c r="BJ38" s="39"/>
      <c r="BK38" s="37"/>
      <c r="BL38" s="37"/>
      <c r="BM38" s="38"/>
      <c r="BN38" s="41"/>
      <c r="BO38" s="37"/>
      <c r="BP38" s="40"/>
      <c r="BQ38" s="39"/>
      <c r="BR38" s="424"/>
      <c r="BS38" s="37"/>
      <c r="BT38" s="37"/>
      <c r="BU38" s="37"/>
      <c r="BV38" s="37"/>
      <c r="BW38" s="40"/>
      <c r="BX38" s="43"/>
      <c r="BY38" s="37"/>
      <c r="BZ38" s="37"/>
      <c r="CA38" s="37"/>
      <c r="CB38" s="37"/>
      <c r="CC38" s="146"/>
      <c r="CD38" s="147"/>
      <c r="CE38" s="148"/>
      <c r="CF38" s="171"/>
      <c r="CG38" s="171"/>
      <c r="CH38" s="171"/>
      <c r="CI38" s="171"/>
      <c r="CJ38" s="171"/>
      <c r="CK38" s="172"/>
      <c r="CL38" s="59"/>
      <c r="CM38" s="57"/>
      <c r="CN38" s="57"/>
      <c r="CO38" s="73"/>
      <c r="CP38" s="69"/>
      <c r="CQ38" s="57"/>
      <c r="CR38" s="58"/>
      <c r="CS38" s="39"/>
      <c r="CT38" s="37"/>
      <c r="CU38" s="37"/>
      <c r="CV38" s="37"/>
      <c r="CW38" s="37"/>
      <c r="CX38" s="37"/>
      <c r="CY38" s="162"/>
      <c r="CZ38" s="37"/>
      <c r="DA38" s="37"/>
      <c r="DB38" s="37"/>
      <c r="DC38" s="37"/>
      <c r="DD38" s="37"/>
      <c r="DE38" s="40"/>
      <c r="DF38" s="48"/>
      <c r="DG38" s="37"/>
      <c r="DH38" s="37"/>
      <c r="DI38" s="37"/>
      <c r="DJ38" s="37"/>
      <c r="DK38" s="37"/>
      <c r="DL38" s="40"/>
      <c r="DM38" s="43"/>
      <c r="DN38" s="37"/>
      <c r="DO38" s="37"/>
      <c r="DP38" s="37"/>
      <c r="DQ38" s="37"/>
      <c r="DR38" s="37"/>
      <c r="DS38" s="49"/>
    </row>
    <row r="39" spans="1:123" ht="14">
      <c r="A39" s="50" t="s">
        <v>205</v>
      </c>
      <c r="B39" s="77" t="s">
        <v>24</v>
      </c>
      <c r="C39" s="105" t="s">
        <v>178</v>
      </c>
      <c r="D39" s="158"/>
      <c r="E39" s="159"/>
      <c r="F39" s="159"/>
      <c r="G39" s="159"/>
      <c r="H39" s="159"/>
      <c r="I39" s="159"/>
      <c r="J39" s="159"/>
      <c r="K39" s="159"/>
      <c r="L39" s="160"/>
      <c r="M39" s="161"/>
      <c r="N39" s="159"/>
      <c r="O39" s="159"/>
      <c r="P39" s="159"/>
      <c r="Q39" s="159"/>
      <c r="R39" s="159"/>
      <c r="S39" s="162"/>
      <c r="T39" s="161"/>
      <c r="U39" s="159"/>
      <c r="V39" s="159"/>
      <c r="W39" s="159"/>
      <c r="X39" s="159"/>
      <c r="Y39" s="163"/>
      <c r="Z39" s="164"/>
      <c r="AA39" s="165"/>
      <c r="AB39" s="163"/>
      <c r="AC39" s="163"/>
      <c r="AD39" s="163"/>
      <c r="AE39" s="163"/>
      <c r="AF39" s="163"/>
      <c r="AG39" s="164"/>
      <c r="AH39" s="166"/>
      <c r="AI39" s="167"/>
      <c r="AJ39" s="163"/>
      <c r="AK39" s="163"/>
      <c r="AL39" s="163"/>
      <c r="AM39" s="163"/>
      <c r="AN39" s="168"/>
      <c r="AO39" s="161"/>
      <c r="AP39" s="159"/>
      <c r="AQ39" s="159"/>
      <c r="AR39" s="159"/>
      <c r="AS39" s="159"/>
      <c r="AT39" s="159"/>
      <c r="AU39" s="162"/>
      <c r="AV39" s="161"/>
      <c r="AW39" s="159"/>
      <c r="AX39" s="159"/>
      <c r="AY39" s="159"/>
      <c r="AZ39" s="159"/>
      <c r="BA39" s="159"/>
      <c r="BB39" s="162"/>
      <c r="BC39" s="161"/>
      <c r="BD39" s="159"/>
      <c r="BE39" s="159"/>
      <c r="BF39" s="159"/>
      <c r="BG39" s="159"/>
      <c r="BH39" s="159"/>
      <c r="BI39" s="162"/>
      <c r="BJ39" s="161"/>
      <c r="BK39" s="159"/>
      <c r="BL39" s="159"/>
      <c r="BM39" s="160"/>
      <c r="BN39" s="169"/>
      <c r="BO39" s="159"/>
      <c r="BP39" s="162"/>
      <c r="BQ39" s="161"/>
      <c r="BR39" s="428"/>
      <c r="BS39" s="159"/>
      <c r="BT39" s="159"/>
      <c r="BU39" s="159"/>
      <c r="BV39" s="159"/>
      <c r="BW39" s="162"/>
      <c r="BX39" s="170"/>
      <c r="BY39" s="159"/>
      <c r="BZ39" s="159"/>
      <c r="CA39" s="159"/>
      <c r="CB39" s="159"/>
      <c r="CC39" s="171"/>
      <c r="CD39" s="172"/>
      <c r="CE39" s="173"/>
      <c r="CF39" s="171"/>
      <c r="CG39" s="171"/>
      <c r="CH39" s="171"/>
      <c r="CI39" s="171"/>
      <c r="CJ39" s="171"/>
      <c r="CK39" s="172"/>
      <c r="CL39" s="59"/>
      <c r="CM39" s="57"/>
      <c r="CN39" s="57"/>
      <c r="CO39" s="73"/>
      <c r="CP39" s="69"/>
      <c r="CQ39" s="57"/>
      <c r="CR39" s="58"/>
      <c r="CS39" s="161"/>
      <c r="CT39" s="159"/>
      <c r="CU39" s="159"/>
      <c r="CV39" s="159"/>
      <c r="CW39" s="159"/>
      <c r="CX39" s="159"/>
      <c r="CY39" s="162"/>
      <c r="CZ39" s="159"/>
      <c r="DA39" s="159"/>
      <c r="DB39" s="159"/>
      <c r="DC39" s="159"/>
      <c r="DD39" s="159"/>
      <c r="DE39" s="162"/>
      <c r="DF39" s="174"/>
      <c r="DG39" s="159"/>
      <c r="DH39" s="159"/>
      <c r="DI39" s="159"/>
      <c r="DJ39" s="159"/>
      <c r="DK39" s="159"/>
      <c r="DL39" s="162"/>
      <c r="DM39" s="170"/>
      <c r="DN39" s="159"/>
      <c r="DO39" s="159"/>
      <c r="DP39" s="159"/>
      <c r="DQ39" s="159"/>
      <c r="DR39" s="159"/>
      <c r="DS39" s="175"/>
    </row>
    <row r="40" spans="1:123" ht="14">
      <c r="A40" s="50" t="s">
        <v>206</v>
      </c>
      <c r="B40" s="77" t="s">
        <v>24</v>
      </c>
      <c r="C40" s="105" t="s">
        <v>178</v>
      </c>
      <c r="D40" s="176"/>
      <c r="E40" s="177"/>
      <c r="F40" s="177"/>
      <c r="G40" s="159"/>
      <c r="H40" s="159"/>
      <c r="I40" s="159"/>
      <c r="J40" s="159"/>
      <c r="K40" s="159"/>
      <c r="L40" s="160"/>
      <c r="M40" s="161"/>
      <c r="N40" s="159"/>
      <c r="O40" s="159"/>
      <c r="P40" s="159"/>
      <c r="Q40" s="159"/>
      <c r="R40" s="159"/>
      <c r="S40" s="162"/>
      <c r="T40" s="161"/>
      <c r="U40" s="159"/>
      <c r="V40" s="159"/>
      <c r="W40" s="159"/>
      <c r="X40" s="159"/>
      <c r="Y40" s="163"/>
      <c r="Z40" s="164"/>
      <c r="AA40" s="165"/>
      <c r="AB40" s="163"/>
      <c r="AC40" s="163"/>
      <c r="AD40" s="163"/>
      <c r="AE40" s="163"/>
      <c r="AF40" s="163"/>
      <c r="AG40" s="164"/>
      <c r="AH40" s="166"/>
      <c r="AI40" s="167"/>
      <c r="AJ40" s="163"/>
      <c r="AK40" s="163"/>
      <c r="AL40" s="163"/>
      <c r="AM40" s="163"/>
      <c r="AN40" s="168"/>
      <c r="AO40" s="161"/>
      <c r="AP40" s="159"/>
      <c r="AQ40" s="159"/>
      <c r="AR40" s="159"/>
      <c r="AS40" s="159"/>
      <c r="AT40" s="159"/>
      <c r="AU40" s="162"/>
      <c r="AV40" s="161"/>
      <c r="AW40" s="159"/>
      <c r="AX40" s="159"/>
      <c r="AY40" s="159"/>
      <c r="AZ40" s="159"/>
      <c r="BA40" s="159"/>
      <c r="BB40" s="162"/>
      <c r="BC40" s="161"/>
      <c r="BD40" s="159"/>
      <c r="BE40" s="159"/>
      <c r="BF40" s="159"/>
      <c r="BG40" s="159"/>
      <c r="BH40" s="159"/>
      <c r="BI40" s="162"/>
      <c r="BJ40" s="161"/>
      <c r="BK40" s="159"/>
      <c r="BL40" s="159"/>
      <c r="BM40" s="160"/>
      <c r="BN40" s="169"/>
      <c r="BO40" s="159"/>
      <c r="BP40" s="162"/>
      <c r="BQ40" s="161"/>
      <c r="BR40" s="428"/>
      <c r="BS40" s="159"/>
      <c r="BT40" s="159"/>
      <c r="BU40" s="159"/>
      <c r="BV40" s="159"/>
      <c r="BW40" s="162"/>
      <c r="BX40" s="170"/>
      <c r="BY40" s="159"/>
      <c r="BZ40" s="159"/>
      <c r="CA40" s="159"/>
      <c r="CB40" s="159"/>
      <c r="CC40" s="171"/>
      <c r="CD40" s="172"/>
      <c r="CE40" s="173"/>
      <c r="CF40" s="171"/>
      <c r="CG40" s="171"/>
      <c r="CH40" s="171"/>
      <c r="CI40" s="171"/>
      <c r="CJ40" s="171"/>
      <c r="CK40" s="172"/>
      <c r="CL40" s="59"/>
      <c r="CM40" s="57"/>
      <c r="CN40" s="57"/>
      <c r="CO40" s="73"/>
      <c r="CP40" s="69"/>
      <c r="CQ40" s="57"/>
      <c r="CR40" s="58"/>
      <c r="CS40" s="161"/>
      <c r="CT40" s="159"/>
      <c r="CU40" s="159"/>
      <c r="CV40" s="159"/>
      <c r="CW40" s="159"/>
      <c r="CX40" s="159"/>
      <c r="CY40" s="162"/>
      <c r="CZ40" s="159"/>
      <c r="DA40" s="159"/>
      <c r="DB40" s="159"/>
      <c r="DC40" s="159"/>
      <c r="DD40" s="159"/>
      <c r="DE40" s="162"/>
      <c r="DF40" s="174"/>
      <c r="DG40" s="159"/>
      <c r="DH40" s="159"/>
      <c r="DI40" s="159"/>
      <c r="DJ40" s="159"/>
      <c r="DK40" s="159"/>
      <c r="DL40" s="162"/>
      <c r="DM40" s="170"/>
      <c r="DN40" s="159"/>
      <c r="DO40" s="159"/>
      <c r="DP40" s="159"/>
      <c r="DQ40" s="159"/>
      <c r="DR40" s="159"/>
      <c r="DS40" s="175"/>
    </row>
    <row r="41" spans="1:123" ht="14.5" outlineLevel="1" thickBot="1">
      <c r="A41" s="50" t="s">
        <v>207</v>
      </c>
      <c r="B41" s="77" t="s">
        <v>24</v>
      </c>
      <c r="C41" s="105" t="s">
        <v>178</v>
      </c>
      <c r="D41" s="79"/>
      <c r="E41" s="57"/>
      <c r="F41" s="57"/>
      <c r="G41" s="54"/>
      <c r="H41" s="54"/>
      <c r="I41" s="57"/>
      <c r="J41" s="57"/>
      <c r="K41" s="57"/>
      <c r="L41" s="66"/>
      <c r="M41" s="59"/>
      <c r="N41" s="57"/>
      <c r="O41" s="57"/>
      <c r="P41" s="57"/>
      <c r="Q41" s="57"/>
      <c r="R41" s="57"/>
      <c r="S41" s="58"/>
      <c r="T41" s="59"/>
      <c r="U41" s="57"/>
      <c r="V41" s="57"/>
      <c r="W41" s="57"/>
      <c r="X41" s="57"/>
      <c r="Y41" s="60"/>
      <c r="Z41" s="61"/>
      <c r="AA41" s="62"/>
      <c r="AB41" s="60"/>
      <c r="AC41" s="60"/>
      <c r="AD41" s="60"/>
      <c r="AE41" s="60"/>
      <c r="AF41" s="60"/>
      <c r="AG41" s="61"/>
      <c r="AH41" s="63"/>
      <c r="AI41" s="64"/>
      <c r="AJ41" s="60"/>
      <c r="AK41" s="60"/>
      <c r="AL41" s="60"/>
      <c r="AM41" s="60"/>
      <c r="AN41" s="65"/>
      <c r="AO41" s="59"/>
      <c r="AP41" s="57"/>
      <c r="AQ41" s="57"/>
      <c r="AR41" s="57"/>
      <c r="AS41" s="57"/>
      <c r="AT41" s="57"/>
      <c r="AU41" s="58"/>
      <c r="AV41" s="59"/>
      <c r="AW41" s="57"/>
      <c r="AX41" s="57"/>
      <c r="AY41" s="57"/>
      <c r="AZ41" s="57"/>
      <c r="BA41" s="57"/>
      <c r="BB41" s="58"/>
      <c r="BC41" s="59"/>
      <c r="BD41" s="57"/>
      <c r="BE41" s="57"/>
      <c r="BF41" s="57"/>
      <c r="BG41" s="57"/>
      <c r="BH41" s="57"/>
      <c r="BI41" s="58"/>
      <c r="BJ41" s="59"/>
      <c r="BK41" s="57"/>
      <c r="BL41" s="57"/>
      <c r="BM41" s="66"/>
      <c r="BN41" s="67"/>
      <c r="BO41" s="57"/>
      <c r="BP41" s="58"/>
      <c r="BQ41" s="59"/>
      <c r="BR41" s="425"/>
      <c r="BS41" s="57"/>
      <c r="BT41" s="57"/>
      <c r="BU41" s="57"/>
      <c r="BV41" s="57"/>
      <c r="BW41" s="58"/>
      <c r="BX41" s="69"/>
      <c r="BY41" s="57"/>
      <c r="BZ41" s="57"/>
      <c r="CA41" s="57"/>
      <c r="CB41" s="159"/>
      <c r="CC41" s="150"/>
      <c r="CD41" s="151"/>
      <c r="CE41" s="152"/>
      <c r="CF41" s="171"/>
      <c r="CG41" s="171"/>
      <c r="CH41" s="171"/>
      <c r="CI41" s="171"/>
      <c r="CJ41" s="171"/>
      <c r="CK41" s="172"/>
      <c r="CL41" s="59"/>
      <c r="CM41" s="57"/>
      <c r="CN41" s="57"/>
      <c r="CO41" s="73"/>
      <c r="CP41" s="69"/>
      <c r="CQ41" s="57"/>
      <c r="CR41" s="58"/>
      <c r="CS41" s="59"/>
      <c r="CT41" s="57"/>
      <c r="CU41" s="57"/>
      <c r="CV41" s="57"/>
      <c r="CW41" s="57"/>
      <c r="CX41" s="57"/>
      <c r="CY41" s="162"/>
      <c r="CZ41" s="57"/>
      <c r="DA41" s="57"/>
      <c r="DB41" s="57"/>
      <c r="DC41" s="57"/>
      <c r="DD41" s="57"/>
      <c r="DE41" s="58"/>
      <c r="DF41" s="74"/>
      <c r="DG41" s="57"/>
      <c r="DH41" s="57"/>
      <c r="DI41" s="57"/>
      <c r="DJ41" s="57"/>
      <c r="DK41" s="57"/>
      <c r="DL41" s="58"/>
      <c r="DM41" s="69"/>
      <c r="DN41" s="57"/>
      <c r="DO41" s="57"/>
      <c r="DP41" s="57"/>
      <c r="DQ41" s="57"/>
      <c r="DR41" s="57"/>
      <c r="DS41" s="75"/>
    </row>
    <row r="42" spans="1:123" ht="14" outlineLevel="1">
      <c r="A42" s="76" t="s">
        <v>208</v>
      </c>
      <c r="B42" s="77" t="s">
        <v>24</v>
      </c>
      <c r="C42" s="105" t="s">
        <v>178</v>
      </c>
      <c r="D42" s="79"/>
      <c r="E42" s="57"/>
      <c r="F42" s="57"/>
      <c r="G42" s="57"/>
      <c r="H42" s="57"/>
      <c r="I42" s="54"/>
      <c r="J42" s="54"/>
      <c r="K42" s="54"/>
      <c r="L42" s="55"/>
      <c r="M42" s="55"/>
      <c r="N42" s="57"/>
      <c r="O42" s="57"/>
      <c r="P42" s="57"/>
      <c r="Q42" s="57"/>
      <c r="R42" s="57"/>
      <c r="S42" s="58"/>
      <c r="T42" s="59"/>
      <c r="U42" s="57"/>
      <c r="V42" s="57"/>
      <c r="W42" s="57"/>
      <c r="X42" s="57"/>
      <c r="Y42" s="60"/>
      <c r="Z42" s="61"/>
      <c r="AA42" s="62"/>
      <c r="AB42" s="60"/>
      <c r="AC42" s="60"/>
      <c r="AD42" s="60"/>
      <c r="AE42" s="60"/>
      <c r="AF42" s="60"/>
      <c r="AG42" s="61"/>
      <c r="AH42" s="63"/>
      <c r="AI42" s="64"/>
      <c r="AJ42" s="60"/>
      <c r="AK42" s="60"/>
      <c r="AL42" s="60"/>
      <c r="AM42" s="60"/>
      <c r="AN42" s="65"/>
      <c r="AO42" s="59"/>
      <c r="AP42" s="57"/>
      <c r="AQ42" s="57"/>
      <c r="AR42" s="57"/>
      <c r="AS42" s="57"/>
      <c r="AT42" s="57"/>
      <c r="AU42" s="58"/>
      <c r="AV42" s="59"/>
      <c r="AW42" s="57"/>
      <c r="AX42" s="57"/>
      <c r="AY42" s="57"/>
      <c r="AZ42" s="57"/>
      <c r="BA42" s="57"/>
      <c r="BB42" s="58"/>
      <c r="BC42" s="59"/>
      <c r="BD42" s="57"/>
      <c r="BE42" s="57"/>
      <c r="BF42" s="57"/>
      <c r="BG42" s="57"/>
      <c r="BH42" s="57"/>
      <c r="BI42" s="58"/>
      <c r="BJ42" s="59"/>
      <c r="BK42" s="57"/>
      <c r="BL42" s="57"/>
      <c r="BM42" s="66"/>
      <c r="BN42" s="67"/>
      <c r="BO42" s="57"/>
      <c r="BP42" s="58"/>
      <c r="BQ42" s="59"/>
      <c r="BR42" s="425"/>
      <c r="BS42" s="57"/>
      <c r="BT42" s="57"/>
      <c r="BU42" s="57"/>
      <c r="BV42" s="57"/>
      <c r="BW42" s="58"/>
      <c r="BX42" s="69"/>
      <c r="BY42" s="57"/>
      <c r="BZ42" s="57"/>
      <c r="CA42" s="57"/>
      <c r="CB42" s="159"/>
      <c r="CC42" s="150"/>
      <c r="CD42" s="151"/>
      <c r="CE42" s="152"/>
      <c r="CF42" s="171"/>
      <c r="CG42" s="171"/>
      <c r="CH42" s="171"/>
      <c r="CI42" s="171"/>
      <c r="CJ42" s="171"/>
      <c r="CK42" s="172"/>
      <c r="CL42" s="59"/>
      <c r="CM42" s="57"/>
      <c r="CN42" s="57"/>
      <c r="CO42" s="73"/>
      <c r="CP42" s="69"/>
      <c r="CQ42" s="57"/>
      <c r="CR42" s="58"/>
      <c r="CS42" s="59"/>
      <c r="CT42" s="57"/>
      <c r="CU42" s="57"/>
      <c r="CV42" s="57"/>
      <c r="CW42" s="57"/>
      <c r="CX42" s="57"/>
      <c r="CY42" s="40"/>
      <c r="CZ42" s="57"/>
      <c r="DA42" s="57"/>
      <c r="DB42" s="57"/>
      <c r="DC42" s="57"/>
      <c r="DD42" s="57"/>
      <c r="DE42" s="58"/>
      <c r="DF42" s="74"/>
      <c r="DG42" s="57"/>
      <c r="DH42" s="57"/>
      <c r="DI42" s="57"/>
      <c r="DJ42" s="57"/>
      <c r="DK42" s="57"/>
      <c r="DL42" s="58"/>
      <c r="DM42" s="69"/>
      <c r="DN42" s="57"/>
      <c r="DO42" s="57"/>
      <c r="DP42" s="57"/>
      <c r="DQ42" s="57"/>
      <c r="DR42" s="57"/>
      <c r="DS42" s="75"/>
    </row>
    <row r="43" spans="1:123" ht="14" outlineLevel="1">
      <c r="A43" s="178" t="s">
        <v>209</v>
      </c>
      <c r="B43" s="77" t="s">
        <v>24</v>
      </c>
      <c r="C43" s="105" t="s">
        <v>178</v>
      </c>
      <c r="D43" s="79"/>
      <c r="E43" s="57"/>
      <c r="F43" s="57"/>
      <c r="G43" s="57"/>
      <c r="H43" s="57"/>
      <c r="I43" s="57"/>
      <c r="J43" s="57"/>
      <c r="K43" s="57"/>
      <c r="L43" s="66"/>
      <c r="M43" s="59"/>
      <c r="N43" s="54"/>
      <c r="O43" s="54"/>
      <c r="P43" s="57"/>
      <c r="Q43" s="57"/>
      <c r="R43" s="57"/>
      <c r="S43" s="58"/>
      <c r="T43" s="59"/>
      <c r="U43" s="57"/>
      <c r="V43" s="57"/>
      <c r="W43" s="57"/>
      <c r="X43" s="57"/>
      <c r="Y43" s="60"/>
      <c r="Z43" s="61"/>
      <c r="AA43" s="62"/>
      <c r="AB43" s="60"/>
      <c r="AC43" s="60"/>
      <c r="AD43" s="60"/>
      <c r="AE43" s="60"/>
      <c r="AF43" s="60"/>
      <c r="AG43" s="61"/>
      <c r="AH43" s="63"/>
      <c r="AI43" s="64"/>
      <c r="AJ43" s="60"/>
      <c r="AK43" s="60"/>
      <c r="AL43" s="60"/>
      <c r="AM43" s="60"/>
      <c r="AN43" s="65"/>
      <c r="AO43" s="59"/>
      <c r="AP43" s="57"/>
      <c r="AQ43" s="57"/>
      <c r="AR43" s="57"/>
      <c r="AS43" s="57"/>
      <c r="AT43" s="57"/>
      <c r="AU43" s="58"/>
      <c r="AV43" s="59"/>
      <c r="AW43" s="57"/>
      <c r="AX43" s="57"/>
      <c r="AY43" s="57"/>
      <c r="AZ43" s="57"/>
      <c r="BA43" s="57"/>
      <c r="BB43" s="58"/>
      <c r="BC43" s="59"/>
      <c r="BD43" s="57"/>
      <c r="BE43" s="57"/>
      <c r="BF43" s="57"/>
      <c r="BG43" s="57"/>
      <c r="BH43" s="57"/>
      <c r="BI43" s="58"/>
      <c r="BJ43" s="59"/>
      <c r="BK43" s="57"/>
      <c r="BL43" s="57"/>
      <c r="BM43" s="66"/>
      <c r="BN43" s="67"/>
      <c r="BO43" s="57"/>
      <c r="BP43" s="58"/>
      <c r="BQ43" s="59"/>
      <c r="BR43" s="425"/>
      <c r="BS43" s="57"/>
      <c r="BT43" s="57"/>
      <c r="BU43" s="57"/>
      <c r="BV43" s="57"/>
      <c r="BW43" s="58"/>
      <c r="BX43" s="69"/>
      <c r="BY43" s="57"/>
      <c r="BZ43" s="57"/>
      <c r="CA43" s="57"/>
      <c r="CB43" s="159"/>
      <c r="CC43" s="150"/>
      <c r="CD43" s="151"/>
      <c r="CE43" s="152"/>
      <c r="CF43" s="171"/>
      <c r="CG43" s="171"/>
      <c r="CH43" s="171"/>
      <c r="CI43" s="171"/>
      <c r="CJ43" s="171"/>
      <c r="CK43" s="172"/>
      <c r="CL43" s="59"/>
      <c r="CM43" s="57"/>
      <c r="CN43" s="57"/>
      <c r="CO43" s="73"/>
      <c r="CP43" s="69"/>
      <c r="CQ43" s="57"/>
      <c r="CR43" s="58"/>
      <c r="CS43" s="59"/>
      <c r="CT43" s="57"/>
      <c r="CU43" s="57"/>
      <c r="CV43" s="57"/>
      <c r="CW43" s="57"/>
      <c r="CX43" s="57"/>
      <c r="CY43" s="162"/>
      <c r="CZ43" s="57"/>
      <c r="DA43" s="57"/>
      <c r="DB43" s="57"/>
      <c r="DC43" s="57"/>
      <c r="DD43" s="57"/>
      <c r="DE43" s="58"/>
      <c r="DF43" s="74"/>
      <c r="DG43" s="57"/>
      <c r="DH43" s="57"/>
      <c r="DI43" s="57"/>
      <c r="DJ43" s="57"/>
      <c r="DK43" s="57"/>
      <c r="DL43" s="58"/>
      <c r="DM43" s="69"/>
      <c r="DN43" s="57"/>
      <c r="DO43" s="57"/>
      <c r="DP43" s="57"/>
      <c r="DQ43" s="57"/>
      <c r="DR43" s="57"/>
      <c r="DS43" s="75"/>
    </row>
    <row r="44" spans="1:123" ht="14" outlineLevel="1">
      <c r="A44" s="179" t="s">
        <v>210</v>
      </c>
      <c r="B44" s="180" t="s">
        <v>24</v>
      </c>
      <c r="C44" s="105" t="s">
        <v>178</v>
      </c>
      <c r="D44" s="181"/>
      <c r="E44" s="182"/>
      <c r="F44" s="182"/>
      <c r="G44" s="183"/>
      <c r="H44" s="183"/>
      <c r="I44" s="183"/>
      <c r="J44" s="183"/>
      <c r="K44" s="183"/>
      <c r="L44" s="184"/>
      <c r="M44" s="185"/>
      <c r="N44" s="183"/>
      <c r="O44" s="183"/>
      <c r="P44" s="183"/>
      <c r="Q44" s="183"/>
      <c r="R44" s="183"/>
      <c r="S44" s="186"/>
      <c r="T44" s="185"/>
      <c r="U44" s="183"/>
      <c r="V44" s="183"/>
      <c r="W44" s="183"/>
      <c r="X44" s="183"/>
      <c r="Y44" s="187"/>
      <c r="Z44" s="188"/>
      <c r="AA44" s="189"/>
      <c r="AB44" s="187"/>
      <c r="AC44" s="187"/>
      <c r="AD44" s="187"/>
      <c r="AE44" s="187"/>
      <c r="AF44" s="187"/>
      <c r="AG44" s="188"/>
      <c r="AH44" s="190"/>
      <c r="AI44" s="191"/>
      <c r="AJ44" s="187"/>
      <c r="AK44" s="187"/>
      <c r="AL44" s="187"/>
      <c r="AM44" s="187"/>
      <c r="AN44" s="192"/>
      <c r="AO44" s="185"/>
      <c r="AP44" s="183"/>
      <c r="AQ44" s="183"/>
      <c r="AR44" s="183"/>
      <c r="AS44" s="183"/>
      <c r="AT44" s="183"/>
      <c r="AU44" s="186"/>
      <c r="AV44" s="185"/>
      <c r="AW44" s="183"/>
      <c r="AX44" s="183"/>
      <c r="AY44" s="183"/>
      <c r="AZ44" s="183"/>
      <c r="BA44" s="183"/>
      <c r="BB44" s="186"/>
      <c r="BC44" s="185"/>
      <c r="BD44" s="183"/>
      <c r="BE44" s="183"/>
      <c r="BF44" s="183"/>
      <c r="BG44" s="183"/>
      <c r="BH44" s="183"/>
      <c r="BI44" s="186"/>
      <c r="BJ44" s="185"/>
      <c r="BK44" s="183"/>
      <c r="BL44" s="183"/>
      <c r="BM44" s="184"/>
      <c r="BN44" s="193"/>
      <c r="BO44" s="183"/>
      <c r="BP44" s="186"/>
      <c r="BQ44" s="185"/>
      <c r="BR44" s="429"/>
      <c r="BS44" s="183"/>
      <c r="BT44" s="183"/>
      <c r="BU44" s="183"/>
      <c r="BV44" s="183"/>
      <c r="BW44" s="186"/>
      <c r="BX44" s="194"/>
      <c r="BY44" s="183"/>
      <c r="BZ44" s="183"/>
      <c r="CA44" s="183"/>
      <c r="CB44" s="159"/>
      <c r="CC44" s="195"/>
      <c r="CD44" s="196"/>
      <c r="CE44" s="197"/>
      <c r="CF44" s="171"/>
      <c r="CG44" s="171"/>
      <c r="CH44" s="171"/>
      <c r="CI44" s="171"/>
      <c r="CJ44" s="171"/>
      <c r="CK44" s="172"/>
      <c r="CL44" s="59"/>
      <c r="CM44" s="57"/>
      <c r="CN44" s="57"/>
      <c r="CO44" s="73"/>
      <c r="CP44" s="69"/>
      <c r="CQ44" s="57"/>
      <c r="CR44" s="58"/>
      <c r="CS44" s="185"/>
      <c r="CT44" s="183"/>
      <c r="CU44" s="183"/>
      <c r="CV44" s="183"/>
      <c r="CW44" s="183"/>
      <c r="CX44" s="183"/>
      <c r="CY44" s="162"/>
      <c r="CZ44" s="183"/>
      <c r="DA44" s="183"/>
      <c r="DB44" s="183"/>
      <c r="DC44" s="183"/>
      <c r="DD44" s="183"/>
      <c r="DE44" s="186"/>
      <c r="DF44" s="198"/>
      <c r="DG44" s="183"/>
      <c r="DH44" s="183"/>
      <c r="DI44" s="183"/>
      <c r="DJ44" s="183"/>
      <c r="DK44" s="183"/>
      <c r="DL44" s="186"/>
      <c r="DM44" s="194"/>
      <c r="DN44" s="183"/>
      <c r="DO44" s="183"/>
      <c r="DP44" s="183"/>
      <c r="DQ44" s="183"/>
      <c r="DR44" s="183"/>
      <c r="DS44" s="199"/>
    </row>
    <row r="45" spans="1:123" ht="14" outlineLevel="1">
      <c r="A45" s="179" t="s">
        <v>211</v>
      </c>
      <c r="B45" s="180" t="s">
        <v>24</v>
      </c>
      <c r="C45" s="105" t="s">
        <v>178</v>
      </c>
      <c r="D45" s="200"/>
      <c r="E45" s="183"/>
      <c r="F45" s="183"/>
      <c r="G45" s="182"/>
      <c r="H45" s="182"/>
      <c r="I45" s="183"/>
      <c r="J45" s="183"/>
      <c r="K45" s="183"/>
      <c r="L45" s="184"/>
      <c r="M45" s="185"/>
      <c r="N45" s="183"/>
      <c r="O45" s="183"/>
      <c r="P45" s="183"/>
      <c r="Q45" s="183"/>
      <c r="R45" s="183"/>
      <c r="S45" s="186"/>
      <c r="T45" s="185"/>
      <c r="U45" s="183"/>
      <c r="V45" s="183"/>
      <c r="W45" s="183"/>
      <c r="X45" s="183"/>
      <c r="Y45" s="187"/>
      <c r="Z45" s="188"/>
      <c r="AA45" s="189"/>
      <c r="AB45" s="187"/>
      <c r="AC45" s="187"/>
      <c r="AD45" s="187"/>
      <c r="AE45" s="187"/>
      <c r="AF45" s="187"/>
      <c r="AG45" s="188"/>
      <c r="AH45" s="190"/>
      <c r="AI45" s="191"/>
      <c r="AJ45" s="187"/>
      <c r="AK45" s="187"/>
      <c r="AL45" s="187"/>
      <c r="AM45" s="187"/>
      <c r="AN45" s="192"/>
      <c r="AO45" s="185"/>
      <c r="AP45" s="183"/>
      <c r="AQ45" s="183"/>
      <c r="AR45" s="183"/>
      <c r="AS45" s="183"/>
      <c r="AT45" s="183"/>
      <c r="AU45" s="186"/>
      <c r="AV45" s="185"/>
      <c r="AW45" s="183"/>
      <c r="AX45" s="183"/>
      <c r="AY45" s="183"/>
      <c r="AZ45" s="183"/>
      <c r="BA45" s="183"/>
      <c r="BB45" s="186"/>
      <c r="BC45" s="185"/>
      <c r="BD45" s="183"/>
      <c r="BE45" s="183"/>
      <c r="BF45" s="183"/>
      <c r="BG45" s="183"/>
      <c r="BH45" s="183"/>
      <c r="BI45" s="186"/>
      <c r="BJ45" s="185"/>
      <c r="BK45" s="183"/>
      <c r="BL45" s="183"/>
      <c r="BM45" s="184"/>
      <c r="BN45" s="193"/>
      <c r="BO45" s="183"/>
      <c r="BP45" s="186"/>
      <c r="BQ45" s="185"/>
      <c r="BR45" s="429"/>
      <c r="BS45" s="183"/>
      <c r="BT45" s="183"/>
      <c r="BU45" s="183"/>
      <c r="BV45" s="183"/>
      <c r="BW45" s="186"/>
      <c r="BX45" s="194"/>
      <c r="BY45" s="183"/>
      <c r="BZ45" s="183"/>
      <c r="CA45" s="183"/>
      <c r="CB45" s="159"/>
      <c r="CC45" s="195"/>
      <c r="CD45" s="196"/>
      <c r="CE45" s="197"/>
      <c r="CF45" s="171"/>
      <c r="CG45" s="171"/>
      <c r="CH45" s="171"/>
      <c r="CI45" s="171"/>
      <c r="CJ45" s="171"/>
      <c r="CK45" s="172"/>
      <c r="CL45" s="59"/>
      <c r="CM45" s="57"/>
      <c r="CN45" s="57"/>
      <c r="CO45" s="73"/>
      <c r="CP45" s="69"/>
      <c r="CQ45" s="57"/>
      <c r="CR45" s="58"/>
      <c r="CS45" s="185"/>
      <c r="CT45" s="183"/>
      <c r="CU45" s="183"/>
      <c r="CV45" s="183"/>
      <c r="CW45" s="183"/>
      <c r="CX45" s="183"/>
      <c r="CY45" s="162"/>
      <c r="CZ45" s="183"/>
      <c r="DA45" s="183"/>
      <c r="DB45" s="183"/>
      <c r="DC45" s="183"/>
      <c r="DD45" s="183"/>
      <c r="DE45" s="186"/>
      <c r="DF45" s="198"/>
      <c r="DG45" s="183"/>
      <c r="DH45" s="183"/>
      <c r="DI45" s="183"/>
      <c r="DJ45" s="183"/>
      <c r="DK45" s="183"/>
      <c r="DL45" s="186"/>
      <c r="DM45" s="194"/>
      <c r="DN45" s="183"/>
      <c r="DO45" s="183"/>
      <c r="DP45" s="183"/>
      <c r="DQ45" s="183"/>
      <c r="DR45" s="183"/>
      <c r="DS45" s="199"/>
    </row>
    <row r="46" spans="1:123" ht="14" outlineLevel="1">
      <c r="A46" s="179" t="s">
        <v>212</v>
      </c>
      <c r="B46" s="180" t="s">
        <v>24</v>
      </c>
      <c r="C46" s="105" t="s">
        <v>178</v>
      </c>
      <c r="D46" s="200"/>
      <c r="E46" s="183"/>
      <c r="F46" s="183"/>
      <c r="G46" s="183"/>
      <c r="H46" s="183"/>
      <c r="I46" s="182"/>
      <c r="J46" s="182"/>
      <c r="K46" s="182"/>
      <c r="L46" s="201"/>
      <c r="M46" s="202"/>
      <c r="N46" s="182"/>
      <c r="O46" s="182"/>
      <c r="P46" s="182"/>
      <c r="Q46" s="182"/>
      <c r="R46" s="182"/>
      <c r="S46" s="203"/>
      <c r="T46" s="185"/>
      <c r="U46" s="183"/>
      <c r="V46" s="183"/>
      <c r="W46" s="183"/>
      <c r="X46" s="183"/>
      <c r="Y46" s="187"/>
      <c r="Z46" s="188"/>
      <c r="AA46" s="189"/>
      <c r="AB46" s="187"/>
      <c r="AC46" s="187"/>
      <c r="AD46" s="187"/>
      <c r="AE46" s="187"/>
      <c r="AF46" s="187"/>
      <c r="AG46" s="188"/>
      <c r="AH46" s="190"/>
      <c r="AI46" s="191"/>
      <c r="AJ46" s="187"/>
      <c r="AK46" s="187"/>
      <c r="AL46" s="187"/>
      <c r="AM46" s="187"/>
      <c r="AN46" s="192"/>
      <c r="AO46" s="185"/>
      <c r="AP46" s="183"/>
      <c r="AQ46" s="183"/>
      <c r="AR46" s="183"/>
      <c r="AS46" s="183"/>
      <c r="AT46" s="183"/>
      <c r="AU46" s="186"/>
      <c r="AV46" s="185"/>
      <c r="AW46" s="183"/>
      <c r="AX46" s="183"/>
      <c r="AY46" s="183"/>
      <c r="AZ46" s="183"/>
      <c r="BA46" s="183"/>
      <c r="BB46" s="186"/>
      <c r="BC46" s="185"/>
      <c r="BD46" s="183"/>
      <c r="BE46" s="183"/>
      <c r="BF46" s="183"/>
      <c r="BG46" s="183"/>
      <c r="BH46" s="183"/>
      <c r="BI46" s="186"/>
      <c r="BJ46" s="185"/>
      <c r="BK46" s="183"/>
      <c r="BL46" s="183"/>
      <c r="BM46" s="184"/>
      <c r="BN46" s="193"/>
      <c r="BO46" s="183"/>
      <c r="BP46" s="186"/>
      <c r="BQ46" s="185"/>
      <c r="BR46" s="429"/>
      <c r="BS46" s="183"/>
      <c r="BT46" s="183"/>
      <c r="BU46" s="183"/>
      <c r="BV46" s="183"/>
      <c r="BW46" s="186"/>
      <c r="BX46" s="194"/>
      <c r="BY46" s="183"/>
      <c r="BZ46" s="183"/>
      <c r="CA46" s="183"/>
      <c r="CB46" s="159"/>
      <c r="CC46" s="195"/>
      <c r="CD46" s="196"/>
      <c r="CE46" s="197"/>
      <c r="CF46" s="171"/>
      <c r="CG46" s="171"/>
      <c r="CH46" s="171"/>
      <c r="CI46" s="171"/>
      <c r="CJ46" s="171"/>
      <c r="CK46" s="172"/>
      <c r="CL46" s="59"/>
      <c r="CM46" s="57"/>
      <c r="CN46" s="57"/>
      <c r="CO46" s="73"/>
      <c r="CP46" s="69"/>
      <c r="CQ46" s="57"/>
      <c r="CR46" s="58"/>
      <c r="CS46" s="185"/>
      <c r="CT46" s="183"/>
      <c r="CU46" s="183"/>
      <c r="CV46" s="183"/>
      <c r="CW46" s="183"/>
      <c r="CX46" s="183"/>
      <c r="CY46" s="162"/>
      <c r="CZ46" s="183"/>
      <c r="DA46" s="183"/>
      <c r="DB46" s="183"/>
      <c r="DC46" s="183"/>
      <c r="DD46" s="183"/>
      <c r="DE46" s="186"/>
      <c r="DF46" s="198"/>
      <c r="DG46" s="183"/>
      <c r="DH46" s="183"/>
      <c r="DI46" s="183"/>
      <c r="DJ46" s="183"/>
      <c r="DK46" s="183"/>
      <c r="DL46" s="186"/>
      <c r="DM46" s="194"/>
      <c r="DN46" s="183"/>
      <c r="DO46" s="183"/>
      <c r="DP46" s="183"/>
      <c r="DQ46" s="183"/>
      <c r="DR46" s="183"/>
      <c r="DS46" s="199"/>
    </row>
    <row r="47" spans="1:123" ht="14" outlineLevel="1">
      <c r="A47" s="179" t="s">
        <v>213</v>
      </c>
      <c r="B47" s="180" t="s">
        <v>24</v>
      </c>
      <c r="C47" s="105" t="s">
        <v>178</v>
      </c>
      <c r="D47" s="183"/>
      <c r="E47" s="183"/>
      <c r="F47" s="183"/>
      <c r="G47" s="183"/>
      <c r="H47" s="183"/>
      <c r="I47" s="183"/>
      <c r="J47" s="183"/>
      <c r="K47" s="183"/>
      <c r="L47" s="184"/>
      <c r="M47" s="185"/>
      <c r="N47" s="183"/>
      <c r="O47" s="183"/>
      <c r="P47" s="183"/>
      <c r="Q47" s="183"/>
      <c r="R47" s="183"/>
      <c r="S47" s="186"/>
      <c r="T47" s="202"/>
      <c r="U47" s="182"/>
      <c r="V47" s="182"/>
      <c r="W47" s="182"/>
      <c r="X47" s="182"/>
      <c r="Y47" s="187"/>
      <c r="Z47" s="188"/>
      <c r="AA47" s="189"/>
      <c r="AB47" s="187"/>
      <c r="AC47" s="187"/>
      <c r="AD47" s="187"/>
      <c r="AE47" s="187"/>
      <c r="AF47" s="187"/>
      <c r="AG47" s="188"/>
      <c r="AH47" s="190"/>
      <c r="AI47" s="191"/>
      <c r="AJ47" s="187"/>
      <c r="AK47" s="187"/>
      <c r="AL47" s="187"/>
      <c r="AM47" s="187"/>
      <c r="AN47" s="192"/>
      <c r="AO47" s="185"/>
      <c r="AP47" s="204"/>
      <c r="AQ47" s="183"/>
      <c r="AR47" s="183"/>
      <c r="AS47" s="183"/>
      <c r="AT47" s="183"/>
      <c r="AU47" s="186"/>
      <c r="AV47" s="185"/>
      <c r="AW47" s="183"/>
      <c r="AX47" s="183"/>
      <c r="AY47" s="183"/>
      <c r="AZ47" s="183"/>
      <c r="BA47" s="183"/>
      <c r="BB47" s="186"/>
      <c r="BC47" s="185"/>
      <c r="BD47" s="183"/>
      <c r="BE47" s="183"/>
      <c r="BF47" s="183"/>
      <c r="BG47" s="183"/>
      <c r="BH47" s="183"/>
      <c r="BI47" s="186"/>
      <c r="BJ47" s="185"/>
      <c r="BK47" s="183"/>
      <c r="BL47" s="183"/>
      <c r="BM47" s="184"/>
      <c r="BN47" s="193"/>
      <c r="BO47" s="183"/>
      <c r="BP47" s="186"/>
      <c r="BQ47" s="185"/>
      <c r="BR47" s="429"/>
      <c r="BS47" s="183"/>
      <c r="BT47" s="183"/>
      <c r="BU47" s="183"/>
      <c r="BV47" s="183"/>
      <c r="BW47" s="186"/>
      <c r="BX47" s="194"/>
      <c r="BY47" s="183"/>
      <c r="BZ47" s="183"/>
      <c r="CA47" s="183"/>
      <c r="CB47" s="159"/>
      <c r="CC47" s="195"/>
      <c r="CD47" s="196"/>
      <c r="CE47" s="197"/>
      <c r="CF47" s="171"/>
      <c r="CG47" s="171"/>
      <c r="CH47" s="171"/>
      <c r="CI47" s="171"/>
      <c r="CJ47" s="171"/>
      <c r="CK47" s="172"/>
      <c r="CL47" s="59"/>
      <c r="CM47" s="57"/>
      <c r="CN47" s="57"/>
      <c r="CO47" s="73"/>
      <c r="CP47" s="69"/>
      <c r="CQ47" s="57"/>
      <c r="CR47" s="58"/>
      <c r="CS47" s="185"/>
      <c r="CT47" s="183"/>
      <c r="CU47" s="183"/>
      <c r="CV47" s="183"/>
      <c r="CW47" s="183"/>
      <c r="CX47" s="183"/>
      <c r="CY47" s="162"/>
      <c r="CZ47" s="183"/>
      <c r="DA47" s="183"/>
      <c r="DB47" s="183"/>
      <c r="DC47" s="183"/>
      <c r="DD47" s="183"/>
      <c r="DE47" s="186"/>
      <c r="DF47" s="198"/>
      <c r="DG47" s="183"/>
      <c r="DH47" s="183"/>
      <c r="DI47" s="183"/>
      <c r="DJ47" s="183"/>
      <c r="DK47" s="183"/>
      <c r="DL47" s="186"/>
      <c r="DM47" s="194"/>
      <c r="DN47" s="183"/>
      <c r="DO47" s="183"/>
      <c r="DP47" s="183"/>
      <c r="DQ47" s="183"/>
      <c r="DR47" s="183"/>
      <c r="DS47" s="199"/>
    </row>
    <row r="48" spans="1:123" ht="14" outlineLevel="1">
      <c r="A48" s="179" t="s">
        <v>214</v>
      </c>
      <c r="B48" s="180" t="s">
        <v>24</v>
      </c>
      <c r="C48" s="105" t="s">
        <v>178</v>
      </c>
      <c r="D48" s="205"/>
      <c r="E48" s="182"/>
      <c r="F48" s="182"/>
      <c r="G48" s="182"/>
      <c r="H48" s="182"/>
      <c r="I48" s="183"/>
      <c r="J48" s="183"/>
      <c r="K48" s="183"/>
      <c r="L48" s="184"/>
      <c r="M48" s="185"/>
      <c r="N48" s="183"/>
      <c r="O48" s="183"/>
      <c r="P48" s="183"/>
      <c r="Q48" s="183"/>
      <c r="R48" s="183"/>
      <c r="S48" s="186"/>
      <c r="T48" s="183"/>
      <c r="U48" s="183"/>
      <c r="V48" s="183"/>
      <c r="W48" s="183"/>
      <c r="X48" s="183"/>
      <c r="Y48" s="187"/>
      <c r="Z48" s="188"/>
      <c r="AA48" s="189"/>
      <c r="AB48" s="187"/>
      <c r="AC48" s="187"/>
      <c r="AD48" s="187"/>
      <c r="AE48" s="187"/>
      <c r="AF48" s="187"/>
      <c r="AG48" s="188"/>
      <c r="AH48" s="190"/>
      <c r="AI48" s="191"/>
      <c r="AJ48" s="187"/>
      <c r="AK48" s="187"/>
      <c r="AL48" s="187"/>
      <c r="AM48" s="187"/>
      <c r="AN48" s="192"/>
      <c r="AO48" s="185"/>
      <c r="AP48" s="183"/>
      <c r="AQ48" s="183"/>
      <c r="AR48" s="183"/>
      <c r="AS48" s="183"/>
      <c r="AT48" s="183"/>
      <c r="AU48" s="186"/>
      <c r="AV48" s="185"/>
      <c r="AW48" s="183"/>
      <c r="AX48" s="183"/>
      <c r="AY48" s="183"/>
      <c r="AZ48" s="183"/>
      <c r="BA48" s="183"/>
      <c r="BB48" s="186"/>
      <c r="BC48" s="185"/>
      <c r="BD48" s="183"/>
      <c r="BE48" s="183"/>
      <c r="BF48" s="183"/>
      <c r="BG48" s="183"/>
      <c r="BH48" s="183"/>
      <c r="BI48" s="186"/>
      <c r="BJ48" s="185"/>
      <c r="BK48" s="183"/>
      <c r="BL48" s="183"/>
      <c r="BM48" s="184"/>
      <c r="BN48" s="193"/>
      <c r="BO48" s="183"/>
      <c r="BP48" s="186"/>
      <c r="BQ48" s="185"/>
      <c r="BR48" s="429"/>
      <c r="BS48" s="183"/>
      <c r="BT48" s="183"/>
      <c r="BU48" s="183"/>
      <c r="BV48" s="183"/>
      <c r="BW48" s="186"/>
      <c r="BX48" s="194"/>
      <c r="BY48" s="183"/>
      <c r="BZ48" s="183"/>
      <c r="CA48" s="183"/>
      <c r="CB48" s="159"/>
      <c r="CC48" s="195"/>
      <c r="CD48" s="196"/>
      <c r="CE48" s="197"/>
      <c r="CF48" s="171"/>
      <c r="CG48" s="171"/>
      <c r="CH48" s="171"/>
      <c r="CI48" s="171"/>
      <c r="CJ48" s="171"/>
      <c r="CK48" s="172"/>
      <c r="CL48" s="59"/>
      <c r="CM48" s="57"/>
      <c r="CN48" s="57"/>
      <c r="CO48" s="73"/>
      <c r="CP48" s="69"/>
      <c r="CQ48" s="57"/>
      <c r="CR48" s="58"/>
      <c r="CS48" s="185"/>
      <c r="CT48" s="183"/>
      <c r="CU48" s="183"/>
      <c r="CV48" s="183"/>
      <c r="CW48" s="183"/>
      <c r="CX48" s="183"/>
      <c r="CY48" s="162"/>
      <c r="CZ48" s="183"/>
      <c r="DA48" s="183"/>
      <c r="DB48" s="183"/>
      <c r="DC48" s="183"/>
      <c r="DD48" s="183"/>
      <c r="DE48" s="186"/>
      <c r="DF48" s="198"/>
      <c r="DG48" s="183"/>
      <c r="DH48" s="183"/>
      <c r="DI48" s="183"/>
      <c r="DJ48" s="183"/>
      <c r="DK48" s="183"/>
      <c r="DL48" s="186"/>
      <c r="DM48" s="194"/>
      <c r="DN48" s="183"/>
      <c r="DO48" s="183"/>
      <c r="DP48" s="183"/>
      <c r="DQ48" s="183"/>
      <c r="DR48" s="183"/>
      <c r="DS48" s="199"/>
    </row>
    <row r="49" spans="1:123" ht="14" outlineLevel="1">
      <c r="A49" s="179" t="s">
        <v>215</v>
      </c>
      <c r="B49" s="180" t="s">
        <v>24</v>
      </c>
      <c r="C49" s="105" t="s">
        <v>178</v>
      </c>
      <c r="D49" s="200"/>
      <c r="E49" s="183"/>
      <c r="F49" s="183"/>
      <c r="G49" s="183"/>
      <c r="H49" s="183"/>
      <c r="I49" s="183"/>
      <c r="J49" s="183"/>
      <c r="K49" s="183"/>
      <c r="L49" s="184"/>
      <c r="M49" s="202"/>
      <c r="N49" s="182"/>
      <c r="O49" s="182"/>
      <c r="P49" s="204"/>
      <c r="Q49" s="182"/>
      <c r="R49" s="183"/>
      <c r="S49" s="186"/>
      <c r="T49" s="183"/>
      <c r="U49" s="183"/>
      <c r="V49" s="183"/>
      <c r="W49" s="183"/>
      <c r="X49" s="183"/>
      <c r="Y49" s="187"/>
      <c r="Z49" s="188"/>
      <c r="AA49" s="189"/>
      <c r="AB49" s="187"/>
      <c r="AC49" s="187"/>
      <c r="AD49" s="187"/>
      <c r="AE49" s="187"/>
      <c r="AF49" s="187"/>
      <c r="AG49" s="188"/>
      <c r="AH49" s="190"/>
      <c r="AI49" s="191"/>
      <c r="AJ49" s="187"/>
      <c r="AK49" s="187"/>
      <c r="AL49" s="187"/>
      <c r="AM49" s="187"/>
      <c r="AN49" s="192"/>
      <c r="AO49" s="185"/>
      <c r="AP49" s="183"/>
      <c r="AQ49" s="183"/>
      <c r="AR49" s="183"/>
      <c r="AS49" s="183"/>
      <c r="AT49" s="183"/>
      <c r="AU49" s="186"/>
      <c r="AV49" s="185"/>
      <c r="AW49" s="183"/>
      <c r="AX49" s="183"/>
      <c r="AY49" s="183"/>
      <c r="AZ49" s="183"/>
      <c r="BA49" s="183"/>
      <c r="BB49" s="186"/>
      <c r="BC49" s="185"/>
      <c r="BD49" s="183"/>
      <c r="BE49" s="183"/>
      <c r="BF49" s="183"/>
      <c r="BG49" s="183"/>
      <c r="BH49" s="183"/>
      <c r="BI49" s="186"/>
      <c r="BJ49" s="185"/>
      <c r="BK49" s="183"/>
      <c r="BL49" s="183"/>
      <c r="BM49" s="184"/>
      <c r="BN49" s="193"/>
      <c r="BO49" s="183"/>
      <c r="BP49" s="186"/>
      <c r="BQ49" s="185"/>
      <c r="BR49" s="429"/>
      <c r="BS49" s="183"/>
      <c r="BT49" s="183"/>
      <c r="BU49" s="183"/>
      <c r="BV49" s="183"/>
      <c r="BW49" s="186"/>
      <c r="BX49" s="194"/>
      <c r="BY49" s="183"/>
      <c r="BZ49" s="183"/>
      <c r="CA49" s="183"/>
      <c r="CB49" s="159"/>
      <c r="CC49" s="195"/>
      <c r="CD49" s="196"/>
      <c r="CE49" s="197"/>
      <c r="CF49" s="171"/>
      <c r="CG49" s="171"/>
      <c r="CH49" s="171"/>
      <c r="CI49" s="171"/>
      <c r="CJ49" s="171"/>
      <c r="CK49" s="172"/>
      <c r="CL49" s="59"/>
      <c r="CM49" s="57"/>
      <c r="CN49" s="57"/>
      <c r="CO49" s="73"/>
      <c r="CP49" s="69"/>
      <c r="CQ49" s="57"/>
      <c r="CR49" s="58"/>
      <c r="CS49" s="185"/>
      <c r="CT49" s="183"/>
      <c r="CU49" s="183"/>
      <c r="CV49" s="183"/>
      <c r="CW49" s="183"/>
      <c r="CX49" s="183"/>
      <c r="CY49" s="162"/>
      <c r="CZ49" s="183"/>
      <c r="DA49" s="183"/>
      <c r="DB49" s="183"/>
      <c r="DC49" s="183"/>
      <c r="DD49" s="183"/>
      <c r="DE49" s="186"/>
      <c r="DF49" s="198"/>
      <c r="DG49" s="183"/>
      <c r="DH49" s="183"/>
      <c r="DI49" s="183"/>
      <c r="DJ49" s="183"/>
      <c r="DK49" s="183"/>
      <c r="DL49" s="186"/>
      <c r="DM49" s="194"/>
      <c r="DN49" s="183"/>
      <c r="DO49" s="183"/>
      <c r="DP49" s="183"/>
      <c r="DQ49" s="183"/>
      <c r="DR49" s="183"/>
      <c r="DS49" s="199"/>
    </row>
    <row r="50" spans="1:123" ht="14" outlineLevel="1">
      <c r="A50" s="179" t="s">
        <v>216</v>
      </c>
      <c r="B50" s="180" t="s">
        <v>24</v>
      </c>
      <c r="C50" s="105" t="s">
        <v>178</v>
      </c>
      <c r="D50" s="200"/>
      <c r="E50" s="183"/>
      <c r="F50" s="183"/>
      <c r="G50" s="183"/>
      <c r="H50" s="183"/>
      <c r="I50" s="183"/>
      <c r="J50" s="183"/>
      <c r="K50" s="183"/>
      <c r="L50" s="184"/>
      <c r="M50" s="185"/>
      <c r="N50" s="183"/>
      <c r="O50" s="183"/>
      <c r="P50" s="183"/>
      <c r="Q50" s="183"/>
      <c r="R50" s="183"/>
      <c r="S50" s="186"/>
      <c r="T50" s="206"/>
      <c r="U50" s="182"/>
      <c r="V50" s="182"/>
      <c r="W50" s="182"/>
      <c r="X50" s="182"/>
      <c r="Y50" s="187"/>
      <c r="Z50" s="188"/>
      <c r="AA50" s="189"/>
      <c r="AB50" s="187"/>
      <c r="AC50" s="187"/>
      <c r="AD50" s="187"/>
      <c r="AE50" s="187"/>
      <c r="AF50" s="187"/>
      <c r="AG50" s="188"/>
      <c r="AH50" s="190"/>
      <c r="AI50" s="191"/>
      <c r="AJ50" s="187"/>
      <c r="AK50" s="187"/>
      <c r="AL50" s="187"/>
      <c r="AM50" s="187"/>
      <c r="AN50" s="192"/>
      <c r="AO50" s="185"/>
      <c r="AP50" s="183"/>
      <c r="AQ50" s="183"/>
      <c r="AR50" s="183"/>
      <c r="AS50" s="183"/>
      <c r="AT50" s="183"/>
      <c r="AU50" s="186"/>
      <c r="AV50" s="185"/>
      <c r="AW50" s="183"/>
      <c r="AX50" s="183"/>
      <c r="AY50" s="183"/>
      <c r="AZ50" s="183"/>
      <c r="BA50" s="183"/>
      <c r="BB50" s="186"/>
      <c r="BC50" s="185"/>
      <c r="BD50" s="183"/>
      <c r="BE50" s="183"/>
      <c r="BF50" s="183"/>
      <c r="BG50" s="183"/>
      <c r="BH50" s="183"/>
      <c r="BI50" s="186"/>
      <c r="BJ50" s="185"/>
      <c r="BK50" s="183"/>
      <c r="BL50" s="183"/>
      <c r="BM50" s="184"/>
      <c r="BN50" s="193"/>
      <c r="BO50" s="183"/>
      <c r="BP50" s="186"/>
      <c r="BQ50" s="185"/>
      <c r="BR50" s="429"/>
      <c r="BS50" s="183"/>
      <c r="BT50" s="183"/>
      <c r="BU50" s="183"/>
      <c r="BV50" s="183"/>
      <c r="BW50" s="186"/>
      <c r="BX50" s="206"/>
      <c r="BY50" s="182"/>
      <c r="BZ50" s="182"/>
      <c r="CA50" s="182"/>
      <c r="CB50" s="159"/>
      <c r="CC50" s="195"/>
      <c r="CD50" s="196"/>
      <c r="CE50" s="150"/>
      <c r="CF50" s="171"/>
      <c r="CG50" s="171"/>
      <c r="CH50" s="171"/>
      <c r="CI50" s="171"/>
      <c r="CJ50" s="171"/>
      <c r="CK50" s="172"/>
      <c r="CL50" s="59"/>
      <c r="CM50" s="57"/>
      <c r="CN50" s="57"/>
      <c r="CO50" s="73"/>
      <c r="CP50" s="69"/>
      <c r="CQ50" s="57"/>
      <c r="CR50" s="58"/>
      <c r="CS50" s="185"/>
      <c r="CT50" s="183"/>
      <c r="CU50" s="183"/>
      <c r="CV50" s="183"/>
      <c r="CW50" s="183"/>
      <c r="CX50" s="183"/>
      <c r="CY50" s="162"/>
      <c r="CZ50" s="183"/>
      <c r="DA50" s="183"/>
      <c r="DB50" s="183"/>
      <c r="DC50" s="183"/>
      <c r="DD50" s="183"/>
      <c r="DE50" s="186"/>
      <c r="DF50" s="198"/>
      <c r="DG50" s="183"/>
      <c r="DH50" s="183"/>
      <c r="DI50" s="183"/>
      <c r="DJ50" s="183"/>
      <c r="DK50" s="183"/>
      <c r="DL50" s="186"/>
      <c r="DM50" s="194"/>
      <c r="DN50" s="183"/>
      <c r="DO50" s="183"/>
      <c r="DP50" s="183"/>
      <c r="DQ50" s="183"/>
      <c r="DR50" s="183"/>
      <c r="DS50" s="199"/>
    </row>
    <row r="51" spans="1:123" ht="14" outlineLevel="1">
      <c r="A51" s="207" t="s">
        <v>217</v>
      </c>
      <c r="B51" s="339" t="s">
        <v>24</v>
      </c>
      <c r="C51" s="340" t="s">
        <v>178</v>
      </c>
      <c r="D51" s="181"/>
      <c r="E51" s="182"/>
      <c r="F51" s="182"/>
      <c r="G51" s="182"/>
      <c r="H51" s="182"/>
      <c r="I51" s="182"/>
      <c r="J51" s="182"/>
      <c r="K51" s="182"/>
      <c r="L51" s="201"/>
      <c r="M51" s="202"/>
      <c r="N51" s="182"/>
      <c r="O51" s="182"/>
      <c r="P51" s="182"/>
      <c r="Q51" s="182"/>
      <c r="R51" s="182"/>
      <c r="S51" s="203"/>
      <c r="T51" s="202"/>
      <c r="U51" s="182"/>
      <c r="V51" s="182"/>
      <c r="W51" s="182"/>
      <c r="X51" s="182"/>
      <c r="Y51" s="187"/>
      <c r="Z51" s="188"/>
      <c r="AA51" s="189"/>
      <c r="AB51" s="187"/>
      <c r="AC51" s="187"/>
      <c r="AD51" s="187"/>
      <c r="AE51" s="187"/>
      <c r="AF51" s="187"/>
      <c r="AG51" s="188"/>
      <c r="AH51" s="190"/>
      <c r="AI51" s="191"/>
      <c r="AJ51" s="187"/>
      <c r="AK51" s="187"/>
      <c r="AL51" s="187"/>
      <c r="AM51" s="187"/>
      <c r="AN51" s="192"/>
      <c r="AO51" s="185"/>
      <c r="AP51" s="183"/>
      <c r="AQ51" s="183"/>
      <c r="AR51" s="183"/>
      <c r="AS51" s="183"/>
      <c r="AT51" s="183"/>
      <c r="AU51" s="186"/>
      <c r="AV51" s="185"/>
      <c r="AW51" s="183"/>
      <c r="AX51" s="183"/>
      <c r="AY51" s="183"/>
      <c r="AZ51" s="183"/>
      <c r="BA51" s="183"/>
      <c r="BB51" s="186"/>
      <c r="BC51" s="185"/>
      <c r="BD51" s="183"/>
      <c r="BE51" s="183"/>
      <c r="BF51" s="183"/>
      <c r="BG51" s="183"/>
      <c r="BH51" s="183"/>
      <c r="BI51" s="186"/>
      <c r="BJ51" s="185"/>
      <c r="BK51" s="183"/>
      <c r="BL51" s="183"/>
      <c r="BM51" s="184"/>
      <c r="BN51" s="193"/>
      <c r="BO51" s="183"/>
      <c r="BP51" s="186"/>
      <c r="BQ51" s="185"/>
      <c r="BR51" s="429"/>
      <c r="BS51" s="183"/>
      <c r="BT51" s="183"/>
      <c r="BU51" s="183"/>
      <c r="BV51" s="183"/>
      <c r="BW51" s="186"/>
      <c r="BX51" s="194"/>
      <c r="BY51" s="183"/>
      <c r="BZ51" s="183"/>
      <c r="CA51" s="183"/>
      <c r="CB51" s="159"/>
      <c r="CC51" s="195"/>
      <c r="CD51" s="196"/>
      <c r="CE51" s="195"/>
      <c r="CF51" s="171"/>
      <c r="CG51" s="171"/>
      <c r="CH51" s="171"/>
      <c r="CI51" s="171"/>
      <c r="CJ51" s="171"/>
      <c r="CK51" s="172"/>
      <c r="CL51" s="59"/>
      <c r="CM51" s="57"/>
      <c r="CN51" s="57"/>
      <c r="CO51" s="73"/>
      <c r="CP51" s="69"/>
      <c r="CQ51" s="57"/>
      <c r="CR51" s="58"/>
      <c r="CS51" s="185"/>
      <c r="CT51" s="183"/>
      <c r="CU51" s="183"/>
      <c r="CV51" s="183"/>
      <c r="CW51" s="183"/>
      <c r="CX51" s="183"/>
      <c r="CY51" s="162"/>
      <c r="CZ51" s="183"/>
      <c r="DA51" s="183"/>
      <c r="DB51" s="183"/>
      <c r="DC51" s="183"/>
      <c r="DD51" s="183"/>
      <c r="DE51" s="186"/>
      <c r="DF51" s="198"/>
      <c r="DG51" s="183"/>
      <c r="DH51" s="183"/>
      <c r="DI51" s="183"/>
      <c r="DJ51" s="183"/>
      <c r="DK51" s="183"/>
      <c r="DL51" s="186"/>
      <c r="DM51" s="194"/>
      <c r="DN51" s="183"/>
      <c r="DO51" s="183"/>
      <c r="DP51" s="183"/>
      <c r="DQ51" s="183"/>
      <c r="DR51" s="183"/>
      <c r="DS51" s="199"/>
    </row>
    <row r="52" spans="1:123" ht="14" outlineLevel="1">
      <c r="A52" s="179" t="s">
        <v>218</v>
      </c>
      <c r="B52" s="221" t="s">
        <v>24</v>
      </c>
      <c r="C52" s="52" t="s">
        <v>178</v>
      </c>
      <c r="D52" s="194"/>
      <c r="E52" s="183"/>
      <c r="F52" s="183"/>
      <c r="G52" s="183"/>
      <c r="H52" s="183"/>
      <c r="I52" s="183"/>
      <c r="J52" s="183"/>
      <c r="K52" s="183"/>
      <c r="L52" s="184"/>
      <c r="M52" s="185"/>
      <c r="N52" s="183"/>
      <c r="O52" s="183"/>
      <c r="P52" s="183"/>
      <c r="Q52" s="183"/>
      <c r="R52" s="183"/>
      <c r="S52" s="186"/>
      <c r="T52" s="185"/>
      <c r="U52" s="183"/>
      <c r="V52" s="183"/>
      <c r="W52" s="183"/>
      <c r="X52" s="183"/>
      <c r="Y52" s="187"/>
      <c r="Z52" s="188"/>
      <c r="AA52" s="189"/>
      <c r="AB52" s="187"/>
      <c r="AC52" s="187"/>
      <c r="AD52" s="187"/>
      <c r="AE52" s="187"/>
      <c r="AF52" s="187"/>
      <c r="AG52" s="188"/>
      <c r="AH52" s="190"/>
      <c r="AI52" s="191"/>
      <c r="AJ52" s="187"/>
      <c r="AK52" s="187"/>
      <c r="AL52" s="187"/>
      <c r="AM52" s="187"/>
      <c r="AN52" s="192"/>
      <c r="AO52" s="185"/>
      <c r="AP52" s="183"/>
      <c r="AQ52" s="208"/>
      <c r="AR52" s="208"/>
      <c r="AS52" s="182"/>
      <c r="AT52" s="183"/>
      <c r="AU52" s="186"/>
      <c r="AV52" s="185"/>
      <c r="AW52" s="183"/>
      <c r="AX52" s="182"/>
      <c r="AY52" s="182"/>
      <c r="AZ52" s="182"/>
      <c r="BA52" s="183"/>
      <c r="BB52" s="186"/>
      <c r="BC52" s="185"/>
      <c r="BD52" s="183"/>
      <c r="BE52" s="182"/>
      <c r="BF52" s="182"/>
      <c r="BG52" s="204"/>
      <c r="BH52" s="183"/>
      <c r="BI52" s="186"/>
      <c r="BJ52" s="59"/>
      <c r="BK52" s="57"/>
      <c r="BL52" s="57"/>
      <c r="BM52" s="66"/>
      <c r="BN52" s="67"/>
      <c r="BO52" s="57"/>
      <c r="BP52" s="58"/>
      <c r="BQ52" s="185"/>
      <c r="BR52" s="429"/>
      <c r="BS52" s="183"/>
      <c r="BT52" s="183"/>
      <c r="BU52" s="183"/>
      <c r="BV52" s="183"/>
      <c r="BW52" s="186"/>
      <c r="BX52" s="194"/>
      <c r="BY52" s="183"/>
      <c r="BZ52" s="183"/>
      <c r="CA52" s="183"/>
      <c r="CB52" s="159"/>
      <c r="CC52" s="195"/>
      <c r="CD52" s="196"/>
      <c r="CE52" s="195"/>
      <c r="CF52" s="171"/>
      <c r="CG52" s="171"/>
      <c r="CH52" s="171"/>
      <c r="CI52" s="171"/>
      <c r="CJ52" s="171"/>
      <c r="CK52" s="172"/>
      <c r="CL52" s="59"/>
      <c r="CM52" s="57"/>
      <c r="CN52" s="57"/>
      <c r="CO52" s="73"/>
      <c r="CP52" s="69"/>
      <c r="CQ52" s="57"/>
      <c r="CR52" s="58"/>
      <c r="CS52" s="185"/>
      <c r="CT52" s="183"/>
      <c r="CU52" s="183"/>
      <c r="CV52" s="183"/>
      <c r="CW52" s="183"/>
      <c r="CX52" s="183"/>
      <c r="CY52" s="162"/>
      <c r="CZ52" s="183"/>
      <c r="DA52" s="183"/>
      <c r="DB52" s="183"/>
      <c r="DC52" s="183"/>
      <c r="DD52" s="183"/>
      <c r="DE52" s="186"/>
      <c r="DF52" s="198"/>
      <c r="DG52" s="183"/>
      <c r="DH52" s="183"/>
      <c r="DI52" s="183"/>
      <c r="DJ52" s="183"/>
      <c r="DK52" s="183"/>
      <c r="DL52" s="186"/>
      <c r="DM52" s="194"/>
      <c r="DN52" s="183"/>
      <c r="DO52" s="183"/>
      <c r="DP52" s="183"/>
      <c r="DQ52" s="183"/>
      <c r="DR52" s="183"/>
      <c r="DS52" s="199"/>
    </row>
    <row r="53" spans="1:123" ht="14" outlineLevel="1">
      <c r="A53" s="179" t="s">
        <v>219</v>
      </c>
      <c r="B53" s="221" t="s">
        <v>24</v>
      </c>
      <c r="C53" s="52" t="s">
        <v>178</v>
      </c>
      <c r="D53" s="194"/>
      <c r="E53" s="183"/>
      <c r="F53" s="183"/>
      <c r="G53" s="183"/>
      <c r="H53" s="183"/>
      <c r="I53" s="183"/>
      <c r="J53" s="183"/>
      <c r="K53" s="183"/>
      <c r="L53" s="184"/>
      <c r="M53" s="185"/>
      <c r="N53" s="183"/>
      <c r="O53" s="183"/>
      <c r="P53" s="183"/>
      <c r="Q53" s="183"/>
      <c r="R53" s="183"/>
      <c r="S53" s="186"/>
      <c r="T53" s="185"/>
      <c r="U53" s="183"/>
      <c r="V53" s="183"/>
      <c r="W53" s="183"/>
      <c r="X53" s="183"/>
      <c r="Y53" s="187"/>
      <c r="Z53" s="188"/>
      <c r="AA53" s="189"/>
      <c r="AB53" s="187"/>
      <c r="AC53" s="187"/>
      <c r="AD53" s="187"/>
      <c r="AE53" s="187"/>
      <c r="AF53" s="187"/>
      <c r="AG53" s="188"/>
      <c r="AH53" s="190"/>
      <c r="AI53" s="191"/>
      <c r="AJ53" s="187"/>
      <c r="AK53" s="187"/>
      <c r="AL53" s="187"/>
      <c r="AM53" s="187"/>
      <c r="AN53" s="192"/>
      <c r="AO53" s="185"/>
      <c r="AP53" s="183"/>
      <c r="AQ53" s="208"/>
      <c r="AR53" s="208"/>
      <c r="AS53" s="182"/>
      <c r="AT53" s="183"/>
      <c r="AU53" s="186"/>
      <c r="AV53" s="185"/>
      <c r="AW53" s="183"/>
      <c r="AX53" s="182"/>
      <c r="AY53" s="204"/>
      <c r="AZ53" s="182"/>
      <c r="BA53" s="183"/>
      <c r="BB53" s="186"/>
      <c r="BC53" s="185"/>
      <c r="BD53" s="183"/>
      <c r="BE53" s="209"/>
      <c r="BF53" s="209"/>
      <c r="BG53" s="209"/>
      <c r="BH53" s="209"/>
      <c r="BI53" s="186"/>
      <c r="BJ53" s="185"/>
      <c r="BK53" s="183"/>
      <c r="BL53" s="183"/>
      <c r="BM53" s="184"/>
      <c r="BN53" s="193"/>
      <c r="BO53" s="183"/>
      <c r="BP53" s="186"/>
      <c r="BQ53" s="185"/>
      <c r="BR53" s="429"/>
      <c r="BS53" s="183"/>
      <c r="BT53" s="183"/>
      <c r="BU53" s="183"/>
      <c r="BV53" s="183"/>
      <c r="BW53" s="186"/>
      <c r="BX53" s="194"/>
      <c r="BY53" s="183"/>
      <c r="BZ53" s="183"/>
      <c r="CA53" s="183"/>
      <c r="CB53" s="159"/>
      <c r="CC53" s="195"/>
      <c r="CD53" s="196"/>
      <c r="CE53" s="195"/>
      <c r="CF53" s="171"/>
      <c r="CG53" s="171"/>
      <c r="CH53" s="171"/>
      <c r="CI53" s="171"/>
      <c r="CJ53" s="171"/>
      <c r="CK53" s="172"/>
      <c r="CL53" s="59"/>
      <c r="CM53" s="57"/>
      <c r="CN53" s="57"/>
      <c r="CO53" s="73"/>
      <c r="CP53" s="69"/>
      <c r="CQ53" s="57"/>
      <c r="CR53" s="58"/>
      <c r="CS53" s="185"/>
      <c r="CT53" s="183"/>
      <c r="CU53" s="183"/>
      <c r="CV53" s="183"/>
      <c r="CW53" s="183"/>
      <c r="CX53" s="183"/>
      <c r="CY53" s="162"/>
      <c r="CZ53" s="183"/>
      <c r="DA53" s="183"/>
      <c r="DB53" s="183"/>
      <c r="DC53" s="183"/>
      <c r="DD53" s="183"/>
      <c r="DE53" s="186"/>
      <c r="DF53" s="198"/>
      <c r="DG53" s="183"/>
      <c r="DH53" s="183"/>
      <c r="DI53" s="183"/>
      <c r="DJ53" s="183"/>
      <c r="DK53" s="183"/>
      <c r="DL53" s="186"/>
      <c r="DM53" s="194"/>
      <c r="DN53" s="183"/>
      <c r="DO53" s="183"/>
      <c r="DP53" s="183"/>
      <c r="DQ53" s="183"/>
      <c r="DR53" s="183"/>
      <c r="DS53" s="199"/>
    </row>
    <row r="54" spans="1:123" ht="14" outlineLevel="1">
      <c r="A54" s="179" t="s">
        <v>220</v>
      </c>
      <c r="B54" s="221" t="s">
        <v>24</v>
      </c>
      <c r="C54" s="52" t="s">
        <v>178</v>
      </c>
      <c r="D54" s="194"/>
      <c r="E54" s="183"/>
      <c r="F54" s="183"/>
      <c r="G54" s="183"/>
      <c r="H54" s="183"/>
      <c r="I54" s="183"/>
      <c r="J54" s="183"/>
      <c r="K54" s="183"/>
      <c r="L54" s="184"/>
      <c r="M54" s="185"/>
      <c r="N54" s="183"/>
      <c r="O54" s="183"/>
      <c r="P54" s="183"/>
      <c r="Q54" s="183"/>
      <c r="R54" s="183"/>
      <c r="S54" s="186"/>
      <c r="T54" s="185"/>
      <c r="U54" s="183"/>
      <c r="V54" s="183"/>
      <c r="W54" s="183"/>
      <c r="X54" s="183"/>
      <c r="Y54" s="187"/>
      <c r="Z54" s="188"/>
      <c r="AA54" s="189"/>
      <c r="AB54" s="187"/>
      <c r="AC54" s="187"/>
      <c r="AD54" s="187"/>
      <c r="AE54" s="187"/>
      <c r="AF54" s="187"/>
      <c r="AG54" s="188"/>
      <c r="AH54" s="190"/>
      <c r="AI54" s="191"/>
      <c r="AJ54" s="187"/>
      <c r="AK54" s="187"/>
      <c r="AL54" s="187"/>
      <c r="AM54" s="187"/>
      <c r="AN54" s="192"/>
      <c r="AO54" s="185"/>
      <c r="AP54" s="183"/>
      <c r="AQ54" s="183"/>
      <c r="AR54" s="183"/>
      <c r="AS54" s="183"/>
      <c r="AT54" s="183"/>
      <c r="AU54" s="186"/>
      <c r="AV54" s="185"/>
      <c r="AW54" s="183"/>
      <c r="AX54" s="183"/>
      <c r="AY54" s="183"/>
      <c r="AZ54" s="183"/>
      <c r="BA54" s="183"/>
      <c r="BB54" s="186"/>
      <c r="BC54" s="185"/>
      <c r="BD54" s="183"/>
      <c r="BE54" s="182"/>
      <c r="BF54" s="182"/>
      <c r="BG54" s="204"/>
      <c r="BH54" s="209"/>
      <c r="BI54" s="186"/>
      <c r="BJ54" s="185"/>
      <c r="BK54" s="183"/>
      <c r="BL54" s="183"/>
      <c r="BM54" s="184"/>
      <c r="BN54" s="193"/>
      <c r="BO54" s="183"/>
      <c r="BP54" s="186"/>
      <c r="BQ54" s="185"/>
      <c r="BR54" s="429"/>
      <c r="BS54" s="183"/>
      <c r="BT54" s="183"/>
      <c r="BU54" s="183"/>
      <c r="BV54" s="183"/>
      <c r="BW54" s="186"/>
      <c r="BX54" s="194"/>
      <c r="BY54" s="183"/>
      <c r="BZ54" s="183"/>
      <c r="CA54" s="183"/>
      <c r="CB54" s="159"/>
      <c r="CC54" s="195"/>
      <c r="CD54" s="196"/>
      <c r="CE54" s="195"/>
      <c r="CF54" s="171"/>
      <c r="CG54" s="171"/>
      <c r="CH54" s="171"/>
      <c r="CI54" s="171"/>
      <c r="CJ54" s="171"/>
      <c r="CK54" s="172"/>
      <c r="CL54" s="59"/>
      <c r="CM54" s="57"/>
      <c r="CN54" s="57"/>
      <c r="CO54" s="73"/>
      <c r="CP54" s="69"/>
      <c r="CQ54" s="57"/>
      <c r="CR54" s="58"/>
      <c r="CS54" s="185"/>
      <c r="CT54" s="183"/>
      <c r="CU54" s="183"/>
      <c r="CV54" s="183"/>
      <c r="CW54" s="183"/>
      <c r="CX54" s="183"/>
      <c r="CY54" s="162"/>
      <c r="CZ54" s="183"/>
      <c r="DA54" s="183"/>
      <c r="DB54" s="183"/>
      <c r="DC54" s="183"/>
      <c r="DD54" s="183"/>
      <c r="DE54" s="186"/>
      <c r="DF54" s="198"/>
      <c r="DG54" s="183"/>
      <c r="DH54" s="183"/>
      <c r="DI54" s="183"/>
      <c r="DJ54" s="183"/>
      <c r="DK54" s="183"/>
      <c r="DL54" s="186"/>
      <c r="DM54" s="194"/>
      <c r="DN54" s="183"/>
      <c r="DO54" s="183"/>
      <c r="DP54" s="183"/>
      <c r="DQ54" s="183"/>
      <c r="DR54" s="183"/>
      <c r="DS54" s="199"/>
    </row>
    <row r="55" spans="1:123" ht="14" outlineLevel="1">
      <c r="A55" s="179" t="s">
        <v>221</v>
      </c>
      <c r="B55" s="221" t="s">
        <v>106</v>
      </c>
      <c r="C55" s="52" t="s">
        <v>178</v>
      </c>
      <c r="D55" s="194"/>
      <c r="E55" s="183"/>
      <c r="F55" s="183"/>
      <c r="G55" s="183"/>
      <c r="H55" s="183"/>
      <c r="I55" s="183"/>
      <c r="J55" s="183"/>
      <c r="K55" s="183"/>
      <c r="L55" s="184"/>
      <c r="M55" s="185"/>
      <c r="N55" s="183"/>
      <c r="O55" s="183"/>
      <c r="P55" s="183"/>
      <c r="Q55" s="183"/>
      <c r="R55" s="183"/>
      <c r="S55" s="186"/>
      <c r="T55" s="185"/>
      <c r="U55" s="183"/>
      <c r="V55" s="183"/>
      <c r="W55" s="183"/>
      <c r="X55" s="183"/>
      <c r="Y55" s="187"/>
      <c r="Z55" s="188"/>
      <c r="AA55" s="189"/>
      <c r="AB55" s="187"/>
      <c r="AC55" s="187"/>
      <c r="AD55" s="187"/>
      <c r="AE55" s="187"/>
      <c r="AF55" s="187"/>
      <c r="AG55" s="188"/>
      <c r="AH55" s="190"/>
      <c r="AI55" s="191"/>
      <c r="AJ55" s="187"/>
      <c r="AK55" s="187"/>
      <c r="AL55" s="187"/>
      <c r="AM55" s="187"/>
      <c r="AN55" s="192"/>
      <c r="AO55" s="185"/>
      <c r="AP55" s="183"/>
      <c r="AQ55" s="183"/>
      <c r="AR55" s="183"/>
      <c r="AS55" s="183"/>
      <c r="AT55" s="183"/>
      <c r="AU55" s="186"/>
      <c r="AV55" s="185"/>
      <c r="AW55" s="183"/>
      <c r="AX55" s="208"/>
      <c r="AY55" s="208"/>
      <c r="AZ55" s="182"/>
      <c r="BA55" s="182"/>
      <c r="BB55" s="203"/>
      <c r="BC55" s="202"/>
      <c r="BD55" s="182"/>
      <c r="BE55" s="182"/>
      <c r="BF55" s="182"/>
      <c r="BG55" s="204"/>
      <c r="BH55" s="182"/>
      <c r="BI55" s="203"/>
      <c r="BJ55" s="185"/>
      <c r="BK55" s="183"/>
      <c r="BL55" s="183"/>
      <c r="BM55" s="184"/>
      <c r="BN55" s="193"/>
      <c r="BO55" s="183"/>
      <c r="BP55" s="186"/>
      <c r="BQ55" s="185"/>
      <c r="BR55" s="429"/>
      <c r="BS55" s="183"/>
      <c r="BT55" s="183"/>
      <c r="BU55" s="183"/>
      <c r="BV55" s="183"/>
      <c r="BW55" s="186"/>
      <c r="BX55" s="194"/>
      <c r="BY55" s="183"/>
      <c r="BZ55" s="183"/>
      <c r="CA55" s="183"/>
      <c r="CB55" s="159"/>
      <c r="CC55" s="195"/>
      <c r="CD55" s="196"/>
      <c r="CE55" s="195"/>
      <c r="CF55" s="171"/>
      <c r="CG55" s="171"/>
      <c r="CH55" s="171"/>
      <c r="CI55" s="171"/>
      <c r="CJ55" s="171"/>
      <c r="CK55" s="172"/>
      <c r="CL55" s="59"/>
      <c r="CM55" s="57"/>
      <c r="CN55" s="57"/>
      <c r="CO55" s="73"/>
      <c r="CP55" s="69"/>
      <c r="CQ55" s="57"/>
      <c r="CR55" s="58"/>
      <c r="CS55" s="161"/>
      <c r="CT55" s="159"/>
      <c r="CU55" s="159"/>
      <c r="CV55" s="159"/>
      <c r="CW55" s="159"/>
      <c r="CX55" s="159"/>
      <c r="CY55" s="162"/>
      <c r="CZ55" s="183"/>
      <c r="DA55" s="183"/>
      <c r="DB55" s="183"/>
      <c r="DC55" s="183"/>
      <c r="DD55" s="183"/>
      <c r="DE55" s="186"/>
      <c r="DF55" s="198"/>
      <c r="DG55" s="183"/>
      <c r="DH55" s="183"/>
      <c r="DI55" s="183"/>
      <c r="DJ55" s="183"/>
      <c r="DK55" s="183"/>
      <c r="DL55" s="186"/>
      <c r="DM55" s="194"/>
      <c r="DN55" s="183"/>
      <c r="DO55" s="183"/>
      <c r="DP55" s="183"/>
      <c r="DQ55" s="183"/>
      <c r="DR55" s="183"/>
      <c r="DS55" s="199"/>
    </row>
    <row r="56" spans="1:123" ht="14" outlineLevel="1">
      <c r="A56" s="179" t="s">
        <v>222</v>
      </c>
      <c r="B56" s="221" t="s">
        <v>24</v>
      </c>
      <c r="C56" s="435" t="s">
        <v>254</v>
      </c>
      <c r="D56" s="194"/>
      <c r="E56" s="183"/>
      <c r="F56" s="183"/>
      <c r="G56" s="183"/>
      <c r="H56" s="183"/>
      <c r="I56" s="183"/>
      <c r="J56" s="183"/>
      <c r="K56" s="183"/>
      <c r="L56" s="184"/>
      <c r="M56" s="185"/>
      <c r="N56" s="183"/>
      <c r="O56" s="183"/>
      <c r="P56" s="183"/>
      <c r="Q56" s="183"/>
      <c r="R56" s="183"/>
      <c r="S56" s="186"/>
      <c r="T56" s="185"/>
      <c r="U56" s="183"/>
      <c r="V56" s="183"/>
      <c r="W56" s="183"/>
      <c r="X56" s="183"/>
      <c r="Y56" s="187"/>
      <c r="Z56" s="188"/>
      <c r="AA56" s="189"/>
      <c r="AB56" s="187"/>
      <c r="AC56" s="187"/>
      <c r="AD56" s="187"/>
      <c r="AE56" s="187"/>
      <c r="AF56" s="187"/>
      <c r="AG56" s="188"/>
      <c r="AH56" s="190"/>
      <c r="AI56" s="191"/>
      <c r="AJ56" s="187"/>
      <c r="AK56" s="187"/>
      <c r="AL56" s="187"/>
      <c r="AM56" s="187"/>
      <c r="AN56" s="192"/>
      <c r="AO56" s="185"/>
      <c r="AP56" s="183"/>
      <c r="AQ56" s="183"/>
      <c r="AR56" s="183"/>
      <c r="AS56" s="183"/>
      <c r="AT56" s="183"/>
      <c r="AU56" s="186"/>
      <c r="AV56" s="185"/>
      <c r="AW56" s="183"/>
      <c r="AX56" s="183"/>
      <c r="AY56" s="183"/>
      <c r="AZ56" s="183"/>
      <c r="BA56" s="183"/>
      <c r="BB56" s="186"/>
      <c r="BC56" s="185"/>
      <c r="BD56" s="183"/>
      <c r="BE56" s="183"/>
      <c r="BF56" s="183"/>
      <c r="BG56" s="183"/>
      <c r="BH56" s="183"/>
      <c r="BI56" s="186"/>
      <c r="BJ56" s="185"/>
      <c r="BK56" s="183"/>
      <c r="BL56" s="182"/>
      <c r="BM56" s="201"/>
      <c r="BN56" s="210"/>
      <c r="BO56" s="183"/>
      <c r="BP56" s="186"/>
      <c r="BQ56" s="185"/>
      <c r="BR56" s="429"/>
      <c r="BS56" s="182"/>
      <c r="BT56" s="182"/>
      <c r="BU56" s="182"/>
      <c r="BV56" s="183"/>
      <c r="BW56" s="186"/>
      <c r="BX56" s="194"/>
      <c r="BY56" s="183"/>
      <c r="BZ56" s="182"/>
      <c r="CA56" s="182"/>
      <c r="CB56" s="182"/>
      <c r="CC56" s="195"/>
      <c r="CD56" s="196"/>
      <c r="CE56" s="195"/>
      <c r="CF56" s="195"/>
      <c r="CG56" s="208"/>
      <c r="CH56" s="208"/>
      <c r="CI56" s="208"/>
      <c r="CJ56" s="225"/>
      <c r="CK56" s="226"/>
      <c r="CL56" s="59"/>
      <c r="CM56" s="57"/>
      <c r="CN56" s="57"/>
      <c r="CO56" s="73"/>
      <c r="CP56" s="69"/>
      <c r="CQ56" s="57"/>
      <c r="CR56" s="58"/>
      <c r="CS56" s="161"/>
      <c r="CT56" s="159"/>
      <c r="CU56" s="159"/>
      <c r="CV56" s="159"/>
      <c r="CW56" s="159"/>
      <c r="CX56" s="159"/>
      <c r="CY56" s="162"/>
      <c r="CZ56" s="183"/>
      <c r="DA56" s="183"/>
      <c r="DB56" s="183"/>
      <c r="DC56" s="183"/>
      <c r="DD56" s="183"/>
      <c r="DE56" s="186"/>
      <c r="DF56" s="198"/>
      <c r="DG56" s="183"/>
      <c r="DH56" s="183"/>
      <c r="DI56" s="183"/>
      <c r="DJ56" s="183"/>
      <c r="DK56" s="183"/>
      <c r="DL56" s="186"/>
      <c r="DM56" s="194"/>
      <c r="DN56" s="183"/>
      <c r="DO56" s="183"/>
      <c r="DP56" s="183"/>
      <c r="DQ56" s="183"/>
      <c r="DR56" s="183"/>
      <c r="DS56" s="199"/>
    </row>
    <row r="57" spans="1:123" ht="14" outlineLevel="1">
      <c r="A57" s="179" t="s">
        <v>223</v>
      </c>
      <c r="B57" s="221" t="s">
        <v>24</v>
      </c>
      <c r="C57" s="52" t="s">
        <v>178</v>
      </c>
      <c r="D57" s="194"/>
      <c r="E57" s="183"/>
      <c r="F57" s="183"/>
      <c r="G57" s="183"/>
      <c r="H57" s="183"/>
      <c r="I57" s="183"/>
      <c r="J57" s="183"/>
      <c r="K57" s="183"/>
      <c r="L57" s="184"/>
      <c r="M57" s="185"/>
      <c r="N57" s="183"/>
      <c r="O57" s="183"/>
      <c r="P57" s="183"/>
      <c r="Q57" s="183"/>
      <c r="R57" s="183"/>
      <c r="S57" s="186"/>
      <c r="T57" s="185"/>
      <c r="U57" s="183"/>
      <c r="V57" s="183"/>
      <c r="W57" s="183"/>
      <c r="X57" s="183"/>
      <c r="Y57" s="187"/>
      <c r="Z57" s="188"/>
      <c r="AA57" s="189"/>
      <c r="AB57" s="187"/>
      <c r="AC57" s="187"/>
      <c r="AD57" s="187"/>
      <c r="AE57" s="187"/>
      <c r="AF57" s="187"/>
      <c r="AG57" s="188"/>
      <c r="AH57" s="190"/>
      <c r="AI57" s="191"/>
      <c r="AJ57" s="187"/>
      <c r="AK57" s="187"/>
      <c r="AL57" s="187"/>
      <c r="AM57" s="187"/>
      <c r="AN57" s="192"/>
      <c r="AO57" s="185"/>
      <c r="AP57" s="183"/>
      <c r="AQ57" s="183"/>
      <c r="AR57" s="183"/>
      <c r="AS57" s="183"/>
      <c r="AT57" s="183"/>
      <c r="AU57" s="186"/>
      <c r="AV57" s="185"/>
      <c r="AW57" s="183"/>
      <c r="AX57" s="183"/>
      <c r="AY57" s="183"/>
      <c r="AZ57" s="183"/>
      <c r="BA57" s="183"/>
      <c r="BB57" s="186"/>
      <c r="BC57" s="185"/>
      <c r="BD57" s="183"/>
      <c r="BE57" s="183"/>
      <c r="BF57" s="183"/>
      <c r="BG57" s="183"/>
      <c r="BH57" s="183"/>
      <c r="BI57" s="186"/>
      <c r="BJ57" s="185"/>
      <c r="BK57" s="183"/>
      <c r="BL57" s="182"/>
      <c r="BM57" s="201"/>
      <c r="BN57" s="210"/>
      <c r="BO57" s="183"/>
      <c r="BP57" s="186"/>
      <c r="BQ57" s="185"/>
      <c r="BR57" s="429"/>
      <c r="BS57" s="209"/>
      <c r="BT57" s="209"/>
      <c r="BU57" s="209"/>
      <c r="BV57" s="209"/>
      <c r="BW57" s="211"/>
      <c r="BX57" s="212"/>
      <c r="BY57" s="209"/>
      <c r="BZ57" s="209"/>
      <c r="CA57" s="209"/>
      <c r="CB57" s="159"/>
      <c r="CC57" s="195"/>
      <c r="CD57" s="196"/>
      <c r="CE57" s="213"/>
      <c r="CF57" s="171"/>
      <c r="CG57" s="171"/>
      <c r="CH57" s="171"/>
      <c r="CI57" s="171"/>
      <c r="CJ57" s="171"/>
      <c r="CK57" s="172"/>
      <c r="CL57" s="59"/>
      <c r="CM57" s="57"/>
      <c r="CN57" s="57"/>
      <c r="CO57" s="73"/>
      <c r="CP57" s="69"/>
      <c r="CQ57" s="57"/>
      <c r="CR57" s="58"/>
      <c r="CS57" s="161"/>
      <c r="CT57" s="159"/>
      <c r="CU57" s="159"/>
      <c r="CV57" s="159"/>
      <c r="CW57" s="159"/>
      <c r="CX57" s="159"/>
      <c r="CY57" s="162"/>
      <c r="CZ57" s="183"/>
      <c r="DA57" s="183"/>
      <c r="DB57" s="183"/>
      <c r="DC57" s="183"/>
      <c r="DD57" s="183"/>
      <c r="DE57" s="186"/>
      <c r="DF57" s="198"/>
      <c r="DG57" s="183"/>
      <c r="DH57" s="183"/>
      <c r="DI57" s="183"/>
      <c r="DJ57" s="183"/>
      <c r="DK57" s="183"/>
      <c r="DL57" s="186"/>
      <c r="DM57" s="194"/>
      <c r="DN57" s="183"/>
      <c r="DO57" s="183"/>
      <c r="DP57" s="183"/>
      <c r="DQ57" s="183"/>
      <c r="DR57" s="183"/>
      <c r="DS57" s="199"/>
    </row>
    <row r="58" spans="1:123" ht="14" outlineLevel="1">
      <c r="A58" s="179" t="s">
        <v>224</v>
      </c>
      <c r="B58" s="219" t="s">
        <v>53</v>
      </c>
      <c r="C58" s="52" t="s">
        <v>178</v>
      </c>
      <c r="D58" s="194"/>
      <c r="E58" s="183"/>
      <c r="F58" s="183"/>
      <c r="G58" s="183"/>
      <c r="H58" s="183"/>
      <c r="I58" s="183"/>
      <c r="J58" s="183"/>
      <c r="K58" s="183"/>
      <c r="L58" s="184"/>
      <c r="M58" s="185"/>
      <c r="N58" s="183"/>
      <c r="O58" s="183"/>
      <c r="P58" s="183"/>
      <c r="Q58" s="183"/>
      <c r="R58" s="183"/>
      <c r="S58" s="186"/>
      <c r="T58" s="185"/>
      <c r="U58" s="183"/>
      <c r="V58" s="183"/>
      <c r="W58" s="183"/>
      <c r="X58" s="183"/>
      <c r="Y58" s="187"/>
      <c r="Z58" s="188"/>
      <c r="AA58" s="189"/>
      <c r="AB58" s="187"/>
      <c r="AC58" s="187"/>
      <c r="AD58" s="187"/>
      <c r="AE58" s="187"/>
      <c r="AF58" s="187"/>
      <c r="AG58" s="188"/>
      <c r="AH58" s="190"/>
      <c r="AI58" s="191"/>
      <c r="AJ58" s="187"/>
      <c r="AK58" s="187"/>
      <c r="AL58" s="187"/>
      <c r="AM58" s="187"/>
      <c r="AN58" s="192"/>
      <c r="AO58" s="185"/>
      <c r="AP58" s="183"/>
      <c r="AQ58" s="183"/>
      <c r="AR58" s="183"/>
      <c r="AS58" s="183"/>
      <c r="AT58" s="183"/>
      <c r="AU58" s="186"/>
      <c r="AV58" s="185"/>
      <c r="AW58" s="183"/>
      <c r="AX58" s="183"/>
      <c r="AY58" s="183"/>
      <c r="AZ58" s="183"/>
      <c r="BA58" s="183"/>
      <c r="BB58" s="186"/>
      <c r="BC58" s="185"/>
      <c r="BD58" s="183"/>
      <c r="BE58" s="183"/>
      <c r="BF58" s="183"/>
      <c r="BG58" s="183"/>
      <c r="BH58" s="183"/>
      <c r="BI58" s="186"/>
      <c r="BJ58" s="185"/>
      <c r="BK58" s="183"/>
      <c r="BL58" s="183"/>
      <c r="BM58" s="184"/>
      <c r="BN58" s="193"/>
      <c r="BO58" s="183"/>
      <c r="BP58" s="186"/>
      <c r="BQ58" s="185"/>
      <c r="BR58" s="429"/>
      <c r="BS58" s="183"/>
      <c r="BT58" s="183"/>
      <c r="BU58" s="183"/>
      <c r="BV58" s="183"/>
      <c r="BW58" s="186"/>
      <c r="BX58" s="194"/>
      <c r="BY58" s="183"/>
      <c r="BZ58" s="183"/>
      <c r="CA58" s="183"/>
      <c r="CB58" s="159"/>
      <c r="CC58" s="195"/>
      <c r="CD58" s="196"/>
      <c r="CE58" s="197"/>
      <c r="CF58" s="171"/>
      <c r="CG58" s="171"/>
      <c r="CH58" s="182"/>
      <c r="CI58" s="182"/>
      <c r="CJ58" s="182"/>
      <c r="CK58" s="172"/>
      <c r="CL58" s="59"/>
      <c r="CM58" s="57"/>
      <c r="CN58" s="57"/>
      <c r="CO58" s="73"/>
      <c r="CP58" s="69"/>
      <c r="CQ58" s="57"/>
      <c r="CR58" s="58"/>
      <c r="CS58" s="161"/>
      <c r="CT58" s="159"/>
      <c r="CU58" s="159"/>
      <c r="CV58" s="159"/>
      <c r="CW58" s="159"/>
      <c r="CX58" s="159"/>
      <c r="CY58" s="162"/>
      <c r="CZ58" s="183"/>
      <c r="DA58" s="183"/>
      <c r="DB58" s="183"/>
      <c r="DC58" s="183"/>
      <c r="DD58" s="183"/>
      <c r="DE58" s="186"/>
      <c r="DF58" s="198"/>
      <c r="DG58" s="183"/>
      <c r="DH58" s="183"/>
      <c r="DI58" s="183"/>
      <c r="DJ58" s="183"/>
      <c r="DK58" s="183"/>
      <c r="DL58" s="186"/>
      <c r="DM58" s="194"/>
      <c r="DN58" s="183"/>
      <c r="DO58" s="183"/>
      <c r="DP58" s="183"/>
      <c r="DQ58" s="183"/>
      <c r="DR58" s="183"/>
      <c r="DS58" s="199"/>
    </row>
    <row r="59" spans="1:123" ht="14.5" outlineLevel="1" thickBot="1">
      <c r="A59" s="179" t="s">
        <v>225</v>
      </c>
      <c r="B59" s="219" t="s">
        <v>53</v>
      </c>
      <c r="C59" s="52" t="s">
        <v>178</v>
      </c>
      <c r="D59" s="98"/>
      <c r="E59" s="84"/>
      <c r="F59" s="84"/>
      <c r="G59" s="84"/>
      <c r="H59" s="84"/>
      <c r="I59" s="84"/>
      <c r="J59" s="84"/>
      <c r="K59" s="84"/>
      <c r="L59" s="85"/>
      <c r="M59" s="86"/>
      <c r="N59" s="84"/>
      <c r="O59" s="84"/>
      <c r="P59" s="84"/>
      <c r="Q59" s="84"/>
      <c r="R59" s="84"/>
      <c r="S59" s="87"/>
      <c r="T59" s="86"/>
      <c r="U59" s="84"/>
      <c r="V59" s="84"/>
      <c r="W59" s="84"/>
      <c r="X59" s="84"/>
      <c r="Y59" s="88"/>
      <c r="Z59" s="89"/>
      <c r="AA59" s="90"/>
      <c r="AB59" s="88"/>
      <c r="AC59" s="88"/>
      <c r="AD59" s="88"/>
      <c r="AE59" s="88"/>
      <c r="AF59" s="88"/>
      <c r="AG59" s="89"/>
      <c r="AH59" s="91"/>
      <c r="AI59" s="92"/>
      <c r="AJ59" s="88"/>
      <c r="AK59" s="88"/>
      <c r="AL59" s="88"/>
      <c r="AM59" s="88"/>
      <c r="AN59" s="93"/>
      <c r="AO59" s="185"/>
      <c r="AP59" s="183"/>
      <c r="AQ59" s="183"/>
      <c r="AR59" s="183"/>
      <c r="AS59" s="183"/>
      <c r="AT59" s="183"/>
      <c r="AU59" s="186"/>
      <c r="AV59" s="185"/>
      <c r="AW59" s="183"/>
      <c r="AX59" s="183"/>
      <c r="AY59" s="183"/>
      <c r="AZ59" s="183"/>
      <c r="BA59" s="183"/>
      <c r="BB59" s="186"/>
      <c r="BC59" s="185"/>
      <c r="BD59" s="183"/>
      <c r="BE59" s="183"/>
      <c r="BF59" s="183"/>
      <c r="BG59" s="183"/>
      <c r="BH59" s="183"/>
      <c r="BI59" s="186"/>
      <c r="BJ59" s="185"/>
      <c r="BK59" s="183"/>
      <c r="BL59" s="183"/>
      <c r="BM59" s="184"/>
      <c r="BN59" s="193"/>
      <c r="BO59" s="183"/>
      <c r="BP59" s="186"/>
      <c r="BQ59" s="185"/>
      <c r="BR59" s="429"/>
      <c r="BS59" s="183"/>
      <c r="BT59" s="183"/>
      <c r="BU59" s="183"/>
      <c r="BV59" s="183"/>
      <c r="BW59" s="186"/>
      <c r="BX59" s="194"/>
      <c r="BY59" s="183"/>
      <c r="BZ59" s="183"/>
      <c r="CA59" s="183"/>
      <c r="CB59" s="159"/>
      <c r="CC59" s="195"/>
      <c r="CD59" s="196"/>
      <c r="CE59" s="224"/>
      <c r="CF59" s="171"/>
      <c r="CG59" s="171"/>
      <c r="CH59" s="171"/>
      <c r="CI59" s="204"/>
      <c r="CJ59" s="171"/>
      <c r="CK59" s="172"/>
      <c r="CL59" s="59"/>
      <c r="CM59" s="57"/>
      <c r="CN59" s="57"/>
      <c r="CO59" s="73"/>
      <c r="CP59" s="69"/>
      <c r="CQ59" s="57"/>
      <c r="CR59" s="58"/>
      <c r="CS59" s="161"/>
      <c r="CT59" s="159"/>
      <c r="CU59" s="159"/>
      <c r="CV59" s="159"/>
      <c r="CW59" s="159"/>
      <c r="CX59" s="159"/>
      <c r="CY59" s="162"/>
      <c r="CZ59" s="159"/>
      <c r="DA59" s="159"/>
      <c r="DB59" s="159"/>
      <c r="DC59" s="159"/>
      <c r="DD59" s="159"/>
      <c r="DE59" s="162"/>
      <c r="DF59" s="174"/>
      <c r="DG59" s="159"/>
      <c r="DH59" s="159"/>
      <c r="DI59" s="159"/>
      <c r="DJ59" s="159"/>
      <c r="DK59" s="159"/>
      <c r="DL59" s="162"/>
      <c r="DM59" s="170"/>
      <c r="DN59" s="159"/>
      <c r="DO59" s="159"/>
      <c r="DP59" s="159"/>
      <c r="DQ59" s="159"/>
      <c r="DR59" s="159"/>
      <c r="DS59" s="175"/>
    </row>
    <row r="60" spans="1:123" ht="14" outlineLevel="1">
      <c r="A60" s="179" t="s">
        <v>448</v>
      </c>
      <c r="B60" s="221" t="s">
        <v>24</v>
      </c>
      <c r="C60" s="52" t="s">
        <v>178</v>
      </c>
      <c r="D60" s="194"/>
      <c r="E60" s="183"/>
      <c r="F60" s="183"/>
      <c r="G60" s="183"/>
      <c r="H60" s="183"/>
      <c r="I60" s="183"/>
      <c r="J60" s="183"/>
      <c r="K60" s="183"/>
      <c r="L60" s="184"/>
      <c r="M60" s="185"/>
      <c r="N60" s="183"/>
      <c r="O60" s="183"/>
      <c r="P60" s="183"/>
      <c r="Q60" s="183"/>
      <c r="R60" s="183"/>
      <c r="S60" s="186"/>
      <c r="T60" s="185"/>
      <c r="U60" s="183"/>
      <c r="V60" s="183"/>
      <c r="W60" s="183"/>
      <c r="X60" s="183"/>
      <c r="Y60" s="187"/>
      <c r="Z60" s="188"/>
      <c r="AA60" s="189"/>
      <c r="AB60" s="187"/>
      <c r="AC60" s="187"/>
      <c r="AD60" s="187"/>
      <c r="AE60" s="187"/>
      <c r="AF60" s="187"/>
      <c r="AG60" s="188"/>
      <c r="AH60" s="190"/>
      <c r="AI60" s="191"/>
      <c r="AJ60" s="187"/>
      <c r="AK60" s="187"/>
      <c r="AL60" s="187"/>
      <c r="AM60" s="187"/>
      <c r="AN60" s="192"/>
      <c r="AO60" s="185"/>
      <c r="AP60" s="183"/>
      <c r="AQ60" s="183"/>
      <c r="AR60" s="183"/>
      <c r="AS60" s="183"/>
      <c r="AT60" s="183"/>
      <c r="AU60" s="186"/>
      <c r="AV60" s="185"/>
      <c r="AW60" s="183"/>
      <c r="AX60" s="183"/>
      <c r="AY60" s="183"/>
      <c r="AZ60" s="183"/>
      <c r="BA60" s="183"/>
      <c r="BB60" s="186"/>
      <c r="BC60" s="185"/>
      <c r="BD60" s="183"/>
      <c r="BE60" s="183"/>
      <c r="BF60" s="183"/>
      <c r="BG60" s="183"/>
      <c r="BH60" s="183"/>
      <c r="BI60" s="186"/>
      <c r="BJ60" s="185"/>
      <c r="BK60" s="183"/>
      <c r="BL60" s="183"/>
      <c r="BM60" s="184"/>
      <c r="BN60" s="193"/>
      <c r="BO60" s="183"/>
      <c r="BP60" s="186"/>
      <c r="BQ60" s="185"/>
      <c r="BR60" s="429"/>
      <c r="BS60" s="183"/>
      <c r="BT60" s="183"/>
      <c r="BU60" s="183"/>
      <c r="BV60" s="183"/>
      <c r="BW60" s="186"/>
      <c r="BX60" s="194"/>
      <c r="BY60" s="183"/>
      <c r="BZ60" s="183"/>
      <c r="CA60" s="183"/>
      <c r="CB60" s="159"/>
      <c r="CC60" s="195"/>
      <c r="CD60" s="196"/>
      <c r="CE60" s="224"/>
      <c r="CF60" s="171"/>
      <c r="CG60" s="171"/>
      <c r="CH60" s="171"/>
      <c r="CI60" s="171"/>
      <c r="CJ60" s="171"/>
      <c r="CK60" s="172"/>
      <c r="CL60" s="59"/>
      <c r="CM60" s="57"/>
      <c r="CN60" s="57"/>
      <c r="CO60" s="73"/>
      <c r="CP60" s="69"/>
      <c r="CQ60" s="57"/>
      <c r="CR60" s="58"/>
      <c r="CS60" s="204"/>
      <c r="CT60" s="159"/>
      <c r="CU60" s="159"/>
      <c r="CV60" s="159"/>
      <c r="CW60" s="159"/>
      <c r="CX60" s="159"/>
      <c r="CY60" s="162"/>
      <c r="CZ60" s="159"/>
      <c r="DA60" s="159"/>
      <c r="DB60" s="159"/>
      <c r="DC60" s="159"/>
      <c r="DD60" s="159"/>
      <c r="DE60" s="162"/>
      <c r="DF60" s="174"/>
      <c r="DG60" s="159"/>
      <c r="DH60" s="159"/>
      <c r="DI60" s="159"/>
      <c r="DJ60" s="159"/>
      <c r="DK60" s="159"/>
      <c r="DL60" s="162"/>
      <c r="DM60" s="170"/>
      <c r="DN60" s="159"/>
      <c r="DO60" s="159"/>
      <c r="DP60" s="159"/>
      <c r="DQ60" s="159"/>
      <c r="DR60" s="159"/>
      <c r="DS60" s="175"/>
    </row>
    <row r="61" spans="1:123" ht="14" outlineLevel="1">
      <c r="A61" s="179" t="s">
        <v>449</v>
      </c>
      <c r="B61" s="221" t="s">
        <v>24</v>
      </c>
      <c r="C61" s="52" t="s">
        <v>178</v>
      </c>
      <c r="D61" s="194"/>
      <c r="E61" s="183"/>
      <c r="F61" s="183"/>
      <c r="G61" s="183"/>
      <c r="H61" s="183"/>
      <c r="I61" s="183"/>
      <c r="J61" s="183"/>
      <c r="K61" s="183"/>
      <c r="L61" s="184"/>
      <c r="M61" s="185"/>
      <c r="N61" s="183"/>
      <c r="O61" s="183"/>
      <c r="P61" s="183"/>
      <c r="Q61" s="183"/>
      <c r="R61" s="183"/>
      <c r="S61" s="186"/>
      <c r="T61" s="185"/>
      <c r="U61" s="183"/>
      <c r="V61" s="183"/>
      <c r="W61" s="183"/>
      <c r="X61" s="183"/>
      <c r="Y61" s="187"/>
      <c r="Z61" s="188"/>
      <c r="AA61" s="189"/>
      <c r="AB61" s="187"/>
      <c r="AC61" s="187"/>
      <c r="AD61" s="187"/>
      <c r="AE61" s="187"/>
      <c r="AF61" s="187"/>
      <c r="AG61" s="188"/>
      <c r="AH61" s="190"/>
      <c r="AI61" s="191"/>
      <c r="AJ61" s="187"/>
      <c r="AK61" s="187"/>
      <c r="AL61" s="187"/>
      <c r="AM61" s="187"/>
      <c r="AN61" s="192"/>
      <c r="AO61" s="185"/>
      <c r="AP61" s="183"/>
      <c r="AQ61" s="183"/>
      <c r="AR61" s="183"/>
      <c r="AS61" s="183"/>
      <c r="AT61" s="183"/>
      <c r="AU61" s="186"/>
      <c r="AV61" s="185"/>
      <c r="AW61" s="183"/>
      <c r="AX61" s="183"/>
      <c r="AY61" s="183"/>
      <c r="AZ61" s="183"/>
      <c r="BA61" s="183"/>
      <c r="BB61" s="186"/>
      <c r="BC61" s="185"/>
      <c r="BD61" s="183"/>
      <c r="BE61" s="183"/>
      <c r="BF61" s="183"/>
      <c r="BG61" s="183"/>
      <c r="BH61" s="183"/>
      <c r="BI61" s="186"/>
      <c r="BJ61" s="185"/>
      <c r="BK61" s="183"/>
      <c r="BL61" s="183"/>
      <c r="BM61" s="184"/>
      <c r="BN61" s="193"/>
      <c r="BO61" s="183"/>
      <c r="BP61" s="186"/>
      <c r="BQ61" s="185"/>
      <c r="BR61" s="429"/>
      <c r="BS61" s="183"/>
      <c r="BT61" s="183"/>
      <c r="BU61" s="183"/>
      <c r="BV61" s="183"/>
      <c r="BW61" s="186"/>
      <c r="BX61" s="194"/>
      <c r="BY61" s="183"/>
      <c r="BZ61" s="183"/>
      <c r="CA61" s="183"/>
      <c r="CB61" s="159"/>
      <c r="CC61" s="195"/>
      <c r="CD61" s="196"/>
      <c r="CE61" s="224"/>
      <c r="CF61" s="171"/>
      <c r="CG61" s="171"/>
      <c r="CH61" s="171"/>
      <c r="CI61" s="171"/>
      <c r="CJ61" s="171"/>
      <c r="CK61" s="172"/>
      <c r="CL61" s="59"/>
      <c r="CM61" s="57"/>
      <c r="CN61" s="57"/>
      <c r="CO61" s="73"/>
      <c r="CP61" s="69"/>
      <c r="CQ61" s="57"/>
      <c r="CR61" s="58"/>
      <c r="CS61" s="161"/>
      <c r="CT61" s="159"/>
      <c r="CU61" s="204"/>
      <c r="CV61" s="159"/>
      <c r="CW61" s="159"/>
      <c r="CX61" s="159"/>
      <c r="CY61" s="162"/>
      <c r="CZ61" s="159"/>
      <c r="DA61" s="159"/>
      <c r="DB61" s="159"/>
      <c r="DC61" s="159"/>
      <c r="DD61" s="159"/>
      <c r="DE61" s="162"/>
      <c r="DF61" s="174"/>
      <c r="DG61" s="159"/>
      <c r="DH61" s="159"/>
      <c r="DI61" s="159"/>
      <c r="DJ61" s="159"/>
      <c r="DK61" s="159"/>
      <c r="DL61" s="162"/>
      <c r="DM61" s="170"/>
      <c r="DN61" s="159"/>
      <c r="DO61" s="159"/>
      <c r="DP61" s="159"/>
      <c r="DQ61" s="159"/>
      <c r="DR61" s="159"/>
      <c r="DS61" s="175"/>
    </row>
    <row r="62" spans="1:123" ht="14" outlineLevel="1">
      <c r="A62" s="281" t="s">
        <v>450</v>
      </c>
      <c r="B62" s="221" t="s">
        <v>24</v>
      </c>
      <c r="C62" s="52" t="s">
        <v>178</v>
      </c>
      <c r="D62" s="194"/>
      <c r="E62" s="183"/>
      <c r="F62" s="183"/>
      <c r="G62" s="183"/>
      <c r="H62" s="183"/>
      <c r="I62" s="183"/>
      <c r="J62" s="183"/>
      <c r="K62" s="183"/>
      <c r="L62" s="184"/>
      <c r="M62" s="185"/>
      <c r="N62" s="183"/>
      <c r="O62" s="183"/>
      <c r="P62" s="183"/>
      <c r="Q62" s="183"/>
      <c r="R62" s="183"/>
      <c r="S62" s="186"/>
      <c r="T62" s="185"/>
      <c r="U62" s="183"/>
      <c r="V62" s="183"/>
      <c r="W62" s="183"/>
      <c r="X62" s="183"/>
      <c r="Y62" s="187"/>
      <c r="Z62" s="188"/>
      <c r="AA62" s="189"/>
      <c r="AB62" s="187"/>
      <c r="AC62" s="187"/>
      <c r="AD62" s="187"/>
      <c r="AE62" s="187"/>
      <c r="AF62" s="187"/>
      <c r="AG62" s="188"/>
      <c r="AH62" s="190"/>
      <c r="AI62" s="191"/>
      <c r="AJ62" s="187"/>
      <c r="AK62" s="187"/>
      <c r="AL62" s="187"/>
      <c r="AM62" s="187"/>
      <c r="AN62" s="192"/>
      <c r="AO62" s="185"/>
      <c r="AP62" s="183"/>
      <c r="AQ62" s="183"/>
      <c r="AR62" s="183"/>
      <c r="AS62" s="183"/>
      <c r="AT62" s="183"/>
      <c r="AU62" s="186"/>
      <c r="AV62" s="185"/>
      <c r="AW62" s="183"/>
      <c r="AX62" s="183"/>
      <c r="AY62" s="183"/>
      <c r="AZ62" s="183"/>
      <c r="BA62" s="183"/>
      <c r="BB62" s="186"/>
      <c r="BC62" s="185"/>
      <c r="BD62" s="183"/>
      <c r="BE62" s="183"/>
      <c r="BF62" s="183"/>
      <c r="BG62" s="183"/>
      <c r="BH62" s="183"/>
      <c r="BI62" s="186"/>
      <c r="BJ62" s="185"/>
      <c r="BK62" s="183"/>
      <c r="BL62" s="183"/>
      <c r="BM62" s="184"/>
      <c r="BN62" s="193"/>
      <c r="BO62" s="183"/>
      <c r="BP62" s="186"/>
      <c r="BQ62" s="185"/>
      <c r="BR62" s="429"/>
      <c r="BS62" s="183"/>
      <c r="BT62" s="183"/>
      <c r="BU62" s="183"/>
      <c r="BV62" s="183"/>
      <c r="BW62" s="186"/>
      <c r="BX62" s="194"/>
      <c r="BY62" s="183"/>
      <c r="BZ62" s="183"/>
      <c r="CA62" s="183"/>
      <c r="CB62" s="159"/>
      <c r="CC62" s="195"/>
      <c r="CD62" s="196"/>
      <c r="CE62" s="224"/>
      <c r="CF62" s="171"/>
      <c r="CG62" s="171"/>
      <c r="CH62" s="171"/>
      <c r="CI62" s="171"/>
      <c r="CJ62" s="171"/>
      <c r="CK62" s="172"/>
      <c r="CL62" s="59"/>
      <c r="CM62" s="57"/>
      <c r="CN62" s="57"/>
      <c r="CO62" s="73"/>
      <c r="CP62" s="69"/>
      <c r="CQ62" s="57"/>
      <c r="CR62" s="58"/>
      <c r="CS62" s="161"/>
      <c r="CT62" s="159"/>
      <c r="CU62" s="159"/>
      <c r="CV62" s="182"/>
      <c r="CW62" s="204"/>
      <c r="CX62" s="159"/>
      <c r="CY62" s="162"/>
      <c r="CZ62" s="159"/>
      <c r="DA62" s="159"/>
      <c r="DB62" s="159"/>
      <c r="DC62" s="159"/>
      <c r="DD62" s="159"/>
      <c r="DE62" s="162"/>
      <c r="DF62" s="174"/>
      <c r="DG62" s="159"/>
      <c r="DH62" s="159"/>
      <c r="DI62" s="159"/>
      <c r="DJ62" s="159"/>
      <c r="DK62" s="159"/>
      <c r="DL62" s="162"/>
      <c r="DM62" s="170"/>
      <c r="DN62" s="159"/>
      <c r="DO62" s="159"/>
      <c r="DP62" s="159"/>
      <c r="DQ62" s="159"/>
      <c r="DR62" s="159"/>
      <c r="DS62" s="175"/>
    </row>
    <row r="63" spans="1:123" ht="14" outlineLevel="1">
      <c r="A63" s="228" t="s">
        <v>312</v>
      </c>
      <c r="B63" s="292"/>
      <c r="C63" s="292"/>
      <c r="D63" s="200"/>
      <c r="E63" s="183"/>
      <c r="F63" s="183"/>
      <c r="G63" s="183"/>
      <c r="H63" s="183"/>
      <c r="I63" s="183"/>
      <c r="J63" s="183"/>
      <c r="K63" s="183"/>
      <c r="L63" s="184"/>
      <c r="M63" s="185"/>
      <c r="N63" s="183"/>
      <c r="O63" s="183"/>
      <c r="P63" s="183"/>
      <c r="Q63" s="183"/>
      <c r="R63" s="183"/>
      <c r="S63" s="186"/>
      <c r="T63" s="185"/>
      <c r="U63" s="183"/>
      <c r="V63" s="183"/>
      <c r="W63" s="183"/>
      <c r="X63" s="183"/>
      <c r="Y63" s="187"/>
      <c r="Z63" s="188"/>
      <c r="AA63" s="189"/>
      <c r="AB63" s="187"/>
      <c r="AC63" s="187"/>
      <c r="AD63" s="187"/>
      <c r="AE63" s="187"/>
      <c r="AF63" s="187"/>
      <c r="AG63" s="188"/>
      <c r="AH63" s="190"/>
      <c r="AI63" s="191"/>
      <c r="AJ63" s="187"/>
      <c r="AK63" s="187"/>
      <c r="AL63" s="187"/>
      <c r="AM63" s="187"/>
      <c r="AN63" s="192"/>
      <c r="AO63" s="185"/>
      <c r="AP63" s="183"/>
      <c r="AQ63" s="183"/>
      <c r="AR63" s="183"/>
      <c r="AS63" s="183"/>
      <c r="AT63" s="183"/>
      <c r="AU63" s="186"/>
      <c r="AV63" s="185"/>
      <c r="AW63" s="183"/>
      <c r="AX63" s="183"/>
      <c r="AY63" s="183"/>
      <c r="AZ63" s="183"/>
      <c r="BA63" s="183"/>
      <c r="BB63" s="186"/>
      <c r="BC63" s="185"/>
      <c r="BD63" s="183"/>
      <c r="BE63" s="183"/>
      <c r="BF63" s="183"/>
      <c r="BG63" s="183"/>
      <c r="BH63" s="183"/>
      <c r="BI63" s="186"/>
      <c r="BJ63" s="185"/>
      <c r="BK63" s="183"/>
      <c r="BL63" s="183"/>
      <c r="BM63" s="184"/>
      <c r="BN63" s="193"/>
      <c r="BO63" s="183"/>
      <c r="BP63" s="186"/>
      <c r="BQ63" s="185"/>
      <c r="BR63" s="429"/>
      <c r="BS63" s="183"/>
      <c r="BT63" s="183"/>
      <c r="BU63" s="183"/>
      <c r="BV63" s="183"/>
      <c r="BW63" s="186"/>
      <c r="BX63" s="194"/>
      <c r="BY63" s="183"/>
      <c r="BZ63" s="183"/>
      <c r="CA63" s="183"/>
      <c r="CB63" s="159"/>
      <c r="CC63" s="195"/>
      <c r="CD63" s="196"/>
      <c r="CE63" s="224"/>
      <c r="CF63" s="171"/>
      <c r="CG63" s="171"/>
      <c r="CH63" s="171"/>
      <c r="CI63" s="171"/>
      <c r="CJ63" s="171"/>
      <c r="CK63" s="172"/>
      <c r="CL63" s="59"/>
      <c r="CM63" s="57"/>
      <c r="CN63" s="57"/>
      <c r="CO63" s="73"/>
      <c r="CP63" s="69"/>
      <c r="CQ63" s="57"/>
      <c r="CR63" s="58"/>
      <c r="CS63" s="161"/>
      <c r="CT63" s="159"/>
      <c r="CU63" s="159"/>
      <c r="CV63" s="159"/>
      <c r="CW63" s="159"/>
      <c r="CX63" s="159"/>
      <c r="CY63" s="162"/>
      <c r="CZ63" s="159"/>
      <c r="DA63" s="159"/>
      <c r="DB63" s="159"/>
      <c r="DC63" s="159"/>
      <c r="DD63" s="159"/>
      <c r="DE63" s="162"/>
      <c r="DF63" s="174"/>
      <c r="DG63" s="159"/>
      <c r="DH63" s="159"/>
      <c r="DI63" s="159"/>
      <c r="DJ63" s="159"/>
      <c r="DK63" s="159"/>
      <c r="DL63" s="162"/>
      <c r="DM63" s="170"/>
      <c r="DN63" s="159"/>
      <c r="DO63" s="159"/>
      <c r="DP63" s="159"/>
      <c r="DQ63" s="159"/>
      <c r="DR63" s="159"/>
      <c r="DS63" s="175"/>
    </row>
    <row r="64" spans="1:123" ht="14" outlineLevel="1">
      <c r="A64" s="380" t="s">
        <v>313</v>
      </c>
      <c r="B64" s="221" t="s">
        <v>12</v>
      </c>
      <c r="C64" s="52" t="s">
        <v>178</v>
      </c>
      <c r="D64" s="194"/>
      <c r="E64" s="183"/>
      <c r="F64" s="183"/>
      <c r="G64" s="183"/>
      <c r="H64" s="183"/>
      <c r="I64" s="183"/>
      <c r="J64" s="183"/>
      <c r="K64" s="183"/>
      <c r="L64" s="184"/>
      <c r="M64" s="185"/>
      <c r="N64" s="183"/>
      <c r="O64" s="183"/>
      <c r="P64" s="183"/>
      <c r="Q64" s="183"/>
      <c r="R64" s="183"/>
      <c r="S64" s="186"/>
      <c r="T64" s="185"/>
      <c r="U64" s="183"/>
      <c r="V64" s="183"/>
      <c r="W64" s="183"/>
      <c r="X64" s="183"/>
      <c r="Y64" s="187"/>
      <c r="Z64" s="188"/>
      <c r="AA64" s="189"/>
      <c r="AB64" s="187"/>
      <c r="AC64" s="187"/>
      <c r="AD64" s="187"/>
      <c r="AE64" s="187"/>
      <c r="AF64" s="187"/>
      <c r="AG64" s="188"/>
      <c r="AH64" s="190"/>
      <c r="AI64" s="191"/>
      <c r="AJ64" s="187"/>
      <c r="AK64" s="187"/>
      <c r="AL64" s="187"/>
      <c r="AM64" s="187"/>
      <c r="AN64" s="192"/>
      <c r="AO64" s="185"/>
      <c r="AP64" s="183"/>
      <c r="AQ64" s="183"/>
      <c r="AR64" s="183"/>
      <c r="AS64" s="183"/>
      <c r="AT64" s="183"/>
      <c r="AU64" s="186"/>
      <c r="AV64" s="185"/>
      <c r="AW64" s="183"/>
      <c r="AX64" s="183"/>
      <c r="AY64" s="183"/>
      <c r="AZ64" s="183"/>
      <c r="BA64" s="183"/>
      <c r="BB64" s="186"/>
      <c r="BC64" s="202"/>
      <c r="BD64" s="182"/>
      <c r="BE64" s="182"/>
      <c r="BF64" s="182"/>
      <c r="BG64" s="182"/>
      <c r="BH64" s="182"/>
      <c r="BI64" s="203"/>
      <c r="BJ64" s="185"/>
      <c r="BK64" s="183"/>
      <c r="BL64" s="183"/>
      <c r="BM64" s="184"/>
      <c r="BN64" s="193"/>
      <c r="BO64" s="183"/>
      <c r="BP64" s="186"/>
      <c r="BQ64" s="185"/>
      <c r="BR64" s="429"/>
      <c r="BS64" s="183"/>
      <c r="BT64" s="183"/>
      <c r="BU64" s="183"/>
      <c r="BV64" s="183"/>
      <c r="BW64" s="186"/>
      <c r="BX64" s="194"/>
      <c r="BY64" s="183"/>
      <c r="BZ64" s="183"/>
      <c r="CA64" s="183"/>
      <c r="CB64" s="159"/>
      <c r="CC64" s="195"/>
      <c r="CD64" s="196"/>
      <c r="CE64" s="224"/>
      <c r="CF64" s="171"/>
      <c r="CG64" s="171"/>
      <c r="CH64" s="171"/>
      <c r="CI64" s="171"/>
      <c r="CJ64" s="171"/>
      <c r="CK64" s="172"/>
      <c r="CL64" s="161"/>
      <c r="CM64" s="159"/>
      <c r="CN64" s="159"/>
      <c r="CO64" s="227"/>
      <c r="CP64" s="170"/>
      <c r="CQ64" s="159"/>
      <c r="CR64" s="162"/>
      <c r="CS64" s="161"/>
      <c r="CT64" s="159"/>
      <c r="CU64" s="159"/>
      <c r="CV64" s="159"/>
      <c r="CW64" s="159"/>
      <c r="CX64" s="159"/>
      <c r="CY64" s="162"/>
      <c r="CZ64" s="159"/>
      <c r="DA64" s="159"/>
      <c r="DB64" s="159"/>
      <c r="DC64" s="159"/>
      <c r="DD64" s="159"/>
      <c r="DE64" s="162"/>
      <c r="DF64" s="174"/>
      <c r="DG64" s="159"/>
      <c r="DH64" s="159"/>
      <c r="DI64" s="159"/>
      <c r="DJ64" s="159"/>
      <c r="DK64" s="159"/>
      <c r="DL64" s="162"/>
      <c r="DM64" s="170"/>
      <c r="DN64" s="159"/>
      <c r="DO64" s="159"/>
      <c r="DP64" s="159"/>
      <c r="DQ64" s="159"/>
      <c r="DR64" s="159"/>
      <c r="DS64" s="175"/>
    </row>
    <row r="65" spans="1:16384" ht="14" outlineLevel="1">
      <c r="A65" s="380" t="s">
        <v>314</v>
      </c>
      <c r="B65" s="221" t="s">
        <v>12</v>
      </c>
      <c r="C65" s="52" t="s">
        <v>178</v>
      </c>
      <c r="D65" s="194"/>
      <c r="E65" s="183"/>
      <c r="F65" s="183"/>
      <c r="G65" s="183"/>
      <c r="H65" s="183"/>
      <c r="I65" s="183"/>
      <c r="J65" s="183"/>
      <c r="K65" s="183"/>
      <c r="L65" s="184"/>
      <c r="M65" s="185"/>
      <c r="N65" s="183"/>
      <c r="O65" s="183"/>
      <c r="P65" s="183"/>
      <c r="Q65" s="183"/>
      <c r="R65" s="183"/>
      <c r="S65" s="186"/>
      <c r="T65" s="185"/>
      <c r="U65" s="183"/>
      <c r="V65" s="183"/>
      <c r="W65" s="183"/>
      <c r="X65" s="183"/>
      <c r="Y65" s="187"/>
      <c r="Z65" s="188"/>
      <c r="AA65" s="189"/>
      <c r="AB65" s="187"/>
      <c r="AC65" s="187"/>
      <c r="AD65" s="187"/>
      <c r="AE65" s="187"/>
      <c r="AF65" s="187"/>
      <c r="AG65" s="188"/>
      <c r="AH65" s="190"/>
      <c r="AI65" s="191"/>
      <c r="AJ65" s="187"/>
      <c r="AK65" s="187"/>
      <c r="AL65" s="187"/>
      <c r="AM65" s="187"/>
      <c r="AN65" s="192"/>
      <c r="AO65" s="185"/>
      <c r="AP65" s="183"/>
      <c r="AQ65" s="183"/>
      <c r="AR65" s="183"/>
      <c r="AS65" s="183"/>
      <c r="AT65" s="183"/>
      <c r="AU65" s="186"/>
      <c r="AV65" s="185"/>
      <c r="AW65" s="183"/>
      <c r="AX65" s="183"/>
      <c r="AY65" s="183"/>
      <c r="AZ65" s="183"/>
      <c r="BA65" s="183"/>
      <c r="BB65" s="186"/>
      <c r="BC65" s="202"/>
      <c r="BD65" s="182"/>
      <c r="BE65" s="182"/>
      <c r="BF65" s="182"/>
      <c r="BG65" s="182"/>
      <c r="BH65" s="182"/>
      <c r="BI65" s="203"/>
      <c r="BJ65" s="185"/>
      <c r="BK65" s="183"/>
      <c r="BL65" s="183"/>
      <c r="BM65" s="184"/>
      <c r="BN65" s="193"/>
      <c r="BO65" s="183"/>
      <c r="BP65" s="186"/>
      <c r="BQ65" s="185"/>
      <c r="BR65" s="429"/>
      <c r="BS65" s="183"/>
      <c r="BT65" s="183"/>
      <c r="BU65" s="183"/>
      <c r="BV65" s="183"/>
      <c r="BW65" s="186"/>
      <c r="BX65" s="194"/>
      <c r="BY65" s="183"/>
      <c r="BZ65" s="183"/>
      <c r="CA65" s="183"/>
      <c r="CB65" s="159"/>
      <c r="CC65" s="195"/>
      <c r="CD65" s="196"/>
      <c r="CE65" s="173"/>
      <c r="CF65" s="171"/>
      <c r="CG65" s="171"/>
      <c r="CH65" s="171"/>
      <c r="CI65" s="171"/>
      <c r="CJ65" s="171"/>
      <c r="CK65" s="172"/>
      <c r="CL65" s="161"/>
      <c r="CM65" s="159"/>
      <c r="CN65" s="159"/>
      <c r="CO65" s="227"/>
      <c r="CP65" s="170"/>
      <c r="CQ65" s="159"/>
      <c r="CR65" s="162"/>
      <c r="CS65" s="161"/>
      <c r="CT65" s="159"/>
      <c r="CU65" s="159"/>
      <c r="CV65" s="159"/>
      <c r="CW65" s="159"/>
      <c r="CX65" s="159"/>
      <c r="CY65" s="162"/>
      <c r="CZ65" s="159"/>
      <c r="DA65" s="159"/>
      <c r="DB65" s="159"/>
      <c r="DC65" s="159"/>
      <c r="DD65" s="159"/>
      <c r="DE65" s="162"/>
      <c r="DF65" s="174"/>
      <c r="DG65" s="159"/>
      <c r="DH65" s="159"/>
      <c r="DI65" s="159"/>
      <c r="DJ65" s="159"/>
      <c r="DK65" s="159"/>
      <c r="DL65" s="162"/>
      <c r="DM65" s="170"/>
      <c r="DN65" s="159"/>
      <c r="DO65" s="159"/>
      <c r="DP65" s="159"/>
      <c r="DQ65" s="159"/>
      <c r="DR65" s="159"/>
      <c r="DS65" s="175"/>
    </row>
    <row r="66" spans="1:16384" ht="14" outlineLevel="1">
      <c r="A66" s="380" t="s">
        <v>317</v>
      </c>
      <c r="B66" s="221" t="s">
        <v>12</v>
      </c>
      <c r="C66" s="52" t="s">
        <v>178</v>
      </c>
      <c r="D66" s="194"/>
      <c r="E66" s="183"/>
      <c r="F66" s="183"/>
      <c r="G66" s="183"/>
      <c r="H66" s="183"/>
      <c r="I66" s="183"/>
      <c r="J66" s="183"/>
      <c r="K66" s="183"/>
      <c r="L66" s="184"/>
      <c r="M66" s="185"/>
      <c r="N66" s="183"/>
      <c r="O66" s="183"/>
      <c r="P66" s="183"/>
      <c r="Q66" s="183"/>
      <c r="R66" s="183"/>
      <c r="S66" s="186"/>
      <c r="T66" s="185"/>
      <c r="U66" s="183"/>
      <c r="V66" s="183"/>
      <c r="W66" s="183"/>
      <c r="X66" s="183"/>
      <c r="Y66" s="187"/>
      <c r="Z66" s="188"/>
      <c r="AA66" s="189"/>
      <c r="AB66" s="187"/>
      <c r="AC66" s="187"/>
      <c r="AD66" s="187"/>
      <c r="AE66" s="187"/>
      <c r="AF66" s="187"/>
      <c r="AG66" s="188"/>
      <c r="AH66" s="190"/>
      <c r="AI66" s="191"/>
      <c r="AJ66" s="187"/>
      <c r="AK66" s="187"/>
      <c r="AL66" s="187"/>
      <c r="AM66" s="187"/>
      <c r="AN66" s="192"/>
      <c r="AO66" s="185"/>
      <c r="AP66" s="183"/>
      <c r="AQ66" s="183"/>
      <c r="AR66" s="183"/>
      <c r="AS66" s="183"/>
      <c r="AT66" s="183"/>
      <c r="AU66" s="186"/>
      <c r="AV66" s="185"/>
      <c r="AW66" s="183"/>
      <c r="AX66" s="183"/>
      <c r="AY66" s="183"/>
      <c r="AZ66" s="183"/>
      <c r="BA66" s="183"/>
      <c r="BB66" s="186"/>
      <c r="BC66" s="185"/>
      <c r="BD66" s="183"/>
      <c r="BE66" s="183"/>
      <c r="BF66" s="183"/>
      <c r="BG66" s="183"/>
      <c r="BH66" s="183"/>
      <c r="BI66" s="186"/>
      <c r="BJ66" s="202"/>
      <c r="BK66" s="182"/>
      <c r="BL66" s="182"/>
      <c r="BM66" s="381"/>
      <c r="BN66" s="210"/>
      <c r="BO66" s="182"/>
      <c r="BP66" s="203"/>
      <c r="BQ66" s="185"/>
      <c r="BR66" s="429"/>
      <c r="BS66" s="183"/>
      <c r="BT66" s="183"/>
      <c r="BU66" s="183"/>
      <c r="BV66" s="183"/>
      <c r="BW66" s="186"/>
      <c r="BX66" s="194"/>
      <c r="BY66" s="183"/>
      <c r="BZ66" s="183"/>
      <c r="CA66" s="183"/>
      <c r="CB66" s="159"/>
      <c r="CC66" s="195"/>
      <c r="CD66" s="196"/>
      <c r="CE66" s="173"/>
      <c r="CF66" s="171"/>
      <c r="CG66" s="171"/>
      <c r="CH66" s="171"/>
      <c r="CI66" s="171"/>
      <c r="CJ66" s="171"/>
      <c r="CK66" s="172"/>
      <c r="CL66" s="161"/>
      <c r="CM66" s="159"/>
      <c r="CN66" s="159"/>
      <c r="CO66" s="227"/>
      <c r="CP66" s="170"/>
      <c r="CQ66" s="159"/>
      <c r="CR66" s="162"/>
      <c r="CS66" s="161"/>
      <c r="CT66" s="159"/>
      <c r="CU66" s="159"/>
      <c r="CV66" s="159"/>
      <c r="CW66" s="159"/>
      <c r="CX66" s="159"/>
      <c r="CY66" s="162"/>
      <c r="CZ66" s="159"/>
      <c r="DA66" s="159"/>
      <c r="DB66" s="159"/>
      <c r="DC66" s="159"/>
      <c r="DD66" s="159"/>
      <c r="DE66" s="162"/>
      <c r="DF66" s="174"/>
      <c r="DG66" s="159"/>
      <c r="DH66" s="159"/>
      <c r="DI66" s="159"/>
      <c r="DJ66" s="159"/>
      <c r="DK66" s="159"/>
      <c r="DL66" s="162"/>
      <c r="DM66" s="170"/>
      <c r="DN66" s="159"/>
      <c r="DO66" s="159"/>
      <c r="DP66" s="159"/>
      <c r="DQ66" s="159"/>
      <c r="DR66" s="159"/>
      <c r="DS66" s="175"/>
    </row>
    <row r="67" spans="1:16384" ht="14" outlineLevel="1">
      <c r="A67" s="380" t="s">
        <v>313</v>
      </c>
      <c r="B67" s="221" t="s">
        <v>12</v>
      </c>
      <c r="C67" s="52" t="s">
        <v>178</v>
      </c>
      <c r="D67" s="382"/>
      <c r="E67" s="382"/>
      <c r="F67" s="382"/>
      <c r="G67" s="382"/>
      <c r="H67" s="382"/>
      <c r="I67" s="382"/>
      <c r="J67" s="382"/>
      <c r="K67" s="382"/>
      <c r="L67" s="382"/>
      <c r="M67" s="382"/>
      <c r="N67" s="382"/>
      <c r="O67" s="382"/>
      <c r="P67" s="382"/>
      <c r="Q67" s="382"/>
      <c r="R67" s="382"/>
      <c r="S67" s="382"/>
      <c r="T67" s="382"/>
      <c r="U67" s="382"/>
      <c r="V67" s="382"/>
      <c r="W67" s="382"/>
      <c r="X67" s="382"/>
      <c r="Y67" s="382"/>
      <c r="Z67" s="382"/>
      <c r="AA67" s="382"/>
      <c r="AB67" s="382"/>
      <c r="AC67" s="382"/>
      <c r="AD67" s="382"/>
      <c r="AE67" s="382"/>
      <c r="AF67" s="382"/>
      <c r="AG67" s="382"/>
      <c r="AH67" s="382"/>
      <c r="AI67" s="382"/>
      <c r="AJ67" s="382"/>
      <c r="AK67" s="382"/>
      <c r="AL67" s="382"/>
      <c r="AM67" s="382"/>
      <c r="AN67" s="382"/>
      <c r="AO67" s="185"/>
      <c r="AP67" s="183"/>
      <c r="AQ67" s="183"/>
      <c r="AR67" s="183"/>
      <c r="AS67" s="183"/>
      <c r="AT67" s="183"/>
      <c r="AU67" s="186"/>
      <c r="AV67" s="185"/>
      <c r="AW67" s="183"/>
      <c r="AX67" s="183"/>
      <c r="AY67" s="183"/>
      <c r="AZ67" s="183"/>
      <c r="BA67" s="183"/>
      <c r="BB67" s="186"/>
      <c r="BC67" s="185"/>
      <c r="BD67" s="183"/>
      <c r="BE67" s="183"/>
      <c r="BF67" s="183"/>
      <c r="BG67" s="183"/>
      <c r="BH67" s="183"/>
      <c r="BI67" s="186"/>
      <c r="BJ67" s="185"/>
      <c r="BK67" s="183"/>
      <c r="BL67" s="183"/>
      <c r="BM67" s="184"/>
      <c r="BN67" s="193"/>
      <c r="BO67" s="183"/>
      <c r="BP67" s="186"/>
      <c r="BQ67" s="185"/>
      <c r="BR67" s="429"/>
      <c r="BS67" s="182"/>
      <c r="BT67" s="204"/>
      <c r="BU67" s="182"/>
      <c r="BV67" s="183"/>
      <c r="BW67" s="186"/>
      <c r="BX67" s="194"/>
      <c r="BY67" s="183"/>
      <c r="BZ67" s="183"/>
      <c r="CA67" s="183"/>
      <c r="CB67" s="159"/>
      <c r="CC67" s="195"/>
      <c r="CD67" s="196"/>
      <c r="CE67" s="173"/>
      <c r="CF67" s="171"/>
      <c r="CG67" s="171"/>
      <c r="CH67" s="171"/>
      <c r="CI67" s="171"/>
      <c r="CJ67" s="171"/>
      <c r="CK67" s="172"/>
      <c r="CL67" s="161"/>
      <c r="CM67" s="159"/>
      <c r="CN67" s="159"/>
      <c r="CO67" s="227"/>
      <c r="CP67" s="170"/>
      <c r="CQ67" s="159"/>
      <c r="CR67" s="162"/>
      <c r="CS67" s="161"/>
      <c r="CT67" s="159"/>
      <c r="CU67" s="159"/>
      <c r="CV67" s="159"/>
      <c r="CW67" s="159"/>
      <c r="CX67" s="159"/>
      <c r="CY67" s="162"/>
      <c r="CZ67" s="159"/>
      <c r="DA67" s="159"/>
      <c r="DB67" s="159"/>
      <c r="DC67" s="159"/>
      <c r="DD67" s="159"/>
      <c r="DE67" s="162"/>
      <c r="DF67" s="174"/>
      <c r="DG67" s="159"/>
      <c r="DH67" s="159"/>
      <c r="DI67" s="159"/>
      <c r="DJ67" s="159"/>
      <c r="DK67" s="159"/>
      <c r="DL67" s="162"/>
      <c r="DM67" s="170"/>
      <c r="DN67" s="159"/>
      <c r="DO67" s="159"/>
      <c r="DP67" s="159"/>
      <c r="DQ67" s="159"/>
      <c r="DR67" s="159"/>
      <c r="DS67" s="175"/>
      <c r="DT67" s="382"/>
      <c r="DU67" s="382"/>
      <c r="DV67" s="382"/>
      <c r="DW67" s="382"/>
      <c r="DX67" s="382"/>
      <c r="DY67" s="382"/>
      <c r="DZ67" s="382"/>
      <c r="EA67" s="382"/>
      <c r="EB67" s="382"/>
      <c r="EC67" s="382"/>
      <c r="ED67" s="382"/>
      <c r="EE67" s="382"/>
      <c r="EF67" s="382"/>
      <c r="EG67" s="382"/>
      <c r="EH67" s="382"/>
      <c r="EI67" s="382"/>
      <c r="EJ67" s="382"/>
      <c r="EK67" s="382"/>
      <c r="EL67" s="382"/>
      <c r="EM67" s="382"/>
      <c r="EN67" s="382"/>
      <c r="EO67" s="382"/>
      <c r="EP67" s="382"/>
      <c r="EQ67" s="382"/>
      <c r="ER67" s="382"/>
      <c r="ES67" s="382"/>
      <c r="ET67" s="382"/>
      <c r="EU67" s="382"/>
      <c r="EV67" s="382"/>
      <c r="EW67" s="382"/>
      <c r="EX67" s="382"/>
      <c r="EY67" s="382"/>
      <c r="EZ67" s="382"/>
      <c r="FA67" s="382"/>
      <c r="FB67" s="382"/>
      <c r="FC67" s="382"/>
      <c r="FD67" s="382"/>
      <c r="FE67" s="382"/>
      <c r="FF67" s="382"/>
      <c r="FG67" s="382"/>
      <c r="FH67" s="382"/>
      <c r="FI67" s="382"/>
      <c r="FJ67" s="382"/>
      <c r="FK67" s="382"/>
      <c r="FL67" s="382"/>
      <c r="FM67" s="382"/>
      <c r="FN67" s="382"/>
      <c r="FO67" s="382"/>
      <c r="FP67" s="382"/>
      <c r="FQ67" s="382"/>
      <c r="FR67" s="382"/>
      <c r="FS67" s="382"/>
      <c r="FT67" s="382"/>
      <c r="FU67" s="382"/>
      <c r="FV67" s="382"/>
      <c r="FW67" s="382"/>
      <c r="FX67" s="382"/>
      <c r="FY67" s="382"/>
      <c r="FZ67" s="382"/>
      <c r="GA67" s="382"/>
      <c r="GB67" s="382"/>
      <c r="GC67" s="382"/>
      <c r="GD67" s="382"/>
      <c r="GE67" s="382"/>
      <c r="GF67" s="382"/>
      <c r="GG67" s="382"/>
      <c r="GH67" s="382"/>
      <c r="GI67" s="382"/>
      <c r="GJ67" s="382"/>
      <c r="GK67" s="382"/>
      <c r="GL67" s="382"/>
      <c r="GM67" s="382"/>
      <c r="GN67" s="382"/>
      <c r="GO67" s="382"/>
      <c r="GP67" s="382"/>
      <c r="GQ67" s="382"/>
      <c r="GR67" s="382"/>
      <c r="GS67" s="382"/>
      <c r="GT67" s="382"/>
      <c r="GU67" s="382"/>
      <c r="GV67" s="382"/>
      <c r="GW67" s="382"/>
      <c r="GX67" s="382"/>
      <c r="GY67" s="382"/>
      <c r="GZ67" s="382"/>
      <c r="HA67" s="382"/>
      <c r="HB67" s="382"/>
      <c r="HC67" s="382"/>
      <c r="HD67" s="382"/>
      <c r="HE67" s="382"/>
      <c r="HF67" s="382"/>
      <c r="HG67" s="382"/>
      <c r="HH67" s="382"/>
      <c r="HI67" s="382"/>
      <c r="HJ67" s="382"/>
      <c r="HK67" s="382"/>
      <c r="HL67" s="382"/>
      <c r="HM67" s="382"/>
      <c r="HN67" s="382"/>
      <c r="HO67" s="382"/>
      <c r="HP67" s="382"/>
      <c r="HQ67" s="382"/>
      <c r="HR67" s="382"/>
      <c r="HS67" s="382"/>
      <c r="HT67" s="382"/>
      <c r="HU67" s="382"/>
      <c r="HV67" s="382"/>
      <c r="HW67" s="382"/>
      <c r="HX67" s="382"/>
      <c r="HY67" s="382"/>
      <c r="HZ67" s="382"/>
      <c r="IA67" s="382"/>
      <c r="IB67" s="382"/>
      <c r="IC67" s="382"/>
      <c r="ID67" s="382"/>
      <c r="IE67" s="382"/>
      <c r="IF67" s="382"/>
      <c r="IG67" s="382"/>
      <c r="IH67" s="382"/>
      <c r="II67" s="382"/>
      <c r="IJ67" s="382"/>
      <c r="IK67" s="382"/>
      <c r="IL67" s="382"/>
      <c r="IM67" s="382"/>
      <c r="IN67" s="382"/>
      <c r="IO67" s="382"/>
      <c r="IP67" s="382"/>
      <c r="IQ67" s="382"/>
      <c r="IR67" s="382"/>
      <c r="IS67" s="382"/>
      <c r="IT67" s="382"/>
      <c r="IU67" s="382"/>
      <c r="IV67" s="382"/>
      <c r="IW67" s="382"/>
      <c r="IX67" s="382"/>
      <c r="IY67" s="382"/>
      <c r="IZ67" s="382"/>
      <c r="JA67" s="382"/>
      <c r="JB67" s="382"/>
      <c r="JC67" s="382"/>
      <c r="JD67" s="382"/>
      <c r="JE67" s="382"/>
      <c r="JF67" s="382"/>
      <c r="JG67" s="382"/>
      <c r="JH67" s="382"/>
      <c r="JI67" s="382"/>
      <c r="JJ67" s="382"/>
      <c r="JK67" s="382"/>
      <c r="JL67" s="382"/>
      <c r="JM67" s="382"/>
      <c r="JN67" s="382"/>
      <c r="JO67" s="382"/>
      <c r="JP67" s="382"/>
      <c r="JQ67" s="382"/>
      <c r="JR67" s="382"/>
      <c r="JS67" s="382"/>
      <c r="JT67" s="382"/>
      <c r="JU67" s="382"/>
      <c r="JV67" s="382"/>
      <c r="JW67" s="382"/>
      <c r="JX67" s="382"/>
      <c r="JY67" s="382"/>
      <c r="JZ67" s="382"/>
      <c r="KA67" s="382"/>
      <c r="KB67" s="382"/>
      <c r="KC67" s="382"/>
      <c r="KD67" s="382"/>
      <c r="KE67" s="382"/>
      <c r="KF67" s="382"/>
      <c r="KG67" s="382"/>
      <c r="KH67" s="382"/>
      <c r="KI67" s="382"/>
      <c r="KJ67" s="382"/>
      <c r="KK67" s="382"/>
      <c r="KL67" s="382"/>
      <c r="KM67" s="382"/>
      <c r="KN67" s="382"/>
      <c r="KO67" s="382"/>
      <c r="KP67" s="382"/>
      <c r="KQ67" s="382"/>
      <c r="KR67" s="382"/>
      <c r="KS67" s="382"/>
      <c r="KT67" s="382"/>
      <c r="KU67" s="382"/>
      <c r="KV67" s="382"/>
      <c r="KW67" s="382"/>
      <c r="KX67" s="382"/>
      <c r="KY67" s="382"/>
      <c r="KZ67" s="382"/>
      <c r="LA67" s="382"/>
      <c r="LB67" s="382"/>
      <c r="LC67" s="382"/>
      <c r="LD67" s="382"/>
      <c r="LE67" s="382"/>
      <c r="LF67" s="382"/>
      <c r="LG67" s="382"/>
      <c r="LH67" s="382"/>
      <c r="LI67" s="382"/>
      <c r="LJ67" s="382"/>
      <c r="LK67" s="382"/>
      <c r="LL67" s="382"/>
      <c r="LM67" s="382"/>
      <c r="LN67" s="382"/>
      <c r="LO67" s="382"/>
      <c r="LP67" s="382"/>
      <c r="LQ67" s="382"/>
      <c r="LR67" s="382"/>
      <c r="LS67" s="382"/>
      <c r="LT67" s="382"/>
      <c r="LU67" s="382"/>
      <c r="LV67" s="382"/>
      <c r="LW67" s="382"/>
      <c r="LX67" s="382"/>
      <c r="LY67" s="382"/>
      <c r="LZ67" s="382"/>
      <c r="MA67" s="382"/>
      <c r="MB67" s="382"/>
      <c r="MC67" s="382"/>
      <c r="MD67" s="382"/>
      <c r="ME67" s="382"/>
      <c r="MF67" s="382"/>
      <c r="MG67" s="382"/>
      <c r="MH67" s="382"/>
      <c r="MI67" s="382"/>
      <c r="MJ67" s="382"/>
      <c r="MK67" s="382"/>
      <c r="ML67" s="382"/>
      <c r="MM67" s="382"/>
      <c r="MN67" s="382"/>
      <c r="MO67" s="382"/>
      <c r="MP67" s="382"/>
      <c r="MQ67" s="382"/>
      <c r="MR67" s="382"/>
      <c r="MS67" s="382"/>
      <c r="MT67" s="382"/>
      <c r="MU67" s="382"/>
      <c r="MV67" s="382"/>
      <c r="MW67" s="382"/>
      <c r="MX67" s="382"/>
      <c r="MY67" s="382"/>
      <c r="MZ67" s="382"/>
      <c r="NA67" s="382"/>
      <c r="NB67" s="382"/>
      <c r="NC67" s="382"/>
      <c r="ND67" s="382"/>
      <c r="NE67" s="382"/>
      <c r="NF67" s="382"/>
      <c r="NG67" s="382"/>
      <c r="NH67" s="382"/>
      <c r="NI67" s="382"/>
      <c r="NJ67" s="382"/>
      <c r="NK67" s="382"/>
      <c r="NL67" s="382"/>
      <c r="NM67" s="382"/>
      <c r="NN67" s="382"/>
      <c r="NO67" s="382"/>
      <c r="NP67" s="382"/>
      <c r="NQ67" s="382"/>
      <c r="NR67" s="382"/>
      <c r="NS67" s="382"/>
      <c r="NT67" s="382"/>
      <c r="NU67" s="382"/>
      <c r="NV67" s="382"/>
      <c r="NW67" s="382"/>
      <c r="NX67" s="382"/>
      <c r="NY67" s="382"/>
      <c r="NZ67" s="382"/>
      <c r="OA67" s="382"/>
      <c r="OB67" s="382"/>
      <c r="OC67" s="382"/>
      <c r="OD67" s="382"/>
      <c r="OE67" s="382"/>
      <c r="OF67" s="382"/>
      <c r="OG67" s="382"/>
      <c r="OH67" s="382"/>
      <c r="OI67" s="382"/>
      <c r="OJ67" s="382"/>
      <c r="OK67" s="382"/>
      <c r="OL67" s="382"/>
      <c r="OM67" s="382"/>
      <c r="ON67" s="382"/>
      <c r="OO67" s="382"/>
      <c r="OP67" s="382"/>
      <c r="OQ67" s="382"/>
      <c r="OR67" s="382"/>
      <c r="OS67" s="382"/>
      <c r="OT67" s="382"/>
      <c r="OU67" s="382"/>
      <c r="OV67" s="382"/>
      <c r="OW67" s="382"/>
      <c r="OX67" s="382"/>
      <c r="OY67" s="382"/>
      <c r="OZ67" s="382"/>
      <c r="PA67" s="382"/>
      <c r="PB67" s="382"/>
      <c r="PC67" s="382"/>
      <c r="PD67" s="382"/>
      <c r="PE67" s="382"/>
      <c r="PF67" s="382"/>
      <c r="PG67" s="382"/>
      <c r="PH67" s="382"/>
      <c r="PI67" s="382"/>
      <c r="PJ67" s="382"/>
      <c r="PK67" s="382"/>
      <c r="PL67" s="382"/>
      <c r="PM67" s="382"/>
      <c r="PN67" s="382"/>
      <c r="PO67" s="382"/>
      <c r="PP67" s="382"/>
      <c r="PQ67" s="382"/>
      <c r="PR67" s="382"/>
      <c r="PS67" s="382"/>
      <c r="PT67" s="382"/>
      <c r="PU67" s="382"/>
      <c r="PV67" s="382"/>
      <c r="PW67" s="382"/>
      <c r="PX67" s="382"/>
      <c r="PY67" s="382"/>
      <c r="PZ67" s="382"/>
      <c r="QA67" s="382"/>
      <c r="QB67" s="382"/>
      <c r="QC67" s="382"/>
      <c r="QD67" s="382"/>
      <c r="QE67" s="382"/>
      <c r="QF67" s="382"/>
      <c r="QG67" s="382"/>
      <c r="QH67" s="382"/>
      <c r="QI67" s="382"/>
      <c r="QJ67" s="382"/>
      <c r="QK67" s="382"/>
      <c r="QL67" s="382"/>
      <c r="QM67" s="382"/>
      <c r="QN67" s="382"/>
      <c r="QO67" s="382"/>
      <c r="QP67" s="382"/>
      <c r="QQ67" s="382"/>
      <c r="QR67" s="382"/>
      <c r="QS67" s="382"/>
      <c r="QT67" s="382"/>
      <c r="QU67" s="382"/>
      <c r="QV67" s="382"/>
      <c r="QW67" s="382"/>
      <c r="QX67" s="382"/>
      <c r="QY67" s="382"/>
      <c r="QZ67" s="382"/>
      <c r="RA67" s="382"/>
      <c r="RB67" s="382"/>
      <c r="RC67" s="382"/>
      <c r="RD67" s="382"/>
      <c r="RE67" s="382"/>
      <c r="RF67" s="382"/>
      <c r="RG67" s="382"/>
      <c r="RH67" s="382"/>
      <c r="RI67" s="382"/>
      <c r="RJ67" s="382"/>
      <c r="RK67" s="382"/>
      <c r="RL67" s="382"/>
      <c r="RM67" s="382"/>
      <c r="RN67" s="382"/>
      <c r="RO67" s="382"/>
      <c r="RP67" s="382"/>
      <c r="RQ67" s="382"/>
      <c r="RR67" s="382"/>
      <c r="RS67" s="382"/>
      <c r="RT67" s="382"/>
      <c r="RU67" s="382"/>
      <c r="RV67" s="382"/>
      <c r="RW67" s="382"/>
      <c r="RX67" s="382"/>
      <c r="RY67" s="382"/>
      <c r="RZ67" s="382"/>
      <c r="SA67" s="382"/>
      <c r="SB67" s="382"/>
      <c r="SC67" s="382"/>
      <c r="SD67" s="382"/>
      <c r="SE67" s="382"/>
      <c r="SF67" s="382"/>
      <c r="SG67" s="382"/>
      <c r="SH67" s="382"/>
      <c r="SI67" s="382"/>
      <c r="SJ67" s="382"/>
      <c r="SK67" s="382"/>
      <c r="SL67" s="382"/>
      <c r="SM67" s="382"/>
      <c r="SN67" s="382"/>
      <c r="SO67" s="382"/>
      <c r="SP67" s="382"/>
      <c r="SQ67" s="382"/>
      <c r="SR67" s="382"/>
      <c r="SS67" s="382"/>
      <c r="ST67" s="382"/>
      <c r="SU67" s="382"/>
      <c r="SV67" s="382"/>
      <c r="SW67" s="382"/>
      <c r="SX67" s="382"/>
      <c r="SY67" s="382"/>
      <c r="SZ67" s="382"/>
      <c r="TA67" s="382"/>
      <c r="TB67" s="382"/>
      <c r="TC67" s="382"/>
      <c r="TD67" s="382"/>
      <c r="TE67" s="382"/>
      <c r="TF67" s="382"/>
      <c r="TG67" s="382"/>
      <c r="TH67" s="382"/>
      <c r="TI67" s="382"/>
      <c r="TJ67" s="382"/>
      <c r="TK67" s="382"/>
      <c r="TL67" s="382"/>
      <c r="TM67" s="382"/>
      <c r="TN67" s="382"/>
      <c r="TO67" s="382"/>
      <c r="TP67" s="382"/>
      <c r="TQ67" s="382"/>
      <c r="TR67" s="382"/>
      <c r="TS67" s="382"/>
      <c r="TT67" s="382"/>
      <c r="TU67" s="382"/>
      <c r="TV67" s="382"/>
      <c r="TW67" s="382"/>
      <c r="TX67" s="382"/>
      <c r="TY67" s="382"/>
      <c r="TZ67" s="382"/>
      <c r="UA67" s="382"/>
      <c r="UB67" s="382"/>
      <c r="UC67" s="382"/>
      <c r="UD67" s="382"/>
      <c r="UE67" s="382"/>
      <c r="UF67" s="382"/>
      <c r="UG67" s="382"/>
      <c r="UH67" s="382"/>
      <c r="UI67" s="382"/>
      <c r="UJ67" s="382"/>
      <c r="UK67" s="382"/>
      <c r="UL67" s="382"/>
      <c r="UM67" s="382"/>
      <c r="UN67" s="382"/>
      <c r="UO67" s="382"/>
      <c r="UP67" s="382"/>
      <c r="UQ67" s="382"/>
      <c r="UR67" s="382"/>
      <c r="US67" s="382"/>
      <c r="UT67" s="382"/>
      <c r="UU67" s="382"/>
      <c r="UV67" s="382"/>
      <c r="UW67" s="382"/>
      <c r="UX67" s="382"/>
      <c r="UY67" s="382"/>
      <c r="UZ67" s="382"/>
      <c r="VA67" s="382"/>
      <c r="VB67" s="382"/>
      <c r="VC67" s="382"/>
      <c r="VD67" s="382"/>
      <c r="VE67" s="382"/>
      <c r="VF67" s="382"/>
      <c r="VG67" s="382"/>
      <c r="VH67" s="382"/>
      <c r="VI67" s="382"/>
      <c r="VJ67" s="382"/>
      <c r="VK67" s="382"/>
      <c r="VL67" s="382"/>
      <c r="VM67" s="382"/>
      <c r="VN67" s="382"/>
      <c r="VO67" s="382"/>
      <c r="VP67" s="382"/>
      <c r="VQ67" s="382"/>
      <c r="VR67" s="382"/>
      <c r="VS67" s="382"/>
      <c r="VT67" s="382"/>
      <c r="VU67" s="382"/>
      <c r="VV67" s="382"/>
      <c r="VW67" s="382"/>
      <c r="VX67" s="382"/>
      <c r="VY67" s="382"/>
      <c r="VZ67" s="382"/>
      <c r="WA67" s="382"/>
      <c r="WB67" s="382"/>
      <c r="WC67" s="382"/>
      <c r="WD67" s="382"/>
      <c r="WE67" s="382"/>
      <c r="WF67" s="382"/>
      <c r="WG67" s="382"/>
      <c r="WH67" s="382"/>
      <c r="WI67" s="382"/>
      <c r="WJ67" s="382"/>
      <c r="WK67" s="382"/>
      <c r="WL67" s="382"/>
      <c r="WM67" s="382"/>
      <c r="WN67" s="382"/>
      <c r="WO67" s="382"/>
      <c r="WP67" s="382"/>
      <c r="WQ67" s="382"/>
      <c r="WR67" s="382"/>
      <c r="WS67" s="382"/>
      <c r="WT67" s="382"/>
      <c r="WU67" s="382"/>
      <c r="WV67" s="382"/>
      <c r="WW67" s="382"/>
      <c r="WX67" s="382"/>
      <c r="WY67" s="382"/>
      <c r="WZ67" s="382"/>
      <c r="XA67" s="382"/>
      <c r="XB67" s="382"/>
      <c r="XC67" s="382"/>
      <c r="XD67" s="382"/>
      <c r="XE67" s="382"/>
      <c r="XF67" s="382"/>
      <c r="XG67" s="382"/>
      <c r="XH67" s="382"/>
      <c r="XI67" s="382"/>
      <c r="XJ67" s="382"/>
      <c r="XK67" s="382"/>
      <c r="XL67" s="382"/>
      <c r="XM67" s="382"/>
      <c r="XN67" s="382"/>
      <c r="XO67" s="382"/>
      <c r="XP67" s="382"/>
      <c r="XQ67" s="382"/>
      <c r="XR67" s="382"/>
      <c r="XS67" s="382"/>
      <c r="XT67" s="382"/>
      <c r="XU67" s="382"/>
      <c r="XV67" s="382"/>
      <c r="XW67" s="382"/>
      <c r="XX67" s="382"/>
      <c r="XY67" s="382"/>
      <c r="XZ67" s="382"/>
      <c r="YA67" s="382"/>
      <c r="YB67" s="382"/>
      <c r="YC67" s="382"/>
      <c r="YD67" s="382"/>
      <c r="YE67" s="382"/>
      <c r="YF67" s="382"/>
      <c r="YG67" s="382"/>
      <c r="YH67" s="382"/>
      <c r="YI67" s="382"/>
      <c r="YJ67" s="382"/>
      <c r="YK67" s="382"/>
      <c r="YL67" s="382"/>
      <c r="YM67" s="382"/>
      <c r="YN67" s="382"/>
      <c r="YO67" s="382"/>
      <c r="YP67" s="382"/>
      <c r="YQ67" s="382"/>
      <c r="YR67" s="382"/>
      <c r="YS67" s="382"/>
      <c r="YT67" s="382"/>
      <c r="YU67" s="382"/>
      <c r="YV67" s="382"/>
      <c r="YW67" s="382"/>
      <c r="YX67" s="382"/>
      <c r="YY67" s="382"/>
      <c r="YZ67" s="382"/>
      <c r="ZA67" s="382"/>
      <c r="ZB67" s="382"/>
      <c r="ZC67" s="382"/>
      <c r="ZD67" s="382"/>
      <c r="ZE67" s="382"/>
      <c r="ZF67" s="382"/>
      <c r="ZG67" s="382"/>
      <c r="ZH67" s="382"/>
      <c r="ZI67" s="382"/>
      <c r="ZJ67" s="382"/>
      <c r="ZK67" s="382"/>
      <c r="ZL67" s="382"/>
      <c r="ZM67" s="382"/>
      <c r="ZN67" s="382"/>
      <c r="ZO67" s="382"/>
      <c r="ZP67" s="382"/>
      <c r="ZQ67" s="382"/>
      <c r="ZR67" s="382"/>
      <c r="ZS67" s="382"/>
      <c r="ZT67" s="382"/>
      <c r="ZU67" s="382"/>
      <c r="ZV67" s="382"/>
      <c r="ZW67" s="382"/>
      <c r="ZX67" s="382"/>
      <c r="ZY67" s="382"/>
      <c r="ZZ67" s="382"/>
      <c r="AAA67" s="382"/>
      <c r="AAB67" s="382"/>
      <c r="AAC67" s="382"/>
      <c r="AAD67" s="382"/>
      <c r="AAE67" s="382"/>
      <c r="AAF67" s="382"/>
      <c r="AAG67" s="382"/>
      <c r="AAH67" s="382"/>
      <c r="AAI67" s="382"/>
      <c r="AAJ67" s="382"/>
      <c r="AAK67" s="382"/>
      <c r="AAL67" s="382"/>
      <c r="AAM67" s="382"/>
      <c r="AAN67" s="382"/>
      <c r="AAO67" s="382"/>
      <c r="AAP67" s="382"/>
      <c r="AAQ67" s="382"/>
      <c r="AAR67" s="382"/>
      <c r="AAS67" s="382"/>
      <c r="AAT67" s="382"/>
      <c r="AAU67" s="382"/>
      <c r="AAV67" s="382"/>
      <c r="AAW67" s="382"/>
      <c r="AAX67" s="382"/>
      <c r="AAY67" s="382"/>
      <c r="AAZ67" s="382"/>
      <c r="ABA67" s="382"/>
      <c r="ABB67" s="382"/>
      <c r="ABC67" s="382"/>
      <c r="ABD67" s="382"/>
      <c r="ABE67" s="382"/>
      <c r="ABF67" s="382"/>
      <c r="ABG67" s="382"/>
      <c r="ABH67" s="382"/>
      <c r="ABI67" s="382"/>
      <c r="ABJ67" s="382"/>
      <c r="ABK67" s="382"/>
      <c r="ABL67" s="382"/>
      <c r="ABM67" s="382"/>
      <c r="ABN67" s="382"/>
      <c r="ABO67" s="382"/>
      <c r="ABP67" s="382"/>
      <c r="ABQ67" s="382"/>
      <c r="ABR67" s="382"/>
      <c r="ABS67" s="382"/>
      <c r="ABT67" s="382"/>
      <c r="ABU67" s="382"/>
      <c r="ABV67" s="382"/>
      <c r="ABW67" s="382"/>
      <c r="ABX67" s="382"/>
      <c r="ABY67" s="382"/>
      <c r="ABZ67" s="382"/>
      <c r="ACA67" s="382"/>
      <c r="ACB67" s="382"/>
      <c r="ACC67" s="382"/>
      <c r="ACD67" s="382"/>
      <c r="ACE67" s="382"/>
      <c r="ACF67" s="382"/>
      <c r="ACG67" s="382"/>
      <c r="ACH67" s="382"/>
      <c r="ACI67" s="382"/>
      <c r="ACJ67" s="382"/>
      <c r="ACK67" s="382"/>
      <c r="ACL67" s="382"/>
      <c r="ACM67" s="382"/>
      <c r="ACN67" s="382"/>
      <c r="ACO67" s="382"/>
      <c r="ACP67" s="382"/>
      <c r="ACQ67" s="382"/>
      <c r="ACR67" s="382"/>
      <c r="ACS67" s="382"/>
      <c r="ACT67" s="382"/>
      <c r="ACU67" s="382"/>
      <c r="ACV67" s="382"/>
      <c r="ACW67" s="382"/>
      <c r="ACX67" s="382"/>
      <c r="ACY67" s="382"/>
      <c r="ACZ67" s="382"/>
      <c r="ADA67" s="382"/>
      <c r="ADB67" s="382"/>
      <c r="ADC67" s="382"/>
      <c r="ADD67" s="382"/>
      <c r="ADE67" s="382"/>
      <c r="ADF67" s="382"/>
      <c r="ADG67" s="382"/>
      <c r="ADH67" s="382"/>
      <c r="ADI67" s="382"/>
      <c r="ADJ67" s="382"/>
      <c r="ADK67" s="382"/>
      <c r="ADL67" s="382"/>
      <c r="ADM67" s="382"/>
      <c r="ADN67" s="382"/>
      <c r="ADO67" s="382"/>
      <c r="ADP67" s="382"/>
      <c r="ADQ67" s="382"/>
      <c r="ADR67" s="382"/>
      <c r="ADS67" s="382"/>
      <c r="ADT67" s="382"/>
      <c r="ADU67" s="382"/>
      <c r="ADV67" s="382"/>
      <c r="ADW67" s="382"/>
      <c r="ADX67" s="382"/>
      <c r="ADY67" s="382"/>
      <c r="ADZ67" s="382"/>
      <c r="AEA67" s="382"/>
      <c r="AEB67" s="382"/>
      <c r="AEC67" s="382"/>
      <c r="AED67" s="382"/>
      <c r="AEE67" s="382"/>
      <c r="AEF67" s="382"/>
      <c r="AEG67" s="382"/>
      <c r="AEH67" s="382"/>
      <c r="AEI67" s="382"/>
      <c r="AEJ67" s="382"/>
      <c r="AEK67" s="382"/>
      <c r="AEL67" s="382"/>
      <c r="AEM67" s="382"/>
      <c r="AEN67" s="382"/>
      <c r="AEO67" s="382"/>
      <c r="AEP67" s="382"/>
      <c r="AEQ67" s="382"/>
      <c r="AER67" s="382"/>
      <c r="AES67" s="382"/>
      <c r="AET67" s="382"/>
      <c r="AEU67" s="382"/>
      <c r="AEV67" s="382"/>
      <c r="AEW67" s="382"/>
      <c r="AEX67" s="382"/>
      <c r="AEY67" s="382"/>
      <c r="AEZ67" s="382"/>
      <c r="AFA67" s="382"/>
      <c r="AFB67" s="382"/>
      <c r="AFC67" s="382"/>
      <c r="AFD67" s="382"/>
      <c r="AFE67" s="382"/>
      <c r="AFF67" s="382"/>
      <c r="AFG67" s="382"/>
      <c r="AFH67" s="382"/>
      <c r="AFI67" s="382"/>
      <c r="AFJ67" s="382"/>
      <c r="AFK67" s="382"/>
      <c r="AFL67" s="382"/>
      <c r="AFM67" s="382"/>
      <c r="AFN67" s="382"/>
      <c r="AFO67" s="382"/>
      <c r="AFP67" s="382"/>
      <c r="AFQ67" s="382"/>
      <c r="AFR67" s="382"/>
      <c r="AFS67" s="382"/>
      <c r="AFT67" s="382"/>
      <c r="AFU67" s="382"/>
      <c r="AFV67" s="382"/>
      <c r="AFW67" s="382"/>
      <c r="AFX67" s="382"/>
      <c r="AFY67" s="382"/>
      <c r="AFZ67" s="382"/>
      <c r="AGA67" s="382"/>
      <c r="AGB67" s="382"/>
      <c r="AGC67" s="382"/>
      <c r="AGD67" s="382"/>
      <c r="AGE67" s="382"/>
      <c r="AGF67" s="382"/>
      <c r="AGG67" s="382"/>
      <c r="AGH67" s="382"/>
      <c r="AGI67" s="382"/>
      <c r="AGJ67" s="382"/>
      <c r="AGK67" s="382"/>
      <c r="AGL67" s="382"/>
      <c r="AGM67" s="382"/>
      <c r="AGN67" s="382"/>
      <c r="AGO67" s="382"/>
      <c r="AGP67" s="382"/>
      <c r="AGQ67" s="382"/>
      <c r="AGR67" s="382"/>
      <c r="AGS67" s="382"/>
      <c r="AGT67" s="382"/>
      <c r="AGU67" s="382"/>
      <c r="AGV67" s="382"/>
      <c r="AGW67" s="382"/>
      <c r="AGX67" s="382"/>
      <c r="AGY67" s="382"/>
      <c r="AGZ67" s="382"/>
      <c r="AHA67" s="382"/>
      <c r="AHB67" s="382"/>
      <c r="AHC67" s="382"/>
      <c r="AHD67" s="382"/>
      <c r="AHE67" s="382"/>
      <c r="AHF67" s="382"/>
      <c r="AHG67" s="382"/>
      <c r="AHH67" s="382"/>
      <c r="AHI67" s="382"/>
      <c r="AHJ67" s="382"/>
      <c r="AHK67" s="382"/>
      <c r="AHL67" s="382"/>
      <c r="AHM67" s="382"/>
      <c r="AHN67" s="382"/>
      <c r="AHO67" s="382"/>
      <c r="AHP67" s="382"/>
      <c r="AHQ67" s="382"/>
      <c r="AHR67" s="382"/>
      <c r="AHS67" s="382"/>
      <c r="AHT67" s="382"/>
      <c r="AHU67" s="382"/>
      <c r="AHV67" s="382"/>
      <c r="AHW67" s="382"/>
      <c r="AHX67" s="382"/>
      <c r="AHY67" s="382"/>
      <c r="AHZ67" s="382"/>
      <c r="AIA67" s="382"/>
      <c r="AIB67" s="382"/>
      <c r="AIC67" s="382"/>
      <c r="AID67" s="382"/>
      <c r="AIE67" s="382"/>
      <c r="AIF67" s="382"/>
      <c r="AIG67" s="382"/>
      <c r="AIH67" s="382"/>
      <c r="AII67" s="382"/>
      <c r="AIJ67" s="382"/>
      <c r="AIK67" s="382"/>
      <c r="AIL67" s="382"/>
      <c r="AIM67" s="382"/>
      <c r="AIN67" s="382"/>
      <c r="AIO67" s="382"/>
      <c r="AIP67" s="382"/>
      <c r="AIQ67" s="382"/>
      <c r="AIR67" s="382"/>
      <c r="AIS67" s="382"/>
      <c r="AIT67" s="382"/>
      <c r="AIU67" s="382"/>
      <c r="AIV67" s="382"/>
      <c r="AIW67" s="382"/>
      <c r="AIX67" s="382"/>
      <c r="AIY67" s="382"/>
      <c r="AIZ67" s="382"/>
      <c r="AJA67" s="382"/>
      <c r="AJB67" s="382"/>
      <c r="AJC67" s="382"/>
      <c r="AJD67" s="382"/>
      <c r="AJE67" s="382"/>
      <c r="AJF67" s="382"/>
      <c r="AJG67" s="382"/>
      <c r="AJH67" s="382"/>
      <c r="AJI67" s="382"/>
      <c r="AJJ67" s="382"/>
      <c r="AJK67" s="382"/>
      <c r="AJL67" s="382"/>
      <c r="AJM67" s="382"/>
      <c r="AJN67" s="382"/>
      <c r="AJO67" s="382"/>
      <c r="AJP67" s="382"/>
      <c r="AJQ67" s="382"/>
      <c r="AJR67" s="382"/>
      <c r="AJS67" s="382"/>
      <c r="AJT67" s="382"/>
      <c r="AJU67" s="382"/>
      <c r="AJV67" s="382"/>
      <c r="AJW67" s="382"/>
      <c r="AJX67" s="382"/>
      <c r="AJY67" s="382"/>
      <c r="AJZ67" s="382"/>
      <c r="AKA67" s="382"/>
      <c r="AKB67" s="382"/>
      <c r="AKC67" s="382"/>
      <c r="AKD67" s="382"/>
      <c r="AKE67" s="382"/>
      <c r="AKF67" s="382"/>
      <c r="AKG67" s="382"/>
      <c r="AKH67" s="382"/>
      <c r="AKI67" s="382"/>
      <c r="AKJ67" s="382"/>
      <c r="AKK67" s="382"/>
      <c r="AKL67" s="382"/>
      <c r="AKM67" s="382"/>
      <c r="AKN67" s="382"/>
      <c r="AKO67" s="382"/>
      <c r="AKP67" s="382"/>
      <c r="AKQ67" s="382"/>
      <c r="AKR67" s="382"/>
      <c r="AKS67" s="382"/>
      <c r="AKT67" s="382"/>
      <c r="AKU67" s="382"/>
      <c r="AKV67" s="382"/>
      <c r="AKW67" s="382"/>
      <c r="AKX67" s="382"/>
      <c r="AKY67" s="382"/>
      <c r="AKZ67" s="382"/>
      <c r="ALA67" s="382"/>
      <c r="ALB67" s="382"/>
      <c r="ALC67" s="382"/>
      <c r="ALD67" s="382"/>
      <c r="ALE67" s="382"/>
      <c r="ALF67" s="382"/>
      <c r="ALG67" s="382"/>
      <c r="ALH67" s="382"/>
      <c r="ALI67" s="382"/>
      <c r="ALJ67" s="382"/>
      <c r="ALK67" s="382"/>
      <c r="ALL67" s="382"/>
      <c r="ALM67" s="382"/>
      <c r="ALN67" s="382"/>
      <c r="ALO67" s="382"/>
      <c r="ALP67" s="382"/>
      <c r="ALQ67" s="382"/>
      <c r="ALR67" s="382"/>
      <c r="ALS67" s="382"/>
      <c r="ALT67" s="382"/>
      <c r="ALU67" s="382"/>
      <c r="ALV67" s="382"/>
      <c r="ALW67" s="382"/>
      <c r="ALX67" s="382"/>
      <c r="ALY67" s="382"/>
      <c r="ALZ67" s="382"/>
      <c r="AMA67" s="382"/>
      <c r="AMB67" s="382"/>
      <c r="AMC67" s="382"/>
      <c r="AMD67" s="382"/>
      <c r="AME67" s="382"/>
      <c r="AMF67" s="382"/>
      <c r="AMG67" s="382"/>
      <c r="AMH67" s="382"/>
      <c r="AMI67" s="382"/>
      <c r="AMJ67" s="382"/>
      <c r="AMK67" s="382"/>
      <c r="AML67" s="382"/>
      <c r="AMM67" s="382"/>
      <c r="AMN67" s="382"/>
      <c r="AMO67" s="382"/>
      <c r="AMP67" s="382"/>
      <c r="AMQ67" s="382"/>
      <c r="AMR67" s="382"/>
      <c r="AMS67" s="382"/>
      <c r="AMT67" s="382"/>
      <c r="AMU67" s="382"/>
      <c r="AMV67" s="382"/>
      <c r="AMW67" s="382"/>
      <c r="AMX67" s="382"/>
      <c r="AMY67" s="382"/>
      <c r="AMZ67" s="382"/>
      <c r="ANA67" s="382"/>
      <c r="ANB67" s="382"/>
      <c r="ANC67" s="382"/>
      <c r="AND67" s="382"/>
      <c r="ANE67" s="382"/>
      <c r="ANF67" s="382"/>
      <c r="ANG67" s="382"/>
      <c r="ANH67" s="382"/>
      <c r="ANI67" s="382"/>
      <c r="ANJ67" s="382"/>
      <c r="ANK67" s="382"/>
      <c r="ANL67" s="382"/>
      <c r="ANM67" s="382"/>
      <c r="ANN67" s="382"/>
      <c r="ANO67" s="382"/>
      <c r="ANP67" s="382"/>
      <c r="ANQ67" s="382"/>
      <c r="ANR67" s="382"/>
      <c r="ANS67" s="382"/>
      <c r="ANT67" s="382"/>
      <c r="ANU67" s="382"/>
      <c r="ANV67" s="382"/>
      <c r="ANW67" s="382"/>
      <c r="ANX67" s="382"/>
      <c r="ANY67" s="382"/>
      <c r="ANZ67" s="382"/>
      <c r="AOA67" s="382"/>
      <c r="AOB67" s="382"/>
      <c r="AOC67" s="382"/>
      <c r="AOD67" s="382"/>
      <c r="AOE67" s="382"/>
      <c r="AOF67" s="382"/>
      <c r="AOG67" s="382"/>
      <c r="AOH67" s="382"/>
      <c r="AOI67" s="382"/>
      <c r="AOJ67" s="382"/>
      <c r="AOK67" s="382"/>
      <c r="AOL67" s="382"/>
      <c r="AOM67" s="382"/>
      <c r="AON67" s="382"/>
      <c r="AOO67" s="382"/>
      <c r="AOP67" s="382"/>
      <c r="AOQ67" s="382"/>
      <c r="AOR67" s="382"/>
      <c r="AOS67" s="382"/>
      <c r="AOT67" s="382"/>
      <c r="AOU67" s="382"/>
      <c r="AOV67" s="382"/>
      <c r="AOW67" s="382"/>
      <c r="AOX67" s="382"/>
      <c r="AOY67" s="382"/>
      <c r="AOZ67" s="382"/>
      <c r="APA67" s="382"/>
      <c r="APB67" s="382"/>
      <c r="APC67" s="382"/>
      <c r="APD67" s="382"/>
      <c r="APE67" s="382"/>
      <c r="APF67" s="382"/>
      <c r="APG67" s="382"/>
      <c r="APH67" s="382"/>
      <c r="API67" s="382"/>
      <c r="APJ67" s="382"/>
      <c r="APK67" s="382"/>
      <c r="APL67" s="382"/>
      <c r="APM67" s="382"/>
      <c r="APN67" s="382"/>
      <c r="APO67" s="382"/>
      <c r="APP67" s="382"/>
      <c r="APQ67" s="382"/>
      <c r="APR67" s="382"/>
      <c r="APS67" s="382"/>
      <c r="APT67" s="382"/>
      <c r="APU67" s="382"/>
      <c r="APV67" s="382"/>
      <c r="APW67" s="382"/>
      <c r="APX67" s="382"/>
      <c r="APY67" s="382"/>
      <c r="APZ67" s="382"/>
      <c r="AQA67" s="382"/>
      <c r="AQB67" s="382"/>
      <c r="AQC67" s="382"/>
      <c r="AQD67" s="382"/>
      <c r="AQE67" s="382"/>
      <c r="AQF67" s="382"/>
      <c r="AQG67" s="382"/>
      <c r="AQH67" s="382"/>
      <c r="AQI67" s="382"/>
      <c r="AQJ67" s="382"/>
      <c r="AQK67" s="382"/>
      <c r="AQL67" s="382"/>
      <c r="AQM67" s="382"/>
      <c r="AQN67" s="382"/>
      <c r="AQO67" s="382"/>
      <c r="AQP67" s="382"/>
      <c r="AQQ67" s="382"/>
      <c r="AQR67" s="382"/>
      <c r="AQS67" s="382"/>
      <c r="AQT67" s="382"/>
      <c r="AQU67" s="382"/>
      <c r="AQV67" s="382"/>
      <c r="AQW67" s="382"/>
      <c r="AQX67" s="382"/>
      <c r="AQY67" s="382"/>
      <c r="AQZ67" s="382"/>
      <c r="ARA67" s="382"/>
      <c r="ARB67" s="382"/>
      <c r="ARC67" s="382"/>
      <c r="ARD67" s="382"/>
      <c r="ARE67" s="382"/>
      <c r="ARF67" s="382"/>
      <c r="ARG67" s="382"/>
      <c r="ARH67" s="382"/>
      <c r="ARI67" s="382"/>
      <c r="ARJ67" s="382"/>
      <c r="ARK67" s="382"/>
      <c r="ARL67" s="382"/>
      <c r="ARM67" s="382"/>
      <c r="ARN67" s="382"/>
      <c r="ARO67" s="382"/>
      <c r="ARP67" s="382"/>
      <c r="ARQ67" s="382"/>
      <c r="ARR67" s="382"/>
      <c r="ARS67" s="382"/>
      <c r="ART67" s="382"/>
      <c r="ARU67" s="382"/>
      <c r="ARV67" s="382"/>
      <c r="ARW67" s="382"/>
      <c r="ARX67" s="382"/>
      <c r="ARY67" s="382"/>
      <c r="ARZ67" s="382"/>
      <c r="ASA67" s="382"/>
      <c r="ASB67" s="382"/>
      <c r="ASC67" s="382"/>
      <c r="ASD67" s="382"/>
      <c r="ASE67" s="382"/>
      <c r="ASF67" s="382"/>
      <c r="ASG67" s="382"/>
      <c r="ASH67" s="382"/>
      <c r="ASI67" s="382"/>
      <c r="ASJ67" s="382"/>
      <c r="ASK67" s="382"/>
      <c r="ASL67" s="382"/>
      <c r="ASM67" s="382"/>
      <c r="ASN67" s="382"/>
      <c r="ASO67" s="382"/>
      <c r="ASP67" s="382"/>
      <c r="ASQ67" s="382"/>
      <c r="ASR67" s="382"/>
      <c r="ASS67" s="382"/>
      <c r="AST67" s="382"/>
      <c r="ASU67" s="382"/>
      <c r="ASV67" s="382"/>
      <c r="ASW67" s="382"/>
      <c r="ASX67" s="382"/>
      <c r="ASY67" s="382"/>
      <c r="ASZ67" s="382"/>
      <c r="ATA67" s="382"/>
      <c r="ATB67" s="382"/>
      <c r="ATC67" s="382"/>
      <c r="ATD67" s="382"/>
      <c r="ATE67" s="382"/>
      <c r="ATF67" s="382"/>
      <c r="ATG67" s="382"/>
      <c r="ATH67" s="382"/>
      <c r="ATI67" s="382"/>
      <c r="ATJ67" s="382"/>
      <c r="ATK67" s="382"/>
      <c r="ATL67" s="382"/>
      <c r="ATM67" s="382"/>
      <c r="ATN67" s="382"/>
      <c r="ATO67" s="382"/>
      <c r="ATP67" s="382"/>
      <c r="ATQ67" s="382"/>
      <c r="ATR67" s="382"/>
      <c r="ATS67" s="382"/>
      <c r="ATT67" s="382"/>
      <c r="ATU67" s="382"/>
      <c r="ATV67" s="382"/>
      <c r="ATW67" s="382"/>
      <c r="ATX67" s="382"/>
      <c r="ATY67" s="382"/>
      <c r="ATZ67" s="382"/>
      <c r="AUA67" s="382"/>
      <c r="AUB67" s="382"/>
      <c r="AUC67" s="382"/>
      <c r="AUD67" s="382"/>
      <c r="AUE67" s="382"/>
      <c r="AUF67" s="382"/>
      <c r="AUG67" s="382"/>
      <c r="AUH67" s="382"/>
      <c r="AUI67" s="382"/>
      <c r="AUJ67" s="382"/>
      <c r="AUK67" s="382"/>
      <c r="AUL67" s="382"/>
      <c r="AUM67" s="382"/>
      <c r="AUN67" s="382"/>
      <c r="AUO67" s="382"/>
      <c r="AUP67" s="382"/>
      <c r="AUQ67" s="382"/>
      <c r="AUR67" s="382"/>
      <c r="AUS67" s="382"/>
      <c r="AUT67" s="382"/>
      <c r="AUU67" s="382"/>
      <c r="AUV67" s="382"/>
      <c r="AUW67" s="382"/>
      <c r="AUX67" s="382"/>
      <c r="AUY67" s="382"/>
      <c r="AUZ67" s="382"/>
      <c r="AVA67" s="382"/>
      <c r="AVB67" s="382"/>
      <c r="AVC67" s="382"/>
      <c r="AVD67" s="382"/>
      <c r="AVE67" s="382"/>
      <c r="AVF67" s="382"/>
      <c r="AVG67" s="382"/>
      <c r="AVH67" s="382"/>
      <c r="AVI67" s="382"/>
      <c r="AVJ67" s="382"/>
      <c r="AVK67" s="382"/>
      <c r="AVL67" s="382"/>
      <c r="AVM67" s="382"/>
      <c r="AVN67" s="382"/>
      <c r="AVO67" s="382"/>
      <c r="AVP67" s="382"/>
      <c r="AVQ67" s="382"/>
      <c r="AVR67" s="382"/>
      <c r="AVS67" s="382"/>
      <c r="AVT67" s="382"/>
      <c r="AVU67" s="382"/>
      <c r="AVV67" s="382"/>
      <c r="AVW67" s="382"/>
      <c r="AVX67" s="382"/>
      <c r="AVY67" s="382"/>
      <c r="AVZ67" s="382"/>
      <c r="AWA67" s="382"/>
      <c r="AWB67" s="382"/>
      <c r="AWC67" s="382"/>
      <c r="AWD67" s="382"/>
      <c r="AWE67" s="382"/>
      <c r="AWF67" s="382"/>
      <c r="AWG67" s="382"/>
      <c r="AWH67" s="382"/>
      <c r="AWI67" s="382"/>
      <c r="AWJ67" s="382"/>
      <c r="AWK67" s="382"/>
      <c r="AWL67" s="382"/>
      <c r="AWM67" s="382"/>
      <c r="AWN67" s="382"/>
      <c r="AWO67" s="382"/>
      <c r="AWP67" s="382"/>
      <c r="AWQ67" s="382"/>
      <c r="AWR67" s="382"/>
      <c r="AWS67" s="382"/>
      <c r="AWT67" s="382"/>
      <c r="AWU67" s="382"/>
      <c r="AWV67" s="382"/>
      <c r="AWW67" s="382"/>
      <c r="AWX67" s="382"/>
      <c r="AWY67" s="382"/>
      <c r="AWZ67" s="382"/>
      <c r="AXA67" s="382"/>
      <c r="AXB67" s="382"/>
      <c r="AXC67" s="382"/>
      <c r="AXD67" s="382"/>
      <c r="AXE67" s="382"/>
      <c r="AXF67" s="382"/>
      <c r="AXG67" s="382"/>
      <c r="AXH67" s="382"/>
      <c r="AXI67" s="382"/>
      <c r="AXJ67" s="382"/>
      <c r="AXK67" s="382"/>
      <c r="AXL67" s="382"/>
      <c r="AXM67" s="382"/>
      <c r="AXN67" s="382"/>
      <c r="AXO67" s="382"/>
      <c r="AXP67" s="382"/>
      <c r="AXQ67" s="382"/>
      <c r="AXR67" s="382"/>
      <c r="AXS67" s="382"/>
      <c r="AXT67" s="382"/>
      <c r="AXU67" s="382"/>
      <c r="AXV67" s="382"/>
      <c r="AXW67" s="382"/>
      <c r="AXX67" s="382"/>
      <c r="AXY67" s="382"/>
      <c r="AXZ67" s="382"/>
      <c r="AYA67" s="382"/>
      <c r="AYB67" s="382"/>
      <c r="AYC67" s="382"/>
      <c r="AYD67" s="382"/>
      <c r="AYE67" s="382"/>
      <c r="AYF67" s="382"/>
      <c r="AYG67" s="382"/>
      <c r="AYH67" s="382"/>
      <c r="AYI67" s="382"/>
      <c r="AYJ67" s="382"/>
      <c r="AYK67" s="382"/>
      <c r="AYL67" s="382"/>
      <c r="AYM67" s="382"/>
      <c r="AYN67" s="382"/>
      <c r="AYO67" s="382"/>
      <c r="AYP67" s="382"/>
      <c r="AYQ67" s="382"/>
      <c r="AYR67" s="382"/>
      <c r="AYS67" s="382"/>
      <c r="AYT67" s="382"/>
      <c r="AYU67" s="382"/>
      <c r="AYV67" s="382"/>
      <c r="AYW67" s="382"/>
      <c r="AYX67" s="382"/>
      <c r="AYY67" s="382"/>
      <c r="AYZ67" s="382"/>
      <c r="AZA67" s="382"/>
      <c r="AZB67" s="382"/>
      <c r="AZC67" s="382"/>
      <c r="AZD67" s="382"/>
      <c r="AZE67" s="382"/>
      <c r="AZF67" s="382"/>
      <c r="AZG67" s="382"/>
      <c r="AZH67" s="382"/>
      <c r="AZI67" s="382"/>
      <c r="AZJ67" s="382"/>
      <c r="AZK67" s="382"/>
      <c r="AZL67" s="382"/>
      <c r="AZM67" s="382"/>
      <c r="AZN67" s="382"/>
      <c r="AZO67" s="382"/>
      <c r="AZP67" s="382"/>
      <c r="AZQ67" s="382"/>
      <c r="AZR67" s="382"/>
      <c r="AZS67" s="382"/>
      <c r="AZT67" s="382"/>
      <c r="AZU67" s="382"/>
      <c r="AZV67" s="382"/>
      <c r="AZW67" s="382"/>
      <c r="AZX67" s="382"/>
      <c r="AZY67" s="382"/>
      <c r="AZZ67" s="382"/>
      <c r="BAA67" s="382"/>
      <c r="BAB67" s="382"/>
      <c r="BAC67" s="382"/>
      <c r="BAD67" s="382"/>
      <c r="BAE67" s="382"/>
      <c r="BAF67" s="382"/>
      <c r="BAG67" s="382"/>
      <c r="BAH67" s="382"/>
      <c r="BAI67" s="382"/>
      <c r="BAJ67" s="382"/>
      <c r="BAK67" s="382"/>
      <c r="BAL67" s="382"/>
      <c r="BAM67" s="382"/>
      <c r="BAN67" s="382"/>
      <c r="BAO67" s="382"/>
      <c r="BAP67" s="382"/>
      <c r="BAQ67" s="382"/>
      <c r="BAR67" s="382"/>
      <c r="BAS67" s="382"/>
      <c r="BAT67" s="382"/>
      <c r="BAU67" s="382"/>
      <c r="BAV67" s="382"/>
      <c r="BAW67" s="382"/>
      <c r="BAX67" s="382"/>
      <c r="BAY67" s="382"/>
      <c r="BAZ67" s="382"/>
      <c r="BBA67" s="382"/>
      <c r="BBB67" s="382"/>
      <c r="BBC67" s="382"/>
      <c r="BBD67" s="382"/>
      <c r="BBE67" s="382"/>
      <c r="BBF67" s="382"/>
      <c r="BBG67" s="382"/>
      <c r="BBH67" s="382"/>
      <c r="BBI67" s="382"/>
      <c r="BBJ67" s="382"/>
      <c r="BBK67" s="382"/>
      <c r="BBL67" s="382"/>
      <c r="BBM67" s="382"/>
      <c r="BBN67" s="382"/>
      <c r="BBO67" s="382"/>
      <c r="BBP67" s="382"/>
      <c r="BBQ67" s="382"/>
      <c r="BBR67" s="382"/>
      <c r="BBS67" s="382"/>
      <c r="BBT67" s="382"/>
      <c r="BBU67" s="382"/>
      <c r="BBV67" s="382"/>
      <c r="BBW67" s="382"/>
      <c r="BBX67" s="382"/>
      <c r="BBY67" s="382"/>
      <c r="BBZ67" s="382"/>
      <c r="BCA67" s="382"/>
      <c r="BCB67" s="382"/>
      <c r="BCC67" s="382"/>
      <c r="BCD67" s="382"/>
      <c r="BCE67" s="382"/>
      <c r="BCF67" s="382"/>
      <c r="BCG67" s="382"/>
      <c r="BCH67" s="382"/>
      <c r="BCI67" s="382"/>
      <c r="BCJ67" s="382"/>
      <c r="BCK67" s="382"/>
      <c r="BCL67" s="382"/>
      <c r="BCM67" s="382"/>
      <c r="BCN67" s="382"/>
      <c r="BCO67" s="382"/>
      <c r="BCP67" s="382"/>
      <c r="BCQ67" s="382"/>
      <c r="BCR67" s="382"/>
      <c r="BCS67" s="382"/>
      <c r="BCT67" s="382"/>
      <c r="BCU67" s="382"/>
      <c r="BCV67" s="382"/>
      <c r="BCW67" s="382"/>
      <c r="BCX67" s="382"/>
      <c r="BCY67" s="382"/>
      <c r="BCZ67" s="382"/>
      <c r="BDA67" s="382"/>
      <c r="BDB67" s="382"/>
      <c r="BDC67" s="382"/>
      <c r="BDD67" s="382"/>
      <c r="BDE67" s="382"/>
      <c r="BDF67" s="382"/>
      <c r="BDG67" s="382"/>
      <c r="BDH67" s="382"/>
      <c r="BDI67" s="382"/>
      <c r="BDJ67" s="382"/>
      <c r="BDK67" s="382"/>
      <c r="BDL67" s="382"/>
      <c r="BDM67" s="382"/>
      <c r="BDN67" s="382"/>
      <c r="BDO67" s="382"/>
      <c r="BDP67" s="382"/>
      <c r="BDQ67" s="382"/>
      <c r="BDR67" s="382"/>
      <c r="BDS67" s="382"/>
      <c r="BDT67" s="382"/>
      <c r="BDU67" s="382"/>
      <c r="BDV67" s="382"/>
      <c r="BDW67" s="382"/>
      <c r="BDX67" s="382"/>
      <c r="BDY67" s="382"/>
      <c r="BDZ67" s="382"/>
      <c r="BEA67" s="382"/>
      <c r="BEB67" s="382"/>
      <c r="BEC67" s="382"/>
      <c r="BED67" s="382"/>
      <c r="BEE67" s="382"/>
      <c r="BEF67" s="382"/>
      <c r="BEG67" s="382"/>
      <c r="BEH67" s="382"/>
      <c r="BEI67" s="382"/>
      <c r="BEJ67" s="382"/>
      <c r="BEK67" s="382"/>
      <c r="BEL67" s="382"/>
      <c r="BEM67" s="382"/>
      <c r="BEN67" s="382"/>
      <c r="BEO67" s="382"/>
      <c r="BEP67" s="382"/>
      <c r="BEQ67" s="382"/>
      <c r="BER67" s="382"/>
      <c r="BES67" s="382"/>
      <c r="BET67" s="382"/>
      <c r="BEU67" s="382"/>
      <c r="BEV67" s="382"/>
      <c r="BEW67" s="382"/>
      <c r="BEX67" s="382"/>
      <c r="BEY67" s="382"/>
      <c r="BEZ67" s="382"/>
      <c r="BFA67" s="382"/>
      <c r="BFB67" s="382"/>
      <c r="BFC67" s="382"/>
      <c r="BFD67" s="382"/>
      <c r="BFE67" s="382"/>
      <c r="BFF67" s="382"/>
      <c r="BFG67" s="382"/>
      <c r="BFH67" s="382"/>
      <c r="BFI67" s="382"/>
      <c r="BFJ67" s="382"/>
      <c r="BFK67" s="382"/>
      <c r="BFL67" s="382"/>
      <c r="BFM67" s="382"/>
      <c r="BFN67" s="382"/>
      <c r="BFO67" s="382"/>
      <c r="BFP67" s="382"/>
      <c r="BFQ67" s="382"/>
      <c r="BFR67" s="382"/>
      <c r="BFS67" s="382"/>
      <c r="BFT67" s="382"/>
      <c r="BFU67" s="382"/>
      <c r="BFV67" s="382"/>
      <c r="BFW67" s="382"/>
      <c r="BFX67" s="382"/>
      <c r="BFY67" s="382"/>
      <c r="BFZ67" s="382"/>
      <c r="BGA67" s="382"/>
      <c r="BGB67" s="382"/>
      <c r="BGC67" s="382"/>
      <c r="BGD67" s="382"/>
      <c r="BGE67" s="382"/>
      <c r="BGF67" s="382"/>
      <c r="BGG67" s="382"/>
      <c r="BGH67" s="382"/>
      <c r="BGI67" s="382"/>
      <c r="BGJ67" s="382"/>
      <c r="BGK67" s="382"/>
      <c r="BGL67" s="382"/>
      <c r="BGM67" s="382"/>
      <c r="BGN67" s="382"/>
      <c r="BGO67" s="382"/>
      <c r="BGP67" s="382"/>
      <c r="BGQ67" s="382"/>
      <c r="BGR67" s="382"/>
      <c r="BGS67" s="382"/>
      <c r="BGT67" s="382"/>
      <c r="BGU67" s="382"/>
      <c r="BGV67" s="382"/>
      <c r="BGW67" s="382"/>
      <c r="BGX67" s="382"/>
      <c r="BGY67" s="382"/>
      <c r="BGZ67" s="382"/>
      <c r="BHA67" s="382"/>
      <c r="BHB67" s="382"/>
      <c r="BHC67" s="382"/>
      <c r="BHD67" s="382"/>
      <c r="BHE67" s="382"/>
      <c r="BHF67" s="382"/>
      <c r="BHG67" s="382"/>
      <c r="BHH67" s="382"/>
      <c r="BHI67" s="382"/>
      <c r="BHJ67" s="382"/>
      <c r="BHK67" s="382"/>
      <c r="BHL67" s="382"/>
      <c r="BHM67" s="382"/>
      <c r="BHN67" s="382"/>
      <c r="BHO67" s="382"/>
      <c r="BHP67" s="382"/>
      <c r="BHQ67" s="382"/>
      <c r="BHR67" s="382"/>
      <c r="BHS67" s="382"/>
      <c r="BHT67" s="382"/>
      <c r="BHU67" s="382"/>
      <c r="BHV67" s="382"/>
      <c r="BHW67" s="382"/>
      <c r="BHX67" s="382"/>
      <c r="BHY67" s="382"/>
      <c r="BHZ67" s="382"/>
      <c r="BIA67" s="382"/>
      <c r="BIB67" s="382"/>
      <c r="BIC67" s="382"/>
      <c r="BID67" s="382"/>
      <c r="BIE67" s="382"/>
      <c r="BIF67" s="382"/>
      <c r="BIG67" s="382"/>
      <c r="BIH67" s="382"/>
      <c r="BII67" s="382"/>
      <c r="BIJ67" s="382"/>
      <c r="BIK67" s="382"/>
      <c r="BIL67" s="382"/>
      <c r="BIM67" s="382"/>
      <c r="BIN67" s="382"/>
      <c r="BIO67" s="382"/>
      <c r="BIP67" s="382"/>
      <c r="BIQ67" s="382"/>
      <c r="BIR67" s="382"/>
      <c r="BIS67" s="382"/>
      <c r="BIT67" s="382"/>
      <c r="BIU67" s="382"/>
      <c r="BIV67" s="382"/>
      <c r="BIW67" s="382"/>
      <c r="BIX67" s="382"/>
      <c r="BIY67" s="382"/>
      <c r="BIZ67" s="382"/>
      <c r="BJA67" s="382"/>
      <c r="BJB67" s="382"/>
      <c r="BJC67" s="382"/>
      <c r="BJD67" s="382"/>
      <c r="BJE67" s="382"/>
      <c r="BJF67" s="382"/>
      <c r="BJG67" s="382"/>
      <c r="BJH67" s="382"/>
      <c r="BJI67" s="382"/>
      <c r="BJJ67" s="382"/>
      <c r="BJK67" s="382"/>
      <c r="BJL67" s="382"/>
      <c r="BJM67" s="382"/>
      <c r="BJN67" s="382"/>
      <c r="BJO67" s="382"/>
      <c r="BJP67" s="382"/>
      <c r="BJQ67" s="382"/>
      <c r="BJR67" s="382"/>
      <c r="BJS67" s="382"/>
      <c r="BJT67" s="382"/>
      <c r="BJU67" s="382"/>
      <c r="BJV67" s="382"/>
      <c r="BJW67" s="382"/>
      <c r="BJX67" s="382"/>
      <c r="BJY67" s="382"/>
      <c r="BJZ67" s="382"/>
      <c r="BKA67" s="382"/>
      <c r="BKB67" s="382"/>
      <c r="BKC67" s="382"/>
      <c r="BKD67" s="382"/>
      <c r="BKE67" s="382"/>
      <c r="BKF67" s="382"/>
      <c r="BKG67" s="382"/>
      <c r="BKH67" s="382"/>
      <c r="BKI67" s="382"/>
      <c r="BKJ67" s="382"/>
      <c r="BKK67" s="382"/>
      <c r="BKL67" s="382"/>
      <c r="BKM67" s="382"/>
      <c r="BKN67" s="382"/>
      <c r="BKO67" s="382"/>
      <c r="BKP67" s="382"/>
      <c r="BKQ67" s="382"/>
      <c r="BKR67" s="382"/>
      <c r="BKS67" s="382"/>
      <c r="BKT67" s="382"/>
      <c r="BKU67" s="382"/>
      <c r="BKV67" s="382"/>
      <c r="BKW67" s="382"/>
      <c r="BKX67" s="382"/>
      <c r="BKY67" s="382"/>
      <c r="BKZ67" s="382"/>
      <c r="BLA67" s="382"/>
      <c r="BLB67" s="382"/>
      <c r="BLC67" s="382"/>
      <c r="BLD67" s="382"/>
      <c r="BLE67" s="382"/>
      <c r="BLF67" s="382"/>
      <c r="BLG67" s="382"/>
      <c r="BLH67" s="382"/>
      <c r="BLI67" s="382"/>
      <c r="BLJ67" s="382"/>
      <c r="BLK67" s="382"/>
      <c r="BLL67" s="382"/>
      <c r="BLM67" s="382"/>
      <c r="BLN67" s="382"/>
      <c r="BLO67" s="382"/>
      <c r="BLP67" s="382"/>
      <c r="BLQ67" s="382"/>
      <c r="BLR67" s="382"/>
      <c r="BLS67" s="382"/>
      <c r="BLT67" s="382"/>
      <c r="BLU67" s="382"/>
      <c r="BLV67" s="382"/>
      <c r="BLW67" s="382"/>
      <c r="BLX67" s="382"/>
      <c r="BLY67" s="382"/>
      <c r="BLZ67" s="382"/>
      <c r="BMA67" s="382"/>
      <c r="BMB67" s="382"/>
      <c r="BMC67" s="382"/>
      <c r="BMD67" s="382"/>
      <c r="BME67" s="382"/>
      <c r="BMF67" s="382"/>
      <c r="BMG67" s="382"/>
      <c r="BMH67" s="382"/>
      <c r="BMI67" s="382"/>
      <c r="BMJ67" s="382"/>
      <c r="BMK67" s="382"/>
      <c r="BML67" s="382"/>
      <c r="BMM67" s="382"/>
      <c r="BMN67" s="382"/>
      <c r="BMO67" s="382"/>
      <c r="BMP67" s="382"/>
      <c r="BMQ67" s="382"/>
      <c r="BMR67" s="382"/>
      <c r="BMS67" s="382"/>
      <c r="BMT67" s="382"/>
      <c r="BMU67" s="382"/>
      <c r="BMV67" s="382"/>
      <c r="BMW67" s="382"/>
      <c r="BMX67" s="382"/>
      <c r="BMY67" s="382"/>
      <c r="BMZ67" s="382"/>
      <c r="BNA67" s="382"/>
      <c r="BNB67" s="382"/>
      <c r="BNC67" s="382"/>
      <c r="BND67" s="382"/>
      <c r="BNE67" s="382"/>
      <c r="BNF67" s="382"/>
      <c r="BNG67" s="382"/>
      <c r="BNH67" s="382"/>
      <c r="BNI67" s="382"/>
      <c r="BNJ67" s="382"/>
      <c r="BNK67" s="382"/>
      <c r="BNL67" s="382"/>
      <c r="BNM67" s="382"/>
      <c r="BNN67" s="382"/>
      <c r="BNO67" s="382"/>
      <c r="BNP67" s="382"/>
      <c r="BNQ67" s="382"/>
      <c r="BNR67" s="382"/>
      <c r="BNS67" s="382"/>
      <c r="BNT67" s="382"/>
      <c r="BNU67" s="382"/>
      <c r="BNV67" s="382"/>
      <c r="BNW67" s="382"/>
      <c r="BNX67" s="382"/>
      <c r="BNY67" s="382"/>
      <c r="BNZ67" s="382"/>
      <c r="BOA67" s="382"/>
      <c r="BOB67" s="382"/>
      <c r="BOC67" s="382"/>
      <c r="BOD67" s="382"/>
      <c r="BOE67" s="382"/>
      <c r="BOF67" s="382"/>
      <c r="BOG67" s="382"/>
      <c r="BOH67" s="382"/>
      <c r="BOI67" s="382"/>
      <c r="BOJ67" s="382"/>
      <c r="BOK67" s="382"/>
      <c r="BOL67" s="382"/>
      <c r="BOM67" s="382"/>
      <c r="BON67" s="382"/>
      <c r="BOO67" s="382"/>
      <c r="BOP67" s="382"/>
      <c r="BOQ67" s="382"/>
      <c r="BOR67" s="382"/>
      <c r="BOS67" s="382"/>
      <c r="BOT67" s="382"/>
      <c r="BOU67" s="382"/>
      <c r="BOV67" s="382"/>
      <c r="BOW67" s="382"/>
      <c r="BOX67" s="382"/>
      <c r="BOY67" s="382"/>
      <c r="BOZ67" s="382"/>
      <c r="BPA67" s="382"/>
      <c r="BPB67" s="382"/>
      <c r="BPC67" s="382"/>
      <c r="BPD67" s="382"/>
      <c r="BPE67" s="382"/>
      <c r="BPF67" s="382"/>
      <c r="BPG67" s="382"/>
      <c r="BPH67" s="382"/>
      <c r="BPI67" s="382"/>
      <c r="BPJ67" s="382"/>
      <c r="BPK67" s="382"/>
      <c r="BPL67" s="382"/>
      <c r="BPM67" s="382"/>
      <c r="BPN67" s="382"/>
      <c r="BPO67" s="382"/>
      <c r="BPP67" s="382"/>
      <c r="BPQ67" s="382"/>
      <c r="BPR67" s="382"/>
      <c r="BPS67" s="382"/>
      <c r="BPT67" s="382"/>
      <c r="BPU67" s="382"/>
      <c r="BPV67" s="382"/>
      <c r="BPW67" s="382"/>
      <c r="BPX67" s="382"/>
      <c r="BPY67" s="382"/>
      <c r="BPZ67" s="382"/>
      <c r="BQA67" s="382"/>
      <c r="BQB67" s="382"/>
      <c r="BQC67" s="382"/>
      <c r="BQD67" s="382"/>
      <c r="BQE67" s="382"/>
      <c r="BQF67" s="382"/>
      <c r="BQG67" s="382"/>
      <c r="BQH67" s="382"/>
      <c r="BQI67" s="382"/>
      <c r="BQJ67" s="382"/>
      <c r="BQK67" s="382"/>
      <c r="BQL67" s="382"/>
      <c r="BQM67" s="382"/>
      <c r="BQN67" s="382"/>
      <c r="BQO67" s="382"/>
      <c r="BQP67" s="382"/>
      <c r="BQQ67" s="382"/>
      <c r="BQR67" s="382"/>
      <c r="BQS67" s="382"/>
      <c r="BQT67" s="382"/>
      <c r="BQU67" s="382"/>
      <c r="BQV67" s="382"/>
      <c r="BQW67" s="382"/>
      <c r="BQX67" s="382"/>
      <c r="BQY67" s="382"/>
      <c r="BQZ67" s="382"/>
      <c r="BRA67" s="382"/>
      <c r="BRB67" s="382"/>
      <c r="BRC67" s="382"/>
      <c r="BRD67" s="382"/>
      <c r="BRE67" s="382"/>
      <c r="BRF67" s="382"/>
      <c r="BRG67" s="382"/>
      <c r="BRH67" s="382"/>
      <c r="BRI67" s="382"/>
      <c r="BRJ67" s="382"/>
      <c r="BRK67" s="382"/>
      <c r="BRL67" s="382"/>
      <c r="BRM67" s="382"/>
      <c r="BRN67" s="382"/>
      <c r="BRO67" s="382"/>
      <c r="BRP67" s="382"/>
      <c r="BRQ67" s="382"/>
      <c r="BRR67" s="382"/>
      <c r="BRS67" s="382"/>
      <c r="BRT67" s="382"/>
      <c r="BRU67" s="382"/>
      <c r="BRV67" s="382"/>
      <c r="BRW67" s="382"/>
      <c r="BRX67" s="382"/>
      <c r="BRY67" s="382"/>
      <c r="BRZ67" s="382"/>
      <c r="BSA67" s="382"/>
      <c r="BSB67" s="382"/>
      <c r="BSC67" s="382"/>
      <c r="BSD67" s="382"/>
      <c r="BSE67" s="382"/>
      <c r="BSF67" s="382"/>
      <c r="BSG67" s="382"/>
      <c r="BSH67" s="382"/>
      <c r="BSI67" s="382"/>
      <c r="BSJ67" s="382"/>
      <c r="BSK67" s="382"/>
      <c r="BSL67" s="382"/>
      <c r="BSM67" s="382"/>
      <c r="BSN67" s="382"/>
      <c r="BSO67" s="382"/>
      <c r="BSP67" s="382"/>
      <c r="BSQ67" s="382"/>
      <c r="BSR67" s="382"/>
      <c r="BSS67" s="382"/>
      <c r="BST67" s="382"/>
      <c r="BSU67" s="382"/>
      <c r="BSV67" s="382"/>
      <c r="BSW67" s="382"/>
      <c r="BSX67" s="382"/>
      <c r="BSY67" s="382"/>
      <c r="BSZ67" s="382"/>
      <c r="BTA67" s="382"/>
      <c r="BTB67" s="382"/>
      <c r="BTC67" s="382"/>
      <c r="BTD67" s="382"/>
      <c r="BTE67" s="382"/>
      <c r="BTF67" s="382"/>
      <c r="BTG67" s="382"/>
      <c r="BTH67" s="382"/>
      <c r="BTI67" s="382"/>
      <c r="BTJ67" s="382"/>
      <c r="BTK67" s="382"/>
      <c r="BTL67" s="382"/>
      <c r="BTM67" s="382"/>
      <c r="BTN67" s="382"/>
      <c r="BTO67" s="382"/>
      <c r="BTP67" s="382"/>
      <c r="BTQ67" s="382"/>
      <c r="BTR67" s="382"/>
      <c r="BTS67" s="382"/>
      <c r="BTT67" s="382"/>
      <c r="BTU67" s="382"/>
      <c r="BTV67" s="382"/>
      <c r="BTW67" s="382"/>
      <c r="BTX67" s="382"/>
      <c r="BTY67" s="382"/>
      <c r="BTZ67" s="382"/>
      <c r="BUA67" s="382"/>
      <c r="BUB67" s="382"/>
      <c r="BUC67" s="382"/>
      <c r="BUD67" s="382"/>
      <c r="BUE67" s="382"/>
      <c r="BUF67" s="382"/>
      <c r="BUG67" s="382"/>
      <c r="BUH67" s="382"/>
      <c r="BUI67" s="382"/>
      <c r="BUJ67" s="382"/>
      <c r="BUK67" s="382"/>
      <c r="BUL67" s="382"/>
      <c r="BUM67" s="382"/>
      <c r="BUN67" s="382"/>
      <c r="BUO67" s="382"/>
      <c r="BUP67" s="382"/>
      <c r="BUQ67" s="382"/>
      <c r="BUR67" s="382"/>
      <c r="BUS67" s="382"/>
      <c r="BUT67" s="382"/>
      <c r="BUU67" s="382"/>
      <c r="BUV67" s="382"/>
      <c r="BUW67" s="382"/>
      <c r="BUX67" s="382"/>
      <c r="BUY67" s="382"/>
      <c r="BUZ67" s="382"/>
      <c r="BVA67" s="382"/>
      <c r="BVB67" s="382"/>
      <c r="BVC67" s="382"/>
      <c r="BVD67" s="382"/>
      <c r="BVE67" s="382"/>
      <c r="BVF67" s="382"/>
      <c r="BVG67" s="382"/>
      <c r="BVH67" s="382"/>
      <c r="BVI67" s="382"/>
      <c r="BVJ67" s="382"/>
      <c r="BVK67" s="382"/>
      <c r="BVL67" s="382"/>
      <c r="BVM67" s="382"/>
      <c r="BVN67" s="382"/>
      <c r="BVO67" s="382"/>
      <c r="BVP67" s="382"/>
      <c r="BVQ67" s="382"/>
      <c r="BVR67" s="382"/>
      <c r="BVS67" s="382"/>
      <c r="BVT67" s="382"/>
      <c r="BVU67" s="382"/>
      <c r="BVV67" s="382"/>
      <c r="BVW67" s="382"/>
      <c r="BVX67" s="382"/>
      <c r="BVY67" s="382"/>
      <c r="BVZ67" s="382"/>
      <c r="BWA67" s="382"/>
      <c r="BWB67" s="382"/>
      <c r="BWC67" s="382"/>
      <c r="BWD67" s="382"/>
      <c r="BWE67" s="382"/>
      <c r="BWF67" s="382"/>
      <c r="BWG67" s="382"/>
      <c r="BWH67" s="382"/>
      <c r="BWI67" s="382"/>
      <c r="BWJ67" s="382"/>
      <c r="BWK67" s="382"/>
      <c r="BWL67" s="382"/>
      <c r="BWM67" s="382"/>
      <c r="BWN67" s="382"/>
      <c r="BWO67" s="382"/>
      <c r="BWP67" s="382"/>
      <c r="BWQ67" s="382"/>
      <c r="BWR67" s="382"/>
      <c r="BWS67" s="382"/>
      <c r="BWT67" s="382"/>
      <c r="BWU67" s="382"/>
      <c r="BWV67" s="382"/>
      <c r="BWW67" s="382"/>
      <c r="BWX67" s="382"/>
      <c r="BWY67" s="382"/>
      <c r="BWZ67" s="382"/>
      <c r="BXA67" s="382"/>
      <c r="BXB67" s="382"/>
      <c r="BXC67" s="382"/>
      <c r="BXD67" s="382"/>
      <c r="BXE67" s="382"/>
      <c r="BXF67" s="382"/>
      <c r="BXG67" s="382"/>
      <c r="BXH67" s="382"/>
      <c r="BXI67" s="382"/>
      <c r="BXJ67" s="382"/>
      <c r="BXK67" s="382"/>
      <c r="BXL67" s="382"/>
      <c r="BXM67" s="382"/>
      <c r="BXN67" s="382"/>
      <c r="BXO67" s="382"/>
      <c r="BXP67" s="382"/>
      <c r="BXQ67" s="382"/>
      <c r="BXR67" s="382"/>
      <c r="BXS67" s="382"/>
      <c r="BXT67" s="382"/>
      <c r="BXU67" s="382"/>
      <c r="BXV67" s="382"/>
      <c r="BXW67" s="382"/>
      <c r="BXX67" s="382"/>
      <c r="BXY67" s="382"/>
      <c r="BXZ67" s="382"/>
      <c r="BYA67" s="382"/>
      <c r="BYB67" s="382"/>
      <c r="BYC67" s="382"/>
      <c r="BYD67" s="382"/>
      <c r="BYE67" s="382"/>
      <c r="BYF67" s="382"/>
      <c r="BYG67" s="382"/>
      <c r="BYH67" s="382"/>
      <c r="BYI67" s="382"/>
      <c r="BYJ67" s="382"/>
      <c r="BYK67" s="382"/>
      <c r="BYL67" s="382"/>
      <c r="BYM67" s="382"/>
      <c r="BYN67" s="382"/>
      <c r="BYO67" s="382"/>
      <c r="BYP67" s="382"/>
      <c r="BYQ67" s="382"/>
      <c r="BYR67" s="382"/>
      <c r="BYS67" s="382"/>
      <c r="BYT67" s="382"/>
      <c r="BYU67" s="382"/>
      <c r="BYV67" s="382"/>
      <c r="BYW67" s="382"/>
      <c r="BYX67" s="382"/>
      <c r="BYY67" s="382"/>
      <c r="BYZ67" s="382"/>
      <c r="BZA67" s="382"/>
      <c r="BZB67" s="382"/>
      <c r="BZC67" s="382"/>
      <c r="BZD67" s="382"/>
      <c r="BZE67" s="382"/>
      <c r="BZF67" s="382"/>
      <c r="BZG67" s="382"/>
      <c r="BZH67" s="382"/>
      <c r="BZI67" s="382"/>
      <c r="BZJ67" s="382"/>
      <c r="BZK67" s="382"/>
      <c r="BZL67" s="382"/>
      <c r="BZM67" s="382"/>
      <c r="BZN67" s="382"/>
      <c r="BZO67" s="382"/>
      <c r="BZP67" s="382"/>
      <c r="BZQ67" s="382"/>
      <c r="BZR67" s="382"/>
      <c r="BZS67" s="382"/>
      <c r="BZT67" s="382"/>
      <c r="BZU67" s="382"/>
      <c r="BZV67" s="382"/>
      <c r="BZW67" s="382"/>
      <c r="BZX67" s="382"/>
      <c r="BZY67" s="382"/>
      <c r="BZZ67" s="382"/>
      <c r="CAA67" s="382"/>
      <c r="CAB67" s="382"/>
      <c r="CAC67" s="382"/>
      <c r="CAD67" s="382"/>
      <c r="CAE67" s="382"/>
      <c r="CAF67" s="382"/>
      <c r="CAG67" s="382"/>
      <c r="CAH67" s="382"/>
      <c r="CAI67" s="382"/>
      <c r="CAJ67" s="382"/>
      <c r="CAK67" s="382"/>
      <c r="CAL67" s="382"/>
      <c r="CAM67" s="382"/>
      <c r="CAN67" s="382"/>
      <c r="CAO67" s="382"/>
      <c r="CAP67" s="382"/>
      <c r="CAQ67" s="382"/>
      <c r="CAR67" s="382"/>
      <c r="CAS67" s="382"/>
      <c r="CAT67" s="382"/>
      <c r="CAU67" s="382"/>
      <c r="CAV67" s="382"/>
      <c r="CAW67" s="382"/>
      <c r="CAX67" s="382"/>
      <c r="CAY67" s="382"/>
      <c r="CAZ67" s="382"/>
      <c r="CBA67" s="382"/>
      <c r="CBB67" s="382"/>
      <c r="CBC67" s="382"/>
      <c r="CBD67" s="382"/>
      <c r="CBE67" s="382"/>
      <c r="CBF67" s="382"/>
      <c r="CBG67" s="382"/>
      <c r="CBH67" s="382"/>
      <c r="CBI67" s="382"/>
      <c r="CBJ67" s="382"/>
      <c r="CBK67" s="382"/>
      <c r="CBL67" s="382"/>
      <c r="CBM67" s="382"/>
      <c r="CBN67" s="382"/>
      <c r="CBO67" s="382"/>
      <c r="CBP67" s="382"/>
      <c r="CBQ67" s="382"/>
      <c r="CBR67" s="382"/>
      <c r="CBS67" s="382"/>
      <c r="CBT67" s="382"/>
      <c r="CBU67" s="382"/>
      <c r="CBV67" s="382"/>
      <c r="CBW67" s="382"/>
      <c r="CBX67" s="382"/>
      <c r="CBY67" s="382"/>
      <c r="CBZ67" s="382"/>
      <c r="CCA67" s="382"/>
      <c r="CCB67" s="382"/>
      <c r="CCC67" s="382"/>
      <c r="CCD67" s="382"/>
      <c r="CCE67" s="382"/>
      <c r="CCF67" s="382"/>
      <c r="CCG67" s="382"/>
      <c r="CCH67" s="382"/>
      <c r="CCI67" s="382"/>
      <c r="CCJ67" s="382"/>
      <c r="CCK67" s="382"/>
      <c r="CCL67" s="382"/>
      <c r="CCM67" s="382"/>
      <c r="CCN67" s="382"/>
      <c r="CCO67" s="382"/>
      <c r="CCP67" s="382"/>
      <c r="CCQ67" s="382"/>
      <c r="CCR67" s="382"/>
      <c r="CCS67" s="382"/>
      <c r="CCT67" s="382"/>
      <c r="CCU67" s="382"/>
      <c r="CCV67" s="382"/>
      <c r="CCW67" s="382"/>
      <c r="CCX67" s="382"/>
      <c r="CCY67" s="382"/>
      <c r="CCZ67" s="382"/>
      <c r="CDA67" s="382"/>
      <c r="CDB67" s="382"/>
      <c r="CDC67" s="382"/>
      <c r="CDD67" s="382"/>
      <c r="CDE67" s="382"/>
      <c r="CDF67" s="382"/>
      <c r="CDG67" s="382"/>
      <c r="CDH67" s="382"/>
      <c r="CDI67" s="382"/>
      <c r="CDJ67" s="382"/>
      <c r="CDK67" s="382"/>
      <c r="CDL67" s="382"/>
      <c r="CDM67" s="382"/>
      <c r="CDN67" s="382"/>
      <c r="CDO67" s="382"/>
      <c r="CDP67" s="382"/>
      <c r="CDQ67" s="382"/>
      <c r="CDR67" s="382"/>
      <c r="CDS67" s="382"/>
      <c r="CDT67" s="382"/>
      <c r="CDU67" s="382"/>
      <c r="CDV67" s="382"/>
      <c r="CDW67" s="382"/>
      <c r="CDX67" s="382"/>
      <c r="CDY67" s="382"/>
      <c r="CDZ67" s="382"/>
      <c r="CEA67" s="382"/>
      <c r="CEB67" s="382"/>
      <c r="CEC67" s="382"/>
      <c r="CED67" s="382"/>
      <c r="CEE67" s="382"/>
      <c r="CEF67" s="382"/>
      <c r="CEG67" s="382"/>
      <c r="CEH67" s="382"/>
      <c r="CEI67" s="382"/>
      <c r="CEJ67" s="382"/>
      <c r="CEK67" s="382"/>
      <c r="CEL67" s="382"/>
      <c r="CEM67" s="382"/>
      <c r="CEN67" s="382"/>
      <c r="CEO67" s="382"/>
      <c r="CEP67" s="382"/>
      <c r="CEQ67" s="382"/>
      <c r="CER67" s="382"/>
      <c r="CES67" s="382"/>
      <c r="CET67" s="382"/>
      <c r="CEU67" s="382"/>
      <c r="CEV67" s="382"/>
      <c r="CEW67" s="382"/>
      <c r="CEX67" s="382"/>
      <c r="CEY67" s="382"/>
      <c r="CEZ67" s="382"/>
      <c r="CFA67" s="382"/>
      <c r="CFB67" s="382"/>
      <c r="CFC67" s="382"/>
      <c r="CFD67" s="382"/>
      <c r="CFE67" s="382"/>
      <c r="CFF67" s="382"/>
      <c r="CFG67" s="382"/>
      <c r="CFH67" s="382"/>
      <c r="CFI67" s="382"/>
      <c r="CFJ67" s="382"/>
      <c r="CFK67" s="382"/>
      <c r="CFL67" s="382"/>
      <c r="CFM67" s="382"/>
      <c r="CFN67" s="382"/>
      <c r="CFO67" s="382"/>
      <c r="CFP67" s="382"/>
      <c r="CFQ67" s="382"/>
      <c r="CFR67" s="382"/>
      <c r="CFS67" s="382"/>
      <c r="CFT67" s="382"/>
      <c r="CFU67" s="382"/>
      <c r="CFV67" s="382"/>
      <c r="CFW67" s="382"/>
      <c r="CFX67" s="382"/>
      <c r="CFY67" s="382"/>
      <c r="CFZ67" s="382"/>
      <c r="CGA67" s="382"/>
      <c r="CGB67" s="382"/>
      <c r="CGC67" s="382"/>
      <c r="CGD67" s="382"/>
      <c r="CGE67" s="382"/>
      <c r="CGF67" s="382"/>
      <c r="CGG67" s="382"/>
      <c r="CGH67" s="382"/>
      <c r="CGI67" s="382"/>
      <c r="CGJ67" s="382"/>
      <c r="CGK67" s="382"/>
      <c r="CGL67" s="382"/>
      <c r="CGM67" s="382"/>
      <c r="CGN67" s="382"/>
      <c r="CGO67" s="382"/>
      <c r="CGP67" s="382"/>
      <c r="CGQ67" s="382"/>
      <c r="CGR67" s="382"/>
      <c r="CGS67" s="382"/>
      <c r="CGT67" s="382"/>
      <c r="CGU67" s="382"/>
      <c r="CGV67" s="382"/>
      <c r="CGW67" s="382"/>
      <c r="CGX67" s="382"/>
      <c r="CGY67" s="382"/>
      <c r="CGZ67" s="382"/>
      <c r="CHA67" s="382"/>
      <c r="CHB67" s="382"/>
      <c r="CHC67" s="382"/>
      <c r="CHD67" s="382"/>
      <c r="CHE67" s="382"/>
      <c r="CHF67" s="382"/>
      <c r="CHG67" s="382"/>
      <c r="CHH67" s="382"/>
      <c r="CHI67" s="382"/>
      <c r="CHJ67" s="382"/>
      <c r="CHK67" s="382"/>
      <c r="CHL67" s="382"/>
      <c r="CHM67" s="382"/>
      <c r="CHN67" s="382"/>
      <c r="CHO67" s="382"/>
      <c r="CHP67" s="382"/>
      <c r="CHQ67" s="382"/>
      <c r="CHR67" s="382"/>
      <c r="CHS67" s="382"/>
      <c r="CHT67" s="382"/>
      <c r="CHU67" s="382"/>
      <c r="CHV67" s="382"/>
      <c r="CHW67" s="382"/>
      <c r="CHX67" s="382"/>
      <c r="CHY67" s="382"/>
      <c r="CHZ67" s="382"/>
      <c r="CIA67" s="382"/>
      <c r="CIB67" s="382"/>
      <c r="CIC67" s="382"/>
      <c r="CID67" s="382"/>
      <c r="CIE67" s="382"/>
      <c r="CIF67" s="382"/>
      <c r="CIG67" s="382"/>
      <c r="CIH67" s="382"/>
      <c r="CII67" s="382"/>
      <c r="CIJ67" s="382"/>
      <c r="CIK67" s="382"/>
      <c r="CIL67" s="382"/>
      <c r="CIM67" s="382"/>
      <c r="CIN67" s="382"/>
      <c r="CIO67" s="382"/>
      <c r="CIP67" s="382"/>
      <c r="CIQ67" s="382"/>
      <c r="CIR67" s="382"/>
      <c r="CIS67" s="382"/>
      <c r="CIT67" s="382"/>
      <c r="CIU67" s="382"/>
      <c r="CIV67" s="382"/>
      <c r="CIW67" s="382"/>
      <c r="CIX67" s="382"/>
      <c r="CIY67" s="382"/>
      <c r="CIZ67" s="382"/>
      <c r="CJA67" s="382"/>
      <c r="CJB67" s="382"/>
      <c r="CJC67" s="382"/>
      <c r="CJD67" s="382"/>
      <c r="CJE67" s="382"/>
      <c r="CJF67" s="382"/>
      <c r="CJG67" s="382"/>
      <c r="CJH67" s="382"/>
      <c r="CJI67" s="382"/>
      <c r="CJJ67" s="382"/>
      <c r="CJK67" s="382"/>
      <c r="CJL67" s="382"/>
      <c r="CJM67" s="382"/>
      <c r="CJN67" s="382"/>
      <c r="CJO67" s="382"/>
      <c r="CJP67" s="382"/>
      <c r="CJQ67" s="382"/>
      <c r="CJR67" s="382"/>
      <c r="CJS67" s="382"/>
      <c r="CJT67" s="382"/>
      <c r="CJU67" s="382"/>
      <c r="CJV67" s="382"/>
      <c r="CJW67" s="382"/>
      <c r="CJX67" s="382"/>
      <c r="CJY67" s="382"/>
      <c r="CJZ67" s="382"/>
      <c r="CKA67" s="382"/>
      <c r="CKB67" s="382"/>
      <c r="CKC67" s="382"/>
      <c r="CKD67" s="382"/>
      <c r="CKE67" s="382"/>
      <c r="CKF67" s="382"/>
      <c r="CKG67" s="382"/>
      <c r="CKH67" s="382"/>
      <c r="CKI67" s="382"/>
      <c r="CKJ67" s="382"/>
      <c r="CKK67" s="382"/>
      <c r="CKL67" s="382"/>
      <c r="CKM67" s="382"/>
      <c r="CKN67" s="382"/>
      <c r="CKO67" s="382"/>
      <c r="CKP67" s="382"/>
      <c r="CKQ67" s="382"/>
      <c r="CKR67" s="382"/>
      <c r="CKS67" s="382"/>
      <c r="CKT67" s="382"/>
      <c r="CKU67" s="382"/>
      <c r="CKV67" s="382"/>
      <c r="CKW67" s="382"/>
      <c r="CKX67" s="382"/>
      <c r="CKY67" s="382"/>
      <c r="CKZ67" s="382"/>
      <c r="CLA67" s="382"/>
      <c r="CLB67" s="382"/>
      <c r="CLC67" s="382"/>
      <c r="CLD67" s="382"/>
      <c r="CLE67" s="382"/>
      <c r="CLF67" s="382"/>
      <c r="CLG67" s="382"/>
      <c r="CLH67" s="382"/>
      <c r="CLI67" s="382"/>
      <c r="CLJ67" s="382"/>
      <c r="CLK67" s="382"/>
      <c r="CLL67" s="382"/>
      <c r="CLM67" s="382"/>
      <c r="CLN67" s="382"/>
      <c r="CLO67" s="382"/>
      <c r="CLP67" s="382"/>
      <c r="CLQ67" s="382"/>
      <c r="CLR67" s="382"/>
      <c r="CLS67" s="382"/>
      <c r="CLT67" s="382"/>
      <c r="CLU67" s="382"/>
      <c r="CLV67" s="382"/>
      <c r="CLW67" s="382"/>
      <c r="CLX67" s="382"/>
      <c r="CLY67" s="382"/>
      <c r="CLZ67" s="382"/>
      <c r="CMA67" s="382"/>
      <c r="CMB67" s="382"/>
      <c r="CMC67" s="382"/>
      <c r="CMD67" s="382"/>
      <c r="CME67" s="382"/>
      <c r="CMF67" s="382"/>
      <c r="CMG67" s="382"/>
      <c r="CMH67" s="382"/>
      <c r="CMI67" s="382"/>
      <c r="CMJ67" s="382"/>
      <c r="CMK67" s="382"/>
      <c r="CML67" s="382"/>
      <c r="CMM67" s="382"/>
      <c r="CMN67" s="382"/>
      <c r="CMO67" s="382"/>
      <c r="CMP67" s="382"/>
      <c r="CMQ67" s="382"/>
      <c r="CMR67" s="382"/>
      <c r="CMS67" s="382"/>
      <c r="CMT67" s="382"/>
      <c r="CMU67" s="382"/>
      <c r="CMV67" s="382"/>
      <c r="CMW67" s="382"/>
      <c r="CMX67" s="382"/>
      <c r="CMY67" s="382"/>
      <c r="CMZ67" s="382"/>
      <c r="CNA67" s="382"/>
      <c r="CNB67" s="382"/>
      <c r="CNC67" s="382"/>
      <c r="CND67" s="382"/>
      <c r="CNE67" s="382"/>
      <c r="CNF67" s="382"/>
      <c r="CNG67" s="382"/>
      <c r="CNH67" s="382"/>
      <c r="CNI67" s="382"/>
      <c r="CNJ67" s="382"/>
      <c r="CNK67" s="382"/>
      <c r="CNL67" s="382"/>
      <c r="CNM67" s="382"/>
      <c r="CNN67" s="382"/>
      <c r="CNO67" s="382"/>
      <c r="CNP67" s="382"/>
      <c r="CNQ67" s="382"/>
      <c r="CNR67" s="382"/>
      <c r="CNS67" s="382"/>
      <c r="CNT67" s="382"/>
      <c r="CNU67" s="382"/>
      <c r="CNV67" s="382"/>
      <c r="CNW67" s="382"/>
      <c r="CNX67" s="382"/>
      <c r="CNY67" s="382"/>
      <c r="CNZ67" s="382"/>
      <c r="COA67" s="382"/>
      <c r="COB67" s="382"/>
      <c r="COC67" s="382"/>
      <c r="COD67" s="382"/>
      <c r="COE67" s="382"/>
      <c r="COF67" s="382"/>
      <c r="COG67" s="382"/>
      <c r="COH67" s="382"/>
      <c r="COI67" s="382"/>
      <c r="COJ67" s="382"/>
      <c r="COK67" s="382"/>
      <c r="COL67" s="382"/>
      <c r="COM67" s="382"/>
      <c r="CON67" s="382"/>
      <c r="COO67" s="382"/>
      <c r="COP67" s="382"/>
      <c r="COQ67" s="382"/>
      <c r="COR67" s="382"/>
      <c r="COS67" s="382"/>
      <c r="COT67" s="382"/>
      <c r="COU67" s="382"/>
      <c r="COV67" s="382"/>
      <c r="COW67" s="382"/>
      <c r="COX67" s="382"/>
      <c r="COY67" s="382"/>
      <c r="COZ67" s="382"/>
      <c r="CPA67" s="382"/>
      <c r="CPB67" s="382"/>
      <c r="CPC67" s="382"/>
      <c r="CPD67" s="382"/>
      <c r="CPE67" s="382"/>
      <c r="CPF67" s="382"/>
      <c r="CPG67" s="382"/>
      <c r="CPH67" s="382"/>
      <c r="CPI67" s="382"/>
      <c r="CPJ67" s="382"/>
      <c r="CPK67" s="382"/>
      <c r="CPL67" s="382"/>
      <c r="CPM67" s="382"/>
      <c r="CPN67" s="382"/>
      <c r="CPO67" s="382"/>
      <c r="CPP67" s="382"/>
      <c r="CPQ67" s="382"/>
      <c r="CPR67" s="382"/>
      <c r="CPS67" s="382"/>
      <c r="CPT67" s="382"/>
      <c r="CPU67" s="382"/>
      <c r="CPV67" s="382"/>
      <c r="CPW67" s="382"/>
      <c r="CPX67" s="382"/>
      <c r="CPY67" s="382"/>
      <c r="CPZ67" s="382"/>
      <c r="CQA67" s="382"/>
      <c r="CQB67" s="382"/>
      <c r="CQC67" s="382"/>
      <c r="CQD67" s="382"/>
      <c r="CQE67" s="382"/>
      <c r="CQF67" s="382"/>
      <c r="CQG67" s="382"/>
      <c r="CQH67" s="382"/>
      <c r="CQI67" s="382"/>
      <c r="CQJ67" s="382"/>
      <c r="CQK67" s="382"/>
      <c r="CQL67" s="382"/>
      <c r="CQM67" s="382"/>
      <c r="CQN67" s="382"/>
      <c r="CQO67" s="382"/>
      <c r="CQP67" s="382"/>
      <c r="CQQ67" s="382"/>
      <c r="CQR67" s="382"/>
      <c r="CQS67" s="382"/>
      <c r="CQT67" s="382"/>
      <c r="CQU67" s="382"/>
      <c r="CQV67" s="382"/>
      <c r="CQW67" s="382"/>
      <c r="CQX67" s="382"/>
      <c r="CQY67" s="382"/>
      <c r="CQZ67" s="382"/>
      <c r="CRA67" s="382"/>
      <c r="CRB67" s="382"/>
      <c r="CRC67" s="382"/>
      <c r="CRD67" s="382"/>
      <c r="CRE67" s="382"/>
      <c r="CRF67" s="382"/>
      <c r="CRG67" s="382"/>
      <c r="CRH67" s="382"/>
      <c r="CRI67" s="382"/>
      <c r="CRJ67" s="382"/>
      <c r="CRK67" s="382"/>
      <c r="CRL67" s="382"/>
      <c r="CRM67" s="382"/>
      <c r="CRN67" s="382"/>
      <c r="CRO67" s="382"/>
      <c r="CRP67" s="382"/>
      <c r="CRQ67" s="382"/>
      <c r="CRR67" s="382"/>
      <c r="CRS67" s="382"/>
      <c r="CRT67" s="382"/>
      <c r="CRU67" s="382"/>
      <c r="CRV67" s="382"/>
      <c r="CRW67" s="382"/>
      <c r="CRX67" s="382"/>
      <c r="CRY67" s="382"/>
      <c r="CRZ67" s="382"/>
      <c r="CSA67" s="382"/>
      <c r="CSB67" s="382"/>
      <c r="CSC67" s="382"/>
      <c r="CSD67" s="382"/>
      <c r="CSE67" s="382"/>
      <c r="CSF67" s="382"/>
      <c r="CSG67" s="382"/>
      <c r="CSH67" s="382"/>
      <c r="CSI67" s="382"/>
      <c r="CSJ67" s="382"/>
      <c r="CSK67" s="382"/>
      <c r="CSL67" s="382"/>
      <c r="CSM67" s="382"/>
      <c r="CSN67" s="382"/>
      <c r="CSO67" s="382"/>
      <c r="CSP67" s="382"/>
      <c r="CSQ67" s="382"/>
      <c r="CSR67" s="382"/>
      <c r="CSS67" s="382"/>
      <c r="CST67" s="382"/>
      <c r="CSU67" s="382"/>
      <c r="CSV67" s="382"/>
      <c r="CSW67" s="382"/>
      <c r="CSX67" s="382"/>
      <c r="CSY67" s="382"/>
      <c r="CSZ67" s="382"/>
      <c r="CTA67" s="382"/>
      <c r="CTB67" s="382"/>
      <c r="CTC67" s="382"/>
      <c r="CTD67" s="382"/>
      <c r="CTE67" s="382"/>
      <c r="CTF67" s="382"/>
      <c r="CTG67" s="382"/>
      <c r="CTH67" s="382"/>
      <c r="CTI67" s="382"/>
      <c r="CTJ67" s="382"/>
      <c r="CTK67" s="382"/>
      <c r="CTL67" s="382"/>
      <c r="CTM67" s="382"/>
      <c r="CTN67" s="382"/>
      <c r="CTO67" s="382"/>
      <c r="CTP67" s="382"/>
      <c r="CTQ67" s="382"/>
      <c r="CTR67" s="382"/>
      <c r="CTS67" s="382"/>
      <c r="CTT67" s="382"/>
      <c r="CTU67" s="382"/>
      <c r="CTV67" s="382"/>
      <c r="CTW67" s="382"/>
      <c r="CTX67" s="382"/>
      <c r="CTY67" s="382"/>
      <c r="CTZ67" s="382"/>
      <c r="CUA67" s="382"/>
      <c r="CUB67" s="382"/>
      <c r="CUC67" s="382"/>
      <c r="CUD67" s="382"/>
      <c r="CUE67" s="382"/>
      <c r="CUF67" s="382"/>
      <c r="CUG67" s="382"/>
      <c r="CUH67" s="382"/>
      <c r="CUI67" s="382"/>
      <c r="CUJ67" s="382"/>
      <c r="CUK67" s="382"/>
      <c r="CUL67" s="382"/>
      <c r="CUM67" s="382"/>
      <c r="CUN67" s="382"/>
      <c r="CUO67" s="382"/>
      <c r="CUP67" s="382"/>
      <c r="CUQ67" s="382"/>
      <c r="CUR67" s="382"/>
      <c r="CUS67" s="382"/>
      <c r="CUT67" s="382"/>
      <c r="CUU67" s="382"/>
      <c r="CUV67" s="382"/>
      <c r="CUW67" s="382"/>
      <c r="CUX67" s="382"/>
      <c r="CUY67" s="382"/>
      <c r="CUZ67" s="382"/>
      <c r="CVA67" s="382"/>
      <c r="CVB67" s="382"/>
      <c r="CVC67" s="382"/>
      <c r="CVD67" s="382"/>
      <c r="CVE67" s="382"/>
      <c r="CVF67" s="382"/>
      <c r="CVG67" s="382"/>
      <c r="CVH67" s="382"/>
      <c r="CVI67" s="382"/>
      <c r="CVJ67" s="382"/>
      <c r="CVK67" s="382"/>
      <c r="CVL67" s="382"/>
      <c r="CVM67" s="382"/>
      <c r="CVN67" s="382"/>
      <c r="CVO67" s="382"/>
      <c r="CVP67" s="382"/>
      <c r="CVQ67" s="382"/>
      <c r="CVR67" s="382"/>
      <c r="CVS67" s="382"/>
      <c r="CVT67" s="382"/>
      <c r="CVU67" s="382"/>
      <c r="CVV67" s="382"/>
      <c r="CVW67" s="382"/>
      <c r="CVX67" s="382"/>
      <c r="CVY67" s="382"/>
      <c r="CVZ67" s="382"/>
      <c r="CWA67" s="382"/>
      <c r="CWB67" s="382"/>
      <c r="CWC67" s="382"/>
      <c r="CWD67" s="382"/>
      <c r="CWE67" s="382"/>
      <c r="CWF67" s="382"/>
      <c r="CWG67" s="382"/>
      <c r="CWH67" s="382"/>
      <c r="CWI67" s="382"/>
      <c r="CWJ67" s="382"/>
      <c r="CWK67" s="382"/>
      <c r="CWL67" s="382"/>
      <c r="CWM67" s="382"/>
      <c r="CWN67" s="382"/>
      <c r="CWO67" s="382"/>
      <c r="CWP67" s="382"/>
      <c r="CWQ67" s="382"/>
      <c r="CWR67" s="382"/>
      <c r="CWS67" s="382"/>
      <c r="CWT67" s="382"/>
      <c r="CWU67" s="382"/>
      <c r="CWV67" s="382"/>
      <c r="CWW67" s="382"/>
      <c r="CWX67" s="382"/>
      <c r="CWY67" s="382"/>
      <c r="CWZ67" s="382"/>
      <c r="CXA67" s="382"/>
      <c r="CXB67" s="382"/>
      <c r="CXC67" s="382"/>
      <c r="CXD67" s="382"/>
      <c r="CXE67" s="382"/>
      <c r="CXF67" s="382"/>
      <c r="CXG67" s="382"/>
      <c r="CXH67" s="382"/>
      <c r="CXI67" s="382"/>
      <c r="CXJ67" s="382"/>
      <c r="CXK67" s="382"/>
      <c r="CXL67" s="382"/>
      <c r="CXM67" s="382"/>
      <c r="CXN67" s="382"/>
      <c r="CXO67" s="382"/>
      <c r="CXP67" s="382"/>
      <c r="CXQ67" s="382"/>
      <c r="CXR67" s="382"/>
      <c r="CXS67" s="382"/>
      <c r="CXT67" s="382"/>
      <c r="CXU67" s="382"/>
      <c r="CXV67" s="382"/>
      <c r="CXW67" s="382"/>
      <c r="CXX67" s="382"/>
      <c r="CXY67" s="382"/>
      <c r="CXZ67" s="382"/>
      <c r="CYA67" s="382"/>
      <c r="CYB67" s="382"/>
      <c r="CYC67" s="382"/>
      <c r="CYD67" s="382"/>
      <c r="CYE67" s="382"/>
      <c r="CYF67" s="382"/>
      <c r="CYG67" s="382"/>
      <c r="CYH67" s="382"/>
      <c r="CYI67" s="382"/>
      <c r="CYJ67" s="382"/>
      <c r="CYK67" s="382"/>
      <c r="CYL67" s="382"/>
      <c r="CYM67" s="382"/>
      <c r="CYN67" s="382"/>
      <c r="CYO67" s="382"/>
      <c r="CYP67" s="382"/>
      <c r="CYQ67" s="382"/>
      <c r="CYR67" s="382"/>
      <c r="CYS67" s="382"/>
      <c r="CYT67" s="382"/>
      <c r="CYU67" s="382"/>
      <c r="CYV67" s="382"/>
      <c r="CYW67" s="382"/>
      <c r="CYX67" s="382"/>
      <c r="CYY67" s="382"/>
      <c r="CYZ67" s="382"/>
      <c r="CZA67" s="382"/>
      <c r="CZB67" s="382"/>
      <c r="CZC67" s="382"/>
      <c r="CZD67" s="382"/>
      <c r="CZE67" s="382"/>
      <c r="CZF67" s="382"/>
      <c r="CZG67" s="382"/>
      <c r="CZH67" s="382"/>
      <c r="CZI67" s="382"/>
      <c r="CZJ67" s="382"/>
      <c r="CZK67" s="382"/>
      <c r="CZL67" s="382"/>
      <c r="CZM67" s="382"/>
      <c r="CZN67" s="382"/>
      <c r="CZO67" s="382"/>
      <c r="CZP67" s="382"/>
      <c r="CZQ67" s="382"/>
      <c r="CZR67" s="382"/>
      <c r="CZS67" s="382"/>
      <c r="CZT67" s="382"/>
      <c r="CZU67" s="382"/>
      <c r="CZV67" s="382"/>
      <c r="CZW67" s="382"/>
      <c r="CZX67" s="382"/>
      <c r="CZY67" s="382"/>
      <c r="CZZ67" s="382"/>
      <c r="DAA67" s="382"/>
      <c r="DAB67" s="382"/>
      <c r="DAC67" s="382"/>
      <c r="DAD67" s="382"/>
      <c r="DAE67" s="382"/>
      <c r="DAF67" s="382"/>
      <c r="DAG67" s="382"/>
      <c r="DAH67" s="382"/>
      <c r="DAI67" s="382"/>
      <c r="DAJ67" s="382"/>
      <c r="DAK67" s="382"/>
      <c r="DAL67" s="382"/>
      <c r="DAM67" s="382"/>
      <c r="DAN67" s="382"/>
      <c r="DAO67" s="382"/>
      <c r="DAP67" s="382"/>
      <c r="DAQ67" s="382"/>
      <c r="DAR67" s="382"/>
      <c r="DAS67" s="382"/>
      <c r="DAT67" s="382"/>
      <c r="DAU67" s="382"/>
      <c r="DAV67" s="382"/>
      <c r="DAW67" s="382"/>
      <c r="DAX67" s="382"/>
      <c r="DAY67" s="382"/>
      <c r="DAZ67" s="382"/>
      <c r="DBA67" s="382"/>
      <c r="DBB67" s="382"/>
      <c r="DBC67" s="382"/>
      <c r="DBD67" s="382"/>
      <c r="DBE67" s="382"/>
      <c r="DBF67" s="382"/>
      <c r="DBG67" s="382"/>
      <c r="DBH67" s="382"/>
      <c r="DBI67" s="382"/>
      <c r="DBJ67" s="382"/>
      <c r="DBK67" s="382"/>
      <c r="DBL67" s="382"/>
      <c r="DBM67" s="382"/>
      <c r="DBN67" s="382"/>
      <c r="DBO67" s="382"/>
      <c r="DBP67" s="382"/>
      <c r="DBQ67" s="382"/>
      <c r="DBR67" s="382"/>
      <c r="DBS67" s="382"/>
      <c r="DBT67" s="382"/>
      <c r="DBU67" s="382"/>
      <c r="DBV67" s="382"/>
      <c r="DBW67" s="382"/>
      <c r="DBX67" s="382"/>
      <c r="DBY67" s="382"/>
      <c r="DBZ67" s="382"/>
      <c r="DCA67" s="382"/>
      <c r="DCB67" s="382"/>
      <c r="DCC67" s="382"/>
      <c r="DCD67" s="382"/>
      <c r="DCE67" s="382"/>
      <c r="DCF67" s="382"/>
      <c r="DCG67" s="382"/>
      <c r="DCH67" s="382"/>
      <c r="DCI67" s="382"/>
      <c r="DCJ67" s="382"/>
      <c r="DCK67" s="382"/>
      <c r="DCL67" s="382"/>
      <c r="DCM67" s="382"/>
      <c r="DCN67" s="382"/>
      <c r="DCO67" s="382"/>
      <c r="DCP67" s="382"/>
      <c r="DCQ67" s="382"/>
      <c r="DCR67" s="382"/>
      <c r="DCS67" s="382"/>
      <c r="DCT67" s="382"/>
      <c r="DCU67" s="382"/>
      <c r="DCV67" s="382"/>
      <c r="DCW67" s="382"/>
      <c r="DCX67" s="382"/>
      <c r="DCY67" s="382"/>
      <c r="DCZ67" s="382"/>
      <c r="DDA67" s="382"/>
      <c r="DDB67" s="382"/>
      <c r="DDC67" s="382"/>
      <c r="DDD67" s="382"/>
      <c r="DDE67" s="382"/>
      <c r="DDF67" s="382"/>
      <c r="DDG67" s="382"/>
      <c r="DDH67" s="382"/>
      <c r="DDI67" s="382"/>
      <c r="DDJ67" s="382"/>
      <c r="DDK67" s="382"/>
      <c r="DDL67" s="382"/>
      <c r="DDM67" s="382"/>
      <c r="DDN67" s="382"/>
      <c r="DDO67" s="382"/>
      <c r="DDP67" s="382"/>
      <c r="DDQ67" s="382"/>
      <c r="DDR67" s="382"/>
      <c r="DDS67" s="382"/>
      <c r="DDT67" s="382"/>
      <c r="DDU67" s="382"/>
      <c r="DDV67" s="382"/>
      <c r="DDW67" s="382"/>
      <c r="DDX67" s="382"/>
      <c r="DDY67" s="382"/>
      <c r="DDZ67" s="382"/>
      <c r="DEA67" s="382"/>
      <c r="DEB67" s="382"/>
      <c r="DEC67" s="382"/>
      <c r="DED67" s="382"/>
      <c r="DEE67" s="382"/>
      <c r="DEF67" s="382"/>
      <c r="DEG67" s="382"/>
      <c r="DEH67" s="382"/>
      <c r="DEI67" s="382"/>
      <c r="DEJ67" s="382"/>
      <c r="DEK67" s="382"/>
      <c r="DEL67" s="382"/>
      <c r="DEM67" s="382"/>
      <c r="DEN67" s="382"/>
      <c r="DEO67" s="382"/>
      <c r="DEP67" s="382"/>
      <c r="DEQ67" s="382"/>
      <c r="DER67" s="382"/>
      <c r="DES67" s="382"/>
      <c r="DET67" s="382"/>
      <c r="DEU67" s="382"/>
      <c r="DEV67" s="382"/>
      <c r="DEW67" s="382"/>
      <c r="DEX67" s="382"/>
      <c r="DEY67" s="382"/>
      <c r="DEZ67" s="382"/>
      <c r="DFA67" s="382"/>
      <c r="DFB67" s="382"/>
      <c r="DFC67" s="382"/>
      <c r="DFD67" s="382"/>
      <c r="DFE67" s="382"/>
      <c r="DFF67" s="382"/>
      <c r="DFG67" s="382"/>
      <c r="DFH67" s="382"/>
      <c r="DFI67" s="382"/>
      <c r="DFJ67" s="382"/>
      <c r="DFK67" s="382"/>
      <c r="DFL67" s="382"/>
      <c r="DFM67" s="382"/>
      <c r="DFN67" s="382"/>
      <c r="DFO67" s="382"/>
      <c r="DFP67" s="382"/>
      <c r="DFQ67" s="382"/>
      <c r="DFR67" s="382"/>
      <c r="DFS67" s="382"/>
      <c r="DFT67" s="382"/>
      <c r="DFU67" s="382"/>
      <c r="DFV67" s="382"/>
      <c r="DFW67" s="382"/>
      <c r="DFX67" s="382"/>
      <c r="DFY67" s="382"/>
      <c r="DFZ67" s="382"/>
      <c r="DGA67" s="382"/>
      <c r="DGB67" s="382"/>
      <c r="DGC67" s="382"/>
      <c r="DGD67" s="382"/>
      <c r="DGE67" s="382"/>
      <c r="DGF67" s="382"/>
      <c r="DGG67" s="382"/>
      <c r="DGH67" s="382"/>
      <c r="DGI67" s="382"/>
      <c r="DGJ67" s="382"/>
      <c r="DGK67" s="382"/>
      <c r="DGL67" s="382"/>
      <c r="DGM67" s="382"/>
      <c r="DGN67" s="382"/>
      <c r="DGO67" s="382"/>
      <c r="DGP67" s="382"/>
      <c r="DGQ67" s="382"/>
      <c r="DGR67" s="382"/>
      <c r="DGS67" s="382"/>
      <c r="DGT67" s="382"/>
      <c r="DGU67" s="382"/>
      <c r="DGV67" s="382"/>
      <c r="DGW67" s="382"/>
      <c r="DGX67" s="382"/>
      <c r="DGY67" s="382"/>
      <c r="DGZ67" s="382"/>
      <c r="DHA67" s="382"/>
      <c r="DHB67" s="382"/>
      <c r="DHC67" s="382"/>
      <c r="DHD67" s="382"/>
      <c r="DHE67" s="382"/>
      <c r="DHF67" s="382"/>
      <c r="DHG67" s="382"/>
      <c r="DHH67" s="382"/>
      <c r="DHI67" s="382"/>
      <c r="DHJ67" s="382"/>
      <c r="DHK67" s="382"/>
      <c r="DHL67" s="382"/>
      <c r="DHM67" s="382"/>
      <c r="DHN67" s="382"/>
      <c r="DHO67" s="382"/>
      <c r="DHP67" s="382"/>
      <c r="DHQ67" s="382"/>
      <c r="DHR67" s="382"/>
      <c r="DHS67" s="382"/>
      <c r="DHT67" s="382"/>
      <c r="DHU67" s="382"/>
      <c r="DHV67" s="382"/>
      <c r="DHW67" s="382"/>
      <c r="DHX67" s="382"/>
      <c r="DHY67" s="382"/>
      <c r="DHZ67" s="382"/>
      <c r="DIA67" s="382"/>
      <c r="DIB67" s="382"/>
      <c r="DIC67" s="382"/>
      <c r="DID67" s="382"/>
      <c r="DIE67" s="382"/>
      <c r="DIF67" s="382"/>
      <c r="DIG67" s="382"/>
      <c r="DIH67" s="382"/>
      <c r="DII67" s="382"/>
      <c r="DIJ67" s="382"/>
      <c r="DIK67" s="382"/>
      <c r="DIL67" s="382"/>
      <c r="DIM67" s="382"/>
      <c r="DIN67" s="382"/>
      <c r="DIO67" s="382"/>
      <c r="DIP67" s="382"/>
      <c r="DIQ67" s="382"/>
      <c r="DIR67" s="382"/>
      <c r="DIS67" s="382"/>
      <c r="DIT67" s="382"/>
      <c r="DIU67" s="382"/>
      <c r="DIV67" s="382"/>
      <c r="DIW67" s="382"/>
      <c r="DIX67" s="382"/>
      <c r="DIY67" s="382"/>
      <c r="DIZ67" s="382"/>
      <c r="DJA67" s="382"/>
      <c r="DJB67" s="382"/>
      <c r="DJC67" s="382"/>
      <c r="DJD67" s="382"/>
      <c r="DJE67" s="382"/>
      <c r="DJF67" s="382"/>
      <c r="DJG67" s="382"/>
      <c r="DJH67" s="382"/>
      <c r="DJI67" s="382"/>
      <c r="DJJ67" s="382"/>
      <c r="DJK67" s="382"/>
      <c r="DJL67" s="382"/>
      <c r="DJM67" s="382"/>
      <c r="DJN67" s="382"/>
      <c r="DJO67" s="382"/>
      <c r="DJP67" s="382"/>
      <c r="DJQ67" s="382"/>
      <c r="DJR67" s="382"/>
      <c r="DJS67" s="382"/>
      <c r="DJT67" s="382"/>
      <c r="DJU67" s="382"/>
      <c r="DJV67" s="382"/>
      <c r="DJW67" s="382"/>
      <c r="DJX67" s="382"/>
      <c r="DJY67" s="382"/>
      <c r="DJZ67" s="382"/>
      <c r="DKA67" s="382"/>
      <c r="DKB67" s="382"/>
      <c r="DKC67" s="382"/>
      <c r="DKD67" s="382"/>
      <c r="DKE67" s="382"/>
      <c r="DKF67" s="382"/>
      <c r="DKG67" s="382"/>
      <c r="DKH67" s="382"/>
      <c r="DKI67" s="382"/>
      <c r="DKJ67" s="382"/>
      <c r="DKK67" s="382"/>
      <c r="DKL67" s="382"/>
      <c r="DKM67" s="382"/>
      <c r="DKN67" s="382"/>
      <c r="DKO67" s="382"/>
      <c r="DKP67" s="382"/>
      <c r="DKQ67" s="382"/>
      <c r="DKR67" s="382"/>
      <c r="DKS67" s="382"/>
      <c r="DKT67" s="382"/>
      <c r="DKU67" s="382"/>
      <c r="DKV67" s="382"/>
      <c r="DKW67" s="382"/>
      <c r="DKX67" s="382"/>
      <c r="DKY67" s="382"/>
      <c r="DKZ67" s="382"/>
      <c r="DLA67" s="382"/>
      <c r="DLB67" s="382"/>
      <c r="DLC67" s="382"/>
      <c r="DLD67" s="382"/>
      <c r="DLE67" s="382"/>
      <c r="DLF67" s="382"/>
      <c r="DLG67" s="382"/>
      <c r="DLH67" s="382"/>
      <c r="DLI67" s="382"/>
      <c r="DLJ67" s="382"/>
      <c r="DLK67" s="382"/>
      <c r="DLL67" s="382"/>
      <c r="DLM67" s="382"/>
      <c r="DLN67" s="382"/>
      <c r="DLO67" s="382"/>
      <c r="DLP67" s="382"/>
      <c r="DLQ67" s="382"/>
      <c r="DLR67" s="382"/>
      <c r="DLS67" s="382"/>
      <c r="DLT67" s="382"/>
      <c r="DLU67" s="382"/>
      <c r="DLV67" s="382"/>
      <c r="DLW67" s="382"/>
      <c r="DLX67" s="382"/>
      <c r="DLY67" s="382"/>
      <c r="DLZ67" s="382"/>
      <c r="DMA67" s="382"/>
      <c r="DMB67" s="382"/>
      <c r="DMC67" s="382"/>
      <c r="DMD67" s="382"/>
      <c r="DME67" s="382"/>
      <c r="DMF67" s="382"/>
      <c r="DMG67" s="382"/>
      <c r="DMH67" s="382"/>
      <c r="DMI67" s="382"/>
      <c r="DMJ67" s="382"/>
      <c r="DMK67" s="382"/>
      <c r="DML67" s="382"/>
      <c r="DMM67" s="382"/>
      <c r="DMN67" s="382"/>
      <c r="DMO67" s="382"/>
      <c r="DMP67" s="382"/>
      <c r="DMQ67" s="382"/>
      <c r="DMR67" s="382"/>
      <c r="DMS67" s="382"/>
      <c r="DMT67" s="382"/>
      <c r="DMU67" s="382"/>
      <c r="DMV67" s="382"/>
      <c r="DMW67" s="382"/>
      <c r="DMX67" s="382"/>
      <c r="DMY67" s="382"/>
      <c r="DMZ67" s="382"/>
      <c r="DNA67" s="382"/>
      <c r="DNB67" s="382"/>
      <c r="DNC67" s="382"/>
      <c r="DND67" s="382"/>
      <c r="DNE67" s="382"/>
      <c r="DNF67" s="382"/>
      <c r="DNG67" s="382"/>
      <c r="DNH67" s="382"/>
      <c r="DNI67" s="382"/>
      <c r="DNJ67" s="382"/>
      <c r="DNK67" s="382"/>
      <c r="DNL67" s="382"/>
      <c r="DNM67" s="382"/>
      <c r="DNN67" s="382"/>
      <c r="DNO67" s="382"/>
      <c r="DNP67" s="382"/>
      <c r="DNQ67" s="382"/>
      <c r="DNR67" s="382"/>
      <c r="DNS67" s="382"/>
      <c r="DNT67" s="382"/>
      <c r="DNU67" s="382"/>
      <c r="DNV67" s="382"/>
      <c r="DNW67" s="382"/>
      <c r="DNX67" s="382"/>
      <c r="DNY67" s="382"/>
      <c r="DNZ67" s="382"/>
      <c r="DOA67" s="382"/>
      <c r="DOB67" s="382"/>
      <c r="DOC67" s="382"/>
      <c r="DOD67" s="382"/>
      <c r="DOE67" s="382"/>
      <c r="DOF67" s="382"/>
      <c r="DOG67" s="382"/>
      <c r="DOH67" s="382"/>
      <c r="DOI67" s="382"/>
      <c r="DOJ67" s="382"/>
      <c r="DOK67" s="382"/>
      <c r="DOL67" s="382"/>
      <c r="DOM67" s="382"/>
      <c r="DON67" s="382"/>
      <c r="DOO67" s="382"/>
      <c r="DOP67" s="382"/>
      <c r="DOQ67" s="382"/>
      <c r="DOR67" s="382"/>
      <c r="DOS67" s="382"/>
      <c r="DOT67" s="382"/>
      <c r="DOU67" s="382"/>
      <c r="DOV67" s="382"/>
      <c r="DOW67" s="382"/>
      <c r="DOX67" s="382"/>
      <c r="DOY67" s="382"/>
      <c r="DOZ67" s="382"/>
      <c r="DPA67" s="382"/>
      <c r="DPB67" s="382"/>
      <c r="DPC67" s="382"/>
      <c r="DPD67" s="382"/>
      <c r="DPE67" s="382"/>
      <c r="DPF67" s="382"/>
      <c r="DPG67" s="382"/>
      <c r="DPH67" s="382"/>
      <c r="DPI67" s="382"/>
      <c r="DPJ67" s="382"/>
      <c r="DPK67" s="382"/>
      <c r="DPL67" s="382"/>
      <c r="DPM67" s="382"/>
      <c r="DPN67" s="382"/>
      <c r="DPO67" s="382"/>
      <c r="DPP67" s="382"/>
      <c r="DPQ67" s="382"/>
      <c r="DPR67" s="382"/>
      <c r="DPS67" s="382"/>
      <c r="DPT67" s="382"/>
      <c r="DPU67" s="382"/>
      <c r="DPV67" s="382"/>
      <c r="DPW67" s="382"/>
      <c r="DPX67" s="382"/>
      <c r="DPY67" s="382"/>
      <c r="DPZ67" s="382"/>
      <c r="DQA67" s="382"/>
      <c r="DQB67" s="382"/>
      <c r="DQC67" s="382"/>
      <c r="DQD67" s="382"/>
      <c r="DQE67" s="382"/>
      <c r="DQF67" s="382"/>
      <c r="DQG67" s="382"/>
      <c r="DQH67" s="382"/>
      <c r="DQI67" s="382"/>
      <c r="DQJ67" s="382"/>
      <c r="DQK67" s="382"/>
      <c r="DQL67" s="382"/>
      <c r="DQM67" s="382"/>
      <c r="DQN67" s="382"/>
      <c r="DQO67" s="382"/>
      <c r="DQP67" s="382"/>
      <c r="DQQ67" s="382"/>
      <c r="DQR67" s="382"/>
      <c r="DQS67" s="382"/>
      <c r="DQT67" s="382"/>
      <c r="DQU67" s="382"/>
      <c r="DQV67" s="382"/>
      <c r="DQW67" s="382"/>
      <c r="DQX67" s="382"/>
      <c r="DQY67" s="382"/>
      <c r="DQZ67" s="382"/>
      <c r="DRA67" s="382"/>
      <c r="DRB67" s="382"/>
      <c r="DRC67" s="382"/>
      <c r="DRD67" s="382"/>
      <c r="DRE67" s="382"/>
      <c r="DRF67" s="382"/>
      <c r="DRG67" s="382"/>
      <c r="DRH67" s="382"/>
      <c r="DRI67" s="382"/>
      <c r="DRJ67" s="382"/>
      <c r="DRK67" s="382"/>
      <c r="DRL67" s="382"/>
      <c r="DRM67" s="382"/>
      <c r="DRN67" s="382"/>
      <c r="DRO67" s="382"/>
      <c r="DRP67" s="382"/>
      <c r="DRQ67" s="382"/>
      <c r="DRR67" s="382"/>
      <c r="DRS67" s="382"/>
      <c r="DRT67" s="382"/>
      <c r="DRU67" s="382"/>
      <c r="DRV67" s="382"/>
      <c r="DRW67" s="382"/>
      <c r="DRX67" s="382"/>
      <c r="DRY67" s="382"/>
      <c r="DRZ67" s="382"/>
      <c r="DSA67" s="382"/>
      <c r="DSB67" s="382"/>
      <c r="DSC67" s="382"/>
      <c r="DSD67" s="382"/>
      <c r="DSE67" s="382"/>
      <c r="DSF67" s="382"/>
      <c r="DSG67" s="382"/>
      <c r="DSH67" s="382"/>
      <c r="DSI67" s="382"/>
      <c r="DSJ67" s="382"/>
      <c r="DSK67" s="382"/>
      <c r="DSL67" s="382"/>
      <c r="DSM67" s="382"/>
      <c r="DSN67" s="382"/>
      <c r="DSO67" s="382"/>
      <c r="DSP67" s="382"/>
      <c r="DSQ67" s="382"/>
      <c r="DSR67" s="382"/>
      <c r="DSS67" s="382"/>
      <c r="DST67" s="382"/>
      <c r="DSU67" s="382"/>
      <c r="DSV67" s="382"/>
      <c r="DSW67" s="382"/>
      <c r="DSX67" s="382"/>
      <c r="DSY67" s="382"/>
      <c r="DSZ67" s="382"/>
      <c r="DTA67" s="382"/>
      <c r="DTB67" s="382"/>
      <c r="DTC67" s="382"/>
      <c r="DTD67" s="382"/>
      <c r="DTE67" s="382"/>
      <c r="DTF67" s="382"/>
      <c r="DTG67" s="382"/>
      <c r="DTH67" s="382"/>
      <c r="DTI67" s="382"/>
      <c r="DTJ67" s="382"/>
      <c r="DTK67" s="382"/>
      <c r="DTL67" s="382"/>
      <c r="DTM67" s="382"/>
      <c r="DTN67" s="382"/>
      <c r="DTO67" s="382"/>
      <c r="DTP67" s="382"/>
      <c r="DTQ67" s="382"/>
      <c r="DTR67" s="382"/>
      <c r="DTS67" s="382"/>
      <c r="DTT67" s="382"/>
      <c r="DTU67" s="382"/>
      <c r="DTV67" s="382"/>
      <c r="DTW67" s="382"/>
      <c r="DTX67" s="382"/>
      <c r="DTY67" s="382"/>
      <c r="DTZ67" s="382"/>
      <c r="DUA67" s="382"/>
      <c r="DUB67" s="382"/>
      <c r="DUC67" s="382"/>
      <c r="DUD67" s="382"/>
      <c r="DUE67" s="382"/>
      <c r="DUF67" s="382"/>
      <c r="DUG67" s="382"/>
      <c r="DUH67" s="382"/>
      <c r="DUI67" s="382"/>
      <c r="DUJ67" s="382"/>
      <c r="DUK67" s="382"/>
      <c r="DUL67" s="382"/>
      <c r="DUM67" s="382"/>
      <c r="DUN67" s="382"/>
      <c r="DUO67" s="382"/>
      <c r="DUP67" s="382"/>
      <c r="DUQ67" s="382"/>
      <c r="DUR67" s="382"/>
      <c r="DUS67" s="382"/>
      <c r="DUT67" s="382"/>
      <c r="DUU67" s="382"/>
      <c r="DUV67" s="382"/>
      <c r="DUW67" s="382"/>
      <c r="DUX67" s="382"/>
      <c r="DUY67" s="382"/>
      <c r="DUZ67" s="382"/>
      <c r="DVA67" s="382"/>
      <c r="DVB67" s="382"/>
      <c r="DVC67" s="382"/>
      <c r="DVD67" s="382"/>
      <c r="DVE67" s="382"/>
      <c r="DVF67" s="382"/>
      <c r="DVG67" s="382"/>
      <c r="DVH67" s="382"/>
      <c r="DVI67" s="382"/>
      <c r="DVJ67" s="382"/>
      <c r="DVK67" s="382"/>
      <c r="DVL67" s="382"/>
      <c r="DVM67" s="382"/>
      <c r="DVN67" s="382"/>
      <c r="DVO67" s="382"/>
      <c r="DVP67" s="382"/>
      <c r="DVQ67" s="382"/>
      <c r="DVR67" s="382"/>
      <c r="DVS67" s="382"/>
      <c r="DVT67" s="382"/>
      <c r="DVU67" s="382"/>
      <c r="DVV67" s="382"/>
      <c r="DVW67" s="382"/>
      <c r="DVX67" s="382"/>
      <c r="DVY67" s="382"/>
      <c r="DVZ67" s="382"/>
      <c r="DWA67" s="382"/>
      <c r="DWB67" s="382"/>
      <c r="DWC67" s="382"/>
      <c r="DWD67" s="382"/>
      <c r="DWE67" s="382"/>
      <c r="DWF67" s="382"/>
      <c r="DWG67" s="382"/>
      <c r="DWH67" s="382"/>
      <c r="DWI67" s="382"/>
      <c r="DWJ67" s="382"/>
      <c r="DWK67" s="382"/>
      <c r="DWL67" s="382"/>
      <c r="DWM67" s="382"/>
      <c r="DWN67" s="382"/>
      <c r="DWO67" s="382"/>
      <c r="DWP67" s="382"/>
      <c r="DWQ67" s="382"/>
      <c r="DWR67" s="382"/>
      <c r="DWS67" s="382"/>
      <c r="DWT67" s="382"/>
      <c r="DWU67" s="382"/>
      <c r="DWV67" s="382"/>
      <c r="DWW67" s="382"/>
      <c r="DWX67" s="382"/>
      <c r="DWY67" s="382"/>
      <c r="DWZ67" s="382"/>
      <c r="DXA67" s="382"/>
      <c r="DXB67" s="382"/>
      <c r="DXC67" s="382"/>
      <c r="DXD67" s="382"/>
      <c r="DXE67" s="382"/>
      <c r="DXF67" s="382"/>
      <c r="DXG67" s="382"/>
      <c r="DXH67" s="382"/>
      <c r="DXI67" s="382"/>
      <c r="DXJ67" s="382"/>
      <c r="DXK67" s="382"/>
      <c r="DXL67" s="382"/>
      <c r="DXM67" s="382"/>
      <c r="DXN67" s="382"/>
      <c r="DXO67" s="382"/>
      <c r="DXP67" s="382"/>
      <c r="DXQ67" s="382"/>
      <c r="DXR67" s="382"/>
      <c r="DXS67" s="382"/>
      <c r="DXT67" s="382"/>
      <c r="DXU67" s="382"/>
      <c r="DXV67" s="382"/>
      <c r="DXW67" s="382"/>
      <c r="DXX67" s="382"/>
      <c r="DXY67" s="382"/>
      <c r="DXZ67" s="382"/>
      <c r="DYA67" s="382"/>
      <c r="DYB67" s="382"/>
      <c r="DYC67" s="382"/>
      <c r="DYD67" s="382"/>
      <c r="DYE67" s="382"/>
      <c r="DYF67" s="382"/>
      <c r="DYG67" s="382"/>
      <c r="DYH67" s="382"/>
      <c r="DYI67" s="382"/>
      <c r="DYJ67" s="382"/>
      <c r="DYK67" s="382"/>
      <c r="DYL67" s="382"/>
      <c r="DYM67" s="382"/>
      <c r="DYN67" s="382"/>
      <c r="DYO67" s="382"/>
      <c r="DYP67" s="382"/>
      <c r="DYQ67" s="382"/>
      <c r="DYR67" s="382"/>
      <c r="DYS67" s="382"/>
      <c r="DYT67" s="382"/>
      <c r="DYU67" s="382"/>
      <c r="DYV67" s="382"/>
      <c r="DYW67" s="382"/>
      <c r="DYX67" s="382"/>
      <c r="DYY67" s="382"/>
      <c r="DYZ67" s="382"/>
      <c r="DZA67" s="382"/>
      <c r="DZB67" s="382"/>
      <c r="DZC67" s="382"/>
      <c r="DZD67" s="382"/>
      <c r="DZE67" s="382"/>
      <c r="DZF67" s="382"/>
      <c r="DZG67" s="382"/>
      <c r="DZH67" s="382"/>
      <c r="DZI67" s="382"/>
      <c r="DZJ67" s="382"/>
      <c r="DZK67" s="382"/>
      <c r="DZL67" s="382"/>
      <c r="DZM67" s="382"/>
      <c r="DZN67" s="382"/>
      <c r="DZO67" s="382"/>
      <c r="DZP67" s="382"/>
      <c r="DZQ67" s="382"/>
      <c r="DZR67" s="382"/>
      <c r="DZS67" s="382"/>
      <c r="DZT67" s="382"/>
      <c r="DZU67" s="382"/>
      <c r="DZV67" s="382"/>
      <c r="DZW67" s="382"/>
      <c r="DZX67" s="382"/>
      <c r="DZY67" s="382"/>
      <c r="DZZ67" s="382"/>
      <c r="EAA67" s="382"/>
      <c r="EAB67" s="382"/>
      <c r="EAC67" s="382"/>
      <c r="EAD67" s="382"/>
      <c r="EAE67" s="382"/>
      <c r="EAF67" s="382"/>
      <c r="EAG67" s="382"/>
      <c r="EAH67" s="382"/>
      <c r="EAI67" s="382"/>
      <c r="EAJ67" s="382"/>
      <c r="EAK67" s="382"/>
      <c r="EAL67" s="382"/>
      <c r="EAM67" s="382"/>
      <c r="EAN67" s="382"/>
      <c r="EAO67" s="382"/>
      <c r="EAP67" s="382"/>
      <c r="EAQ67" s="382"/>
      <c r="EAR67" s="382"/>
      <c r="EAS67" s="382"/>
      <c r="EAT67" s="382"/>
      <c r="EAU67" s="382"/>
      <c r="EAV67" s="382"/>
      <c r="EAW67" s="382"/>
      <c r="EAX67" s="382"/>
      <c r="EAY67" s="382"/>
      <c r="EAZ67" s="382"/>
      <c r="EBA67" s="382"/>
      <c r="EBB67" s="382"/>
      <c r="EBC67" s="382"/>
      <c r="EBD67" s="382"/>
      <c r="EBE67" s="382"/>
      <c r="EBF67" s="382"/>
      <c r="EBG67" s="382"/>
      <c r="EBH67" s="382"/>
      <c r="EBI67" s="382"/>
      <c r="EBJ67" s="382"/>
      <c r="EBK67" s="382"/>
      <c r="EBL67" s="382"/>
      <c r="EBM67" s="382"/>
      <c r="EBN67" s="382"/>
      <c r="EBO67" s="382"/>
      <c r="EBP67" s="382"/>
      <c r="EBQ67" s="382"/>
      <c r="EBR67" s="382"/>
      <c r="EBS67" s="382"/>
      <c r="EBT67" s="382"/>
      <c r="EBU67" s="382"/>
      <c r="EBV67" s="382"/>
      <c r="EBW67" s="382"/>
      <c r="EBX67" s="382"/>
      <c r="EBY67" s="382"/>
      <c r="EBZ67" s="382"/>
      <c r="ECA67" s="382"/>
      <c r="ECB67" s="382"/>
      <c r="ECC67" s="382"/>
      <c r="ECD67" s="382"/>
      <c r="ECE67" s="382"/>
      <c r="ECF67" s="382"/>
      <c r="ECG67" s="382"/>
      <c r="ECH67" s="382"/>
      <c r="ECI67" s="382"/>
      <c r="ECJ67" s="382"/>
      <c r="ECK67" s="382"/>
      <c r="ECL67" s="382"/>
      <c r="ECM67" s="382"/>
      <c r="ECN67" s="382"/>
      <c r="ECO67" s="382"/>
      <c r="ECP67" s="382"/>
      <c r="ECQ67" s="382"/>
      <c r="ECR67" s="382"/>
      <c r="ECS67" s="382"/>
      <c r="ECT67" s="382"/>
      <c r="ECU67" s="382"/>
      <c r="ECV67" s="382"/>
      <c r="ECW67" s="382"/>
      <c r="ECX67" s="382"/>
      <c r="ECY67" s="382"/>
      <c r="ECZ67" s="382"/>
      <c r="EDA67" s="382"/>
      <c r="EDB67" s="382"/>
      <c r="EDC67" s="382"/>
      <c r="EDD67" s="382"/>
      <c r="EDE67" s="382"/>
      <c r="EDF67" s="382"/>
      <c r="EDG67" s="382"/>
      <c r="EDH67" s="382"/>
      <c r="EDI67" s="382"/>
      <c r="EDJ67" s="382"/>
      <c r="EDK67" s="382"/>
      <c r="EDL67" s="382"/>
      <c r="EDM67" s="382"/>
      <c r="EDN67" s="382"/>
      <c r="EDO67" s="382"/>
      <c r="EDP67" s="382"/>
      <c r="EDQ67" s="382"/>
      <c r="EDR67" s="382"/>
      <c r="EDS67" s="382"/>
      <c r="EDT67" s="382"/>
      <c r="EDU67" s="382"/>
      <c r="EDV67" s="382"/>
      <c r="EDW67" s="382"/>
      <c r="EDX67" s="382"/>
      <c r="EDY67" s="382"/>
      <c r="EDZ67" s="382"/>
      <c r="EEA67" s="382"/>
      <c r="EEB67" s="382"/>
      <c r="EEC67" s="382"/>
      <c r="EED67" s="382"/>
      <c r="EEE67" s="382"/>
      <c r="EEF67" s="382"/>
      <c r="EEG67" s="382"/>
      <c r="EEH67" s="382"/>
      <c r="EEI67" s="382"/>
      <c r="EEJ67" s="382"/>
      <c r="EEK67" s="382"/>
      <c r="EEL67" s="382"/>
      <c r="EEM67" s="382"/>
      <c r="EEN67" s="382"/>
      <c r="EEO67" s="382"/>
      <c r="EEP67" s="382"/>
      <c r="EEQ67" s="382"/>
      <c r="EER67" s="382"/>
      <c r="EES67" s="382"/>
      <c r="EET67" s="382"/>
      <c r="EEU67" s="382"/>
      <c r="EEV67" s="382"/>
      <c r="EEW67" s="382"/>
      <c r="EEX67" s="382"/>
      <c r="EEY67" s="382"/>
      <c r="EEZ67" s="382"/>
      <c r="EFA67" s="382"/>
      <c r="EFB67" s="382"/>
      <c r="EFC67" s="382"/>
      <c r="EFD67" s="382"/>
      <c r="EFE67" s="382"/>
      <c r="EFF67" s="382"/>
      <c r="EFG67" s="382"/>
      <c r="EFH67" s="382"/>
      <c r="EFI67" s="382"/>
      <c r="EFJ67" s="382"/>
      <c r="EFK67" s="382"/>
      <c r="EFL67" s="382"/>
      <c r="EFM67" s="382"/>
      <c r="EFN67" s="382"/>
      <c r="EFO67" s="382"/>
      <c r="EFP67" s="382"/>
      <c r="EFQ67" s="382"/>
      <c r="EFR67" s="382"/>
      <c r="EFS67" s="382"/>
      <c r="EFT67" s="382"/>
      <c r="EFU67" s="382"/>
      <c r="EFV67" s="382"/>
      <c r="EFW67" s="382"/>
      <c r="EFX67" s="382"/>
      <c r="EFY67" s="382"/>
      <c r="EFZ67" s="382"/>
      <c r="EGA67" s="382"/>
      <c r="EGB67" s="382"/>
      <c r="EGC67" s="382"/>
      <c r="EGD67" s="382"/>
      <c r="EGE67" s="382"/>
      <c r="EGF67" s="382"/>
      <c r="EGG67" s="382"/>
      <c r="EGH67" s="382"/>
      <c r="EGI67" s="382"/>
      <c r="EGJ67" s="382"/>
      <c r="EGK67" s="382"/>
      <c r="EGL67" s="382"/>
      <c r="EGM67" s="382"/>
      <c r="EGN67" s="382"/>
      <c r="EGO67" s="382"/>
      <c r="EGP67" s="382"/>
      <c r="EGQ67" s="382"/>
      <c r="EGR67" s="382"/>
      <c r="EGS67" s="382"/>
      <c r="EGT67" s="382"/>
      <c r="EGU67" s="382"/>
      <c r="EGV67" s="382"/>
      <c r="EGW67" s="382"/>
      <c r="EGX67" s="382"/>
      <c r="EGY67" s="382"/>
      <c r="EGZ67" s="382"/>
      <c r="EHA67" s="382"/>
      <c r="EHB67" s="382"/>
      <c r="EHC67" s="382"/>
      <c r="EHD67" s="382"/>
      <c r="EHE67" s="382"/>
      <c r="EHF67" s="382"/>
      <c r="EHG67" s="382"/>
      <c r="EHH67" s="382"/>
      <c r="EHI67" s="382"/>
      <c r="EHJ67" s="382"/>
      <c r="EHK67" s="382"/>
      <c r="EHL67" s="382"/>
      <c r="EHM67" s="382"/>
      <c r="EHN67" s="382"/>
      <c r="EHO67" s="382"/>
      <c r="EHP67" s="382"/>
      <c r="EHQ67" s="382"/>
      <c r="EHR67" s="382"/>
      <c r="EHS67" s="382"/>
      <c r="EHT67" s="382"/>
      <c r="EHU67" s="382"/>
      <c r="EHV67" s="382"/>
      <c r="EHW67" s="382"/>
      <c r="EHX67" s="382"/>
      <c r="EHY67" s="382"/>
      <c r="EHZ67" s="382"/>
      <c r="EIA67" s="382"/>
      <c r="EIB67" s="382"/>
      <c r="EIC67" s="382"/>
      <c r="EID67" s="382"/>
      <c r="EIE67" s="382"/>
      <c r="EIF67" s="382"/>
      <c r="EIG67" s="382"/>
      <c r="EIH67" s="382"/>
      <c r="EII67" s="382"/>
      <c r="EIJ67" s="382"/>
      <c r="EIK67" s="382"/>
      <c r="EIL67" s="382"/>
      <c r="EIM67" s="382"/>
      <c r="EIN67" s="382"/>
      <c r="EIO67" s="382"/>
      <c r="EIP67" s="382"/>
      <c r="EIQ67" s="382"/>
      <c r="EIR67" s="382"/>
      <c r="EIS67" s="382"/>
      <c r="EIT67" s="382"/>
      <c r="EIU67" s="382"/>
      <c r="EIV67" s="382"/>
      <c r="EIW67" s="382"/>
      <c r="EIX67" s="382"/>
      <c r="EIY67" s="382"/>
      <c r="EIZ67" s="382"/>
      <c r="EJA67" s="382"/>
      <c r="EJB67" s="382"/>
      <c r="EJC67" s="382"/>
      <c r="EJD67" s="382"/>
      <c r="EJE67" s="382"/>
      <c r="EJF67" s="382"/>
      <c r="EJG67" s="382"/>
      <c r="EJH67" s="382"/>
      <c r="EJI67" s="382"/>
      <c r="EJJ67" s="382"/>
      <c r="EJK67" s="382"/>
      <c r="EJL67" s="382"/>
      <c r="EJM67" s="382"/>
      <c r="EJN67" s="382"/>
      <c r="EJO67" s="382"/>
      <c r="EJP67" s="382"/>
      <c r="EJQ67" s="382"/>
      <c r="EJR67" s="382"/>
      <c r="EJS67" s="382"/>
      <c r="EJT67" s="382"/>
      <c r="EJU67" s="382"/>
      <c r="EJV67" s="382"/>
      <c r="EJW67" s="382"/>
      <c r="EJX67" s="382"/>
      <c r="EJY67" s="382"/>
      <c r="EJZ67" s="382"/>
      <c r="EKA67" s="382"/>
      <c r="EKB67" s="382"/>
      <c r="EKC67" s="382"/>
      <c r="EKD67" s="382"/>
      <c r="EKE67" s="382"/>
      <c r="EKF67" s="382"/>
      <c r="EKG67" s="382"/>
      <c r="EKH67" s="382"/>
      <c r="EKI67" s="382"/>
      <c r="EKJ67" s="382"/>
      <c r="EKK67" s="382"/>
      <c r="EKL67" s="382"/>
      <c r="EKM67" s="382"/>
      <c r="EKN67" s="382"/>
      <c r="EKO67" s="382"/>
      <c r="EKP67" s="382"/>
      <c r="EKQ67" s="382"/>
      <c r="EKR67" s="382"/>
      <c r="EKS67" s="382"/>
      <c r="EKT67" s="382"/>
      <c r="EKU67" s="382"/>
      <c r="EKV67" s="382"/>
      <c r="EKW67" s="382"/>
      <c r="EKX67" s="382"/>
      <c r="EKY67" s="382"/>
      <c r="EKZ67" s="382"/>
      <c r="ELA67" s="382"/>
      <c r="ELB67" s="382"/>
      <c r="ELC67" s="382"/>
      <c r="ELD67" s="382"/>
      <c r="ELE67" s="382"/>
      <c r="ELF67" s="382"/>
      <c r="ELG67" s="382"/>
      <c r="ELH67" s="382"/>
      <c r="ELI67" s="382"/>
      <c r="ELJ67" s="382"/>
      <c r="ELK67" s="382"/>
      <c r="ELL67" s="382"/>
      <c r="ELM67" s="382"/>
      <c r="ELN67" s="382"/>
      <c r="ELO67" s="382"/>
      <c r="ELP67" s="382"/>
      <c r="ELQ67" s="382"/>
      <c r="ELR67" s="382"/>
      <c r="ELS67" s="382"/>
      <c r="ELT67" s="382"/>
      <c r="ELU67" s="382"/>
      <c r="ELV67" s="382"/>
      <c r="ELW67" s="382"/>
      <c r="ELX67" s="382"/>
      <c r="ELY67" s="382"/>
      <c r="ELZ67" s="382"/>
      <c r="EMA67" s="382"/>
      <c r="EMB67" s="382"/>
      <c r="EMC67" s="382"/>
      <c r="EMD67" s="382"/>
      <c r="EME67" s="382"/>
      <c r="EMF67" s="382"/>
      <c r="EMG67" s="382"/>
      <c r="EMH67" s="382"/>
      <c r="EMI67" s="382"/>
      <c r="EMJ67" s="382"/>
      <c r="EMK67" s="382"/>
      <c r="EML67" s="382"/>
      <c r="EMM67" s="382"/>
      <c r="EMN67" s="382"/>
      <c r="EMO67" s="382"/>
      <c r="EMP67" s="382"/>
      <c r="EMQ67" s="382"/>
      <c r="EMR67" s="382"/>
      <c r="EMS67" s="382"/>
      <c r="EMT67" s="382"/>
      <c r="EMU67" s="382"/>
      <c r="EMV67" s="382"/>
      <c r="EMW67" s="382"/>
      <c r="EMX67" s="382"/>
      <c r="EMY67" s="382"/>
      <c r="EMZ67" s="382"/>
      <c r="ENA67" s="382"/>
      <c r="ENB67" s="382"/>
      <c r="ENC67" s="382"/>
      <c r="END67" s="382"/>
      <c r="ENE67" s="382"/>
      <c r="ENF67" s="382"/>
      <c r="ENG67" s="382"/>
      <c r="ENH67" s="382"/>
      <c r="ENI67" s="382"/>
      <c r="ENJ67" s="382"/>
      <c r="ENK67" s="382"/>
      <c r="ENL67" s="382"/>
      <c r="ENM67" s="382"/>
      <c r="ENN67" s="382"/>
      <c r="ENO67" s="382"/>
      <c r="ENP67" s="382"/>
      <c r="ENQ67" s="382"/>
      <c r="ENR67" s="382"/>
      <c r="ENS67" s="382"/>
      <c r="ENT67" s="382"/>
      <c r="ENU67" s="382"/>
      <c r="ENV67" s="382"/>
      <c r="ENW67" s="382"/>
      <c r="ENX67" s="382"/>
      <c r="ENY67" s="382"/>
      <c r="ENZ67" s="382"/>
      <c r="EOA67" s="382"/>
      <c r="EOB67" s="382"/>
      <c r="EOC67" s="382"/>
      <c r="EOD67" s="382"/>
      <c r="EOE67" s="382"/>
      <c r="EOF67" s="382"/>
      <c r="EOG67" s="382"/>
      <c r="EOH67" s="382"/>
      <c r="EOI67" s="382"/>
      <c r="EOJ67" s="382"/>
      <c r="EOK67" s="382"/>
      <c r="EOL67" s="382"/>
      <c r="EOM67" s="382"/>
      <c r="EON67" s="382"/>
      <c r="EOO67" s="382"/>
      <c r="EOP67" s="382"/>
      <c r="EOQ67" s="382"/>
      <c r="EOR67" s="382"/>
      <c r="EOS67" s="382"/>
      <c r="EOT67" s="382"/>
      <c r="EOU67" s="382"/>
      <c r="EOV67" s="382"/>
      <c r="EOW67" s="382"/>
      <c r="EOX67" s="382"/>
      <c r="EOY67" s="382"/>
      <c r="EOZ67" s="382"/>
      <c r="EPA67" s="382"/>
      <c r="EPB67" s="382"/>
      <c r="EPC67" s="382"/>
      <c r="EPD67" s="382"/>
      <c r="EPE67" s="382"/>
      <c r="EPF67" s="382"/>
      <c r="EPG67" s="382"/>
      <c r="EPH67" s="382"/>
      <c r="EPI67" s="382"/>
      <c r="EPJ67" s="382"/>
      <c r="EPK67" s="382"/>
      <c r="EPL67" s="382"/>
      <c r="EPM67" s="382"/>
      <c r="EPN67" s="382"/>
      <c r="EPO67" s="382"/>
      <c r="EPP67" s="382"/>
      <c r="EPQ67" s="382"/>
      <c r="EPR67" s="382"/>
      <c r="EPS67" s="382"/>
      <c r="EPT67" s="382"/>
      <c r="EPU67" s="382"/>
      <c r="EPV67" s="382"/>
      <c r="EPW67" s="382"/>
      <c r="EPX67" s="382"/>
      <c r="EPY67" s="382"/>
      <c r="EPZ67" s="382"/>
      <c r="EQA67" s="382"/>
      <c r="EQB67" s="382"/>
      <c r="EQC67" s="382"/>
      <c r="EQD67" s="382"/>
      <c r="EQE67" s="382"/>
      <c r="EQF67" s="382"/>
      <c r="EQG67" s="382"/>
      <c r="EQH67" s="382"/>
      <c r="EQI67" s="382"/>
      <c r="EQJ67" s="382"/>
      <c r="EQK67" s="382"/>
      <c r="EQL67" s="382"/>
      <c r="EQM67" s="382"/>
      <c r="EQN67" s="382"/>
      <c r="EQO67" s="382"/>
      <c r="EQP67" s="382"/>
      <c r="EQQ67" s="382"/>
      <c r="EQR67" s="382"/>
      <c r="EQS67" s="382"/>
      <c r="EQT67" s="382"/>
      <c r="EQU67" s="382"/>
      <c r="EQV67" s="382"/>
      <c r="EQW67" s="382"/>
      <c r="EQX67" s="382"/>
      <c r="EQY67" s="382"/>
      <c r="EQZ67" s="382"/>
      <c r="ERA67" s="382"/>
      <c r="ERB67" s="382"/>
      <c r="ERC67" s="382"/>
      <c r="ERD67" s="382"/>
      <c r="ERE67" s="382"/>
      <c r="ERF67" s="382"/>
      <c r="ERG67" s="382"/>
      <c r="ERH67" s="382"/>
      <c r="ERI67" s="382"/>
      <c r="ERJ67" s="382"/>
      <c r="ERK67" s="382"/>
      <c r="ERL67" s="382"/>
      <c r="ERM67" s="382"/>
      <c r="ERN67" s="382"/>
      <c r="ERO67" s="382"/>
      <c r="ERP67" s="382"/>
      <c r="ERQ67" s="382"/>
      <c r="ERR67" s="382"/>
      <c r="ERS67" s="382"/>
      <c r="ERT67" s="382"/>
      <c r="ERU67" s="382"/>
      <c r="ERV67" s="382"/>
      <c r="ERW67" s="382"/>
      <c r="ERX67" s="382"/>
      <c r="ERY67" s="382"/>
      <c r="ERZ67" s="382"/>
      <c r="ESA67" s="382"/>
      <c r="ESB67" s="382"/>
      <c r="ESC67" s="382"/>
      <c r="ESD67" s="382"/>
      <c r="ESE67" s="382"/>
      <c r="ESF67" s="382"/>
      <c r="ESG67" s="382"/>
      <c r="ESH67" s="382"/>
      <c r="ESI67" s="382"/>
      <c r="ESJ67" s="382"/>
      <c r="ESK67" s="382"/>
      <c r="ESL67" s="382"/>
      <c r="ESM67" s="382"/>
      <c r="ESN67" s="382"/>
      <c r="ESO67" s="382"/>
      <c r="ESP67" s="382"/>
      <c r="ESQ67" s="382"/>
      <c r="ESR67" s="382"/>
      <c r="ESS67" s="382"/>
      <c r="EST67" s="382"/>
      <c r="ESU67" s="382"/>
      <c r="ESV67" s="382"/>
      <c r="ESW67" s="382"/>
      <c r="ESX67" s="382"/>
      <c r="ESY67" s="382"/>
      <c r="ESZ67" s="382"/>
      <c r="ETA67" s="382"/>
      <c r="ETB67" s="382"/>
      <c r="ETC67" s="382"/>
      <c r="ETD67" s="382"/>
      <c r="ETE67" s="382"/>
      <c r="ETF67" s="382"/>
      <c r="ETG67" s="382"/>
      <c r="ETH67" s="382"/>
      <c r="ETI67" s="382"/>
      <c r="ETJ67" s="382"/>
      <c r="ETK67" s="382"/>
      <c r="ETL67" s="382"/>
      <c r="ETM67" s="382"/>
      <c r="ETN67" s="382"/>
      <c r="ETO67" s="382"/>
      <c r="ETP67" s="382"/>
      <c r="ETQ67" s="382"/>
      <c r="ETR67" s="382"/>
      <c r="ETS67" s="382"/>
      <c r="ETT67" s="382"/>
      <c r="ETU67" s="382"/>
      <c r="ETV67" s="382"/>
      <c r="ETW67" s="382"/>
      <c r="ETX67" s="382"/>
      <c r="ETY67" s="382"/>
      <c r="ETZ67" s="382"/>
      <c r="EUA67" s="382"/>
      <c r="EUB67" s="382"/>
      <c r="EUC67" s="382"/>
      <c r="EUD67" s="382"/>
      <c r="EUE67" s="382"/>
      <c r="EUF67" s="382"/>
      <c r="EUG67" s="382"/>
      <c r="EUH67" s="382"/>
      <c r="EUI67" s="382"/>
      <c r="EUJ67" s="382"/>
      <c r="EUK67" s="382"/>
      <c r="EUL67" s="382"/>
      <c r="EUM67" s="382"/>
      <c r="EUN67" s="382"/>
      <c r="EUO67" s="382"/>
      <c r="EUP67" s="382"/>
      <c r="EUQ67" s="382"/>
      <c r="EUR67" s="382"/>
      <c r="EUS67" s="382"/>
      <c r="EUT67" s="382"/>
      <c r="EUU67" s="382"/>
      <c r="EUV67" s="382"/>
      <c r="EUW67" s="382"/>
      <c r="EUX67" s="382"/>
      <c r="EUY67" s="382"/>
      <c r="EUZ67" s="382"/>
      <c r="EVA67" s="382"/>
      <c r="EVB67" s="382"/>
      <c r="EVC67" s="382"/>
      <c r="EVD67" s="382"/>
      <c r="EVE67" s="382"/>
      <c r="EVF67" s="382"/>
      <c r="EVG67" s="382"/>
      <c r="EVH67" s="382"/>
      <c r="EVI67" s="382"/>
      <c r="EVJ67" s="382"/>
      <c r="EVK67" s="382"/>
      <c r="EVL67" s="382"/>
      <c r="EVM67" s="382"/>
      <c r="EVN67" s="382"/>
      <c r="EVO67" s="382"/>
      <c r="EVP67" s="382"/>
      <c r="EVQ67" s="382"/>
      <c r="EVR67" s="382"/>
      <c r="EVS67" s="382"/>
      <c r="EVT67" s="382"/>
      <c r="EVU67" s="382"/>
      <c r="EVV67" s="382"/>
      <c r="EVW67" s="382"/>
      <c r="EVX67" s="382"/>
      <c r="EVY67" s="382"/>
      <c r="EVZ67" s="382"/>
      <c r="EWA67" s="382"/>
      <c r="EWB67" s="382"/>
      <c r="EWC67" s="382"/>
      <c r="EWD67" s="382"/>
      <c r="EWE67" s="382"/>
      <c r="EWF67" s="382"/>
      <c r="EWG67" s="382"/>
      <c r="EWH67" s="382"/>
      <c r="EWI67" s="382"/>
      <c r="EWJ67" s="382"/>
      <c r="EWK67" s="382"/>
      <c r="EWL67" s="382"/>
      <c r="EWM67" s="382"/>
      <c r="EWN67" s="382"/>
      <c r="EWO67" s="382"/>
      <c r="EWP67" s="382"/>
      <c r="EWQ67" s="382"/>
      <c r="EWR67" s="382"/>
      <c r="EWS67" s="382"/>
      <c r="EWT67" s="382"/>
      <c r="EWU67" s="382"/>
      <c r="EWV67" s="382"/>
      <c r="EWW67" s="382"/>
      <c r="EWX67" s="382"/>
      <c r="EWY67" s="382"/>
      <c r="EWZ67" s="382"/>
      <c r="EXA67" s="382"/>
      <c r="EXB67" s="382"/>
      <c r="EXC67" s="382"/>
      <c r="EXD67" s="382"/>
      <c r="EXE67" s="382"/>
      <c r="EXF67" s="382"/>
      <c r="EXG67" s="382"/>
      <c r="EXH67" s="382"/>
      <c r="EXI67" s="382"/>
      <c r="EXJ67" s="382"/>
      <c r="EXK67" s="382"/>
      <c r="EXL67" s="382"/>
      <c r="EXM67" s="382"/>
      <c r="EXN67" s="382"/>
      <c r="EXO67" s="382"/>
      <c r="EXP67" s="382"/>
      <c r="EXQ67" s="382"/>
      <c r="EXR67" s="382"/>
      <c r="EXS67" s="382"/>
      <c r="EXT67" s="382"/>
      <c r="EXU67" s="382"/>
      <c r="EXV67" s="382"/>
      <c r="EXW67" s="382"/>
      <c r="EXX67" s="382"/>
      <c r="EXY67" s="382"/>
      <c r="EXZ67" s="382"/>
      <c r="EYA67" s="382"/>
      <c r="EYB67" s="382"/>
      <c r="EYC67" s="382"/>
      <c r="EYD67" s="382"/>
      <c r="EYE67" s="382"/>
      <c r="EYF67" s="382"/>
      <c r="EYG67" s="382"/>
      <c r="EYH67" s="382"/>
      <c r="EYI67" s="382"/>
      <c r="EYJ67" s="382"/>
      <c r="EYK67" s="382"/>
      <c r="EYL67" s="382"/>
      <c r="EYM67" s="382"/>
      <c r="EYN67" s="382"/>
      <c r="EYO67" s="382"/>
      <c r="EYP67" s="382"/>
      <c r="EYQ67" s="382"/>
      <c r="EYR67" s="382"/>
      <c r="EYS67" s="382"/>
      <c r="EYT67" s="382"/>
      <c r="EYU67" s="382"/>
      <c r="EYV67" s="382"/>
      <c r="EYW67" s="382"/>
      <c r="EYX67" s="382"/>
      <c r="EYY67" s="382"/>
      <c r="EYZ67" s="382"/>
      <c r="EZA67" s="382"/>
      <c r="EZB67" s="382"/>
      <c r="EZC67" s="382"/>
      <c r="EZD67" s="382"/>
      <c r="EZE67" s="382"/>
      <c r="EZF67" s="382"/>
      <c r="EZG67" s="382"/>
      <c r="EZH67" s="382"/>
      <c r="EZI67" s="382"/>
      <c r="EZJ67" s="382"/>
      <c r="EZK67" s="382"/>
      <c r="EZL67" s="382"/>
      <c r="EZM67" s="382"/>
      <c r="EZN67" s="382"/>
      <c r="EZO67" s="382"/>
      <c r="EZP67" s="382"/>
      <c r="EZQ67" s="382"/>
      <c r="EZR67" s="382"/>
      <c r="EZS67" s="382"/>
      <c r="EZT67" s="382"/>
      <c r="EZU67" s="382"/>
      <c r="EZV67" s="382"/>
      <c r="EZW67" s="382"/>
      <c r="EZX67" s="382"/>
      <c r="EZY67" s="382"/>
      <c r="EZZ67" s="382"/>
      <c r="FAA67" s="382"/>
      <c r="FAB67" s="382"/>
      <c r="FAC67" s="382"/>
      <c r="FAD67" s="382"/>
      <c r="FAE67" s="382"/>
      <c r="FAF67" s="382"/>
      <c r="FAG67" s="382"/>
      <c r="FAH67" s="382"/>
      <c r="FAI67" s="382"/>
      <c r="FAJ67" s="382"/>
      <c r="FAK67" s="382"/>
      <c r="FAL67" s="382"/>
      <c r="FAM67" s="382"/>
      <c r="FAN67" s="382"/>
      <c r="FAO67" s="382"/>
      <c r="FAP67" s="382"/>
      <c r="FAQ67" s="382"/>
      <c r="FAR67" s="382"/>
      <c r="FAS67" s="382"/>
      <c r="FAT67" s="382"/>
      <c r="FAU67" s="382"/>
      <c r="FAV67" s="382"/>
      <c r="FAW67" s="382"/>
      <c r="FAX67" s="382"/>
      <c r="FAY67" s="382"/>
      <c r="FAZ67" s="382"/>
      <c r="FBA67" s="382"/>
      <c r="FBB67" s="382"/>
      <c r="FBC67" s="382"/>
      <c r="FBD67" s="382"/>
      <c r="FBE67" s="382"/>
      <c r="FBF67" s="382"/>
      <c r="FBG67" s="382"/>
      <c r="FBH67" s="382"/>
      <c r="FBI67" s="382"/>
      <c r="FBJ67" s="382"/>
      <c r="FBK67" s="382"/>
      <c r="FBL67" s="382"/>
      <c r="FBM67" s="382"/>
      <c r="FBN67" s="382"/>
      <c r="FBO67" s="382"/>
      <c r="FBP67" s="382"/>
      <c r="FBQ67" s="382"/>
      <c r="FBR67" s="382"/>
      <c r="FBS67" s="382"/>
      <c r="FBT67" s="382"/>
      <c r="FBU67" s="382"/>
      <c r="FBV67" s="382"/>
      <c r="FBW67" s="382"/>
      <c r="FBX67" s="382"/>
      <c r="FBY67" s="382"/>
      <c r="FBZ67" s="382"/>
      <c r="FCA67" s="382"/>
      <c r="FCB67" s="382"/>
      <c r="FCC67" s="382"/>
      <c r="FCD67" s="382"/>
      <c r="FCE67" s="382"/>
      <c r="FCF67" s="382"/>
      <c r="FCG67" s="382"/>
      <c r="FCH67" s="382"/>
      <c r="FCI67" s="382"/>
      <c r="FCJ67" s="382"/>
      <c r="FCK67" s="382"/>
      <c r="FCL67" s="382"/>
      <c r="FCM67" s="382"/>
      <c r="FCN67" s="382"/>
      <c r="FCO67" s="382"/>
      <c r="FCP67" s="382"/>
      <c r="FCQ67" s="382"/>
      <c r="FCR67" s="382"/>
      <c r="FCS67" s="382"/>
      <c r="FCT67" s="382"/>
      <c r="FCU67" s="382"/>
      <c r="FCV67" s="382"/>
      <c r="FCW67" s="382"/>
      <c r="FCX67" s="382"/>
      <c r="FCY67" s="382"/>
      <c r="FCZ67" s="382"/>
      <c r="FDA67" s="382"/>
      <c r="FDB67" s="382"/>
      <c r="FDC67" s="382"/>
      <c r="FDD67" s="382"/>
      <c r="FDE67" s="382"/>
      <c r="FDF67" s="382"/>
      <c r="FDG67" s="382"/>
      <c r="FDH67" s="382"/>
      <c r="FDI67" s="382"/>
      <c r="FDJ67" s="382"/>
      <c r="FDK67" s="382"/>
      <c r="FDL67" s="382"/>
      <c r="FDM67" s="382"/>
      <c r="FDN67" s="382"/>
      <c r="FDO67" s="382"/>
      <c r="FDP67" s="382"/>
      <c r="FDQ67" s="382"/>
      <c r="FDR67" s="382"/>
      <c r="FDS67" s="382"/>
      <c r="FDT67" s="382"/>
      <c r="FDU67" s="382"/>
      <c r="FDV67" s="382"/>
      <c r="FDW67" s="382"/>
      <c r="FDX67" s="382"/>
      <c r="FDY67" s="382"/>
      <c r="FDZ67" s="382"/>
      <c r="FEA67" s="382"/>
      <c r="FEB67" s="382"/>
      <c r="FEC67" s="382"/>
      <c r="FED67" s="382"/>
      <c r="FEE67" s="382"/>
      <c r="FEF67" s="382"/>
      <c r="FEG67" s="382"/>
      <c r="FEH67" s="382"/>
      <c r="FEI67" s="382"/>
      <c r="FEJ67" s="382"/>
      <c r="FEK67" s="382"/>
      <c r="FEL67" s="382"/>
      <c r="FEM67" s="382"/>
      <c r="FEN67" s="382"/>
      <c r="FEO67" s="382"/>
      <c r="FEP67" s="382"/>
      <c r="FEQ67" s="382"/>
      <c r="FER67" s="382"/>
      <c r="FES67" s="382"/>
      <c r="FET67" s="382"/>
      <c r="FEU67" s="382"/>
      <c r="FEV67" s="382"/>
      <c r="FEW67" s="382"/>
      <c r="FEX67" s="382"/>
      <c r="FEY67" s="382"/>
      <c r="FEZ67" s="382"/>
      <c r="FFA67" s="382"/>
      <c r="FFB67" s="382"/>
      <c r="FFC67" s="382"/>
      <c r="FFD67" s="382"/>
      <c r="FFE67" s="382"/>
      <c r="FFF67" s="382"/>
      <c r="FFG67" s="382"/>
      <c r="FFH67" s="382"/>
      <c r="FFI67" s="382"/>
      <c r="FFJ67" s="382"/>
      <c r="FFK67" s="382"/>
      <c r="FFL67" s="382"/>
      <c r="FFM67" s="382"/>
      <c r="FFN67" s="382"/>
      <c r="FFO67" s="382"/>
      <c r="FFP67" s="382"/>
      <c r="FFQ67" s="382"/>
      <c r="FFR67" s="382"/>
      <c r="FFS67" s="382"/>
      <c r="FFT67" s="382"/>
      <c r="FFU67" s="382"/>
      <c r="FFV67" s="382"/>
      <c r="FFW67" s="382"/>
      <c r="FFX67" s="382"/>
      <c r="FFY67" s="382"/>
      <c r="FFZ67" s="382"/>
      <c r="FGA67" s="382"/>
      <c r="FGB67" s="382"/>
      <c r="FGC67" s="382"/>
      <c r="FGD67" s="382"/>
      <c r="FGE67" s="382"/>
      <c r="FGF67" s="382"/>
      <c r="FGG67" s="382"/>
      <c r="FGH67" s="382"/>
      <c r="FGI67" s="382"/>
      <c r="FGJ67" s="382"/>
      <c r="FGK67" s="382"/>
      <c r="FGL67" s="382"/>
      <c r="FGM67" s="382"/>
      <c r="FGN67" s="382"/>
      <c r="FGO67" s="382"/>
      <c r="FGP67" s="382"/>
      <c r="FGQ67" s="382"/>
      <c r="FGR67" s="382"/>
      <c r="FGS67" s="382"/>
      <c r="FGT67" s="382"/>
      <c r="FGU67" s="382"/>
      <c r="FGV67" s="382"/>
      <c r="FGW67" s="382"/>
      <c r="FGX67" s="382"/>
      <c r="FGY67" s="382"/>
      <c r="FGZ67" s="382"/>
      <c r="FHA67" s="382"/>
      <c r="FHB67" s="382"/>
      <c r="FHC67" s="382"/>
      <c r="FHD67" s="382"/>
      <c r="FHE67" s="382"/>
      <c r="FHF67" s="382"/>
      <c r="FHG67" s="382"/>
      <c r="FHH67" s="382"/>
      <c r="FHI67" s="382"/>
      <c r="FHJ67" s="382"/>
      <c r="FHK67" s="382"/>
      <c r="FHL67" s="382"/>
      <c r="FHM67" s="382"/>
      <c r="FHN67" s="382"/>
      <c r="FHO67" s="382"/>
      <c r="FHP67" s="382"/>
      <c r="FHQ67" s="382"/>
      <c r="FHR67" s="382"/>
      <c r="FHS67" s="382"/>
      <c r="FHT67" s="382"/>
      <c r="FHU67" s="382"/>
      <c r="FHV67" s="382"/>
      <c r="FHW67" s="382"/>
      <c r="FHX67" s="382"/>
      <c r="FHY67" s="382"/>
      <c r="FHZ67" s="382"/>
      <c r="FIA67" s="382"/>
      <c r="FIB67" s="382"/>
      <c r="FIC67" s="382"/>
      <c r="FID67" s="382"/>
      <c r="FIE67" s="382"/>
      <c r="FIF67" s="382"/>
      <c r="FIG67" s="382"/>
      <c r="FIH67" s="382"/>
      <c r="FII67" s="382"/>
      <c r="FIJ67" s="382"/>
      <c r="FIK67" s="382"/>
      <c r="FIL67" s="382"/>
      <c r="FIM67" s="382"/>
      <c r="FIN67" s="382"/>
      <c r="FIO67" s="382"/>
      <c r="FIP67" s="382"/>
      <c r="FIQ67" s="382"/>
      <c r="FIR67" s="382"/>
      <c r="FIS67" s="382"/>
      <c r="FIT67" s="382"/>
      <c r="FIU67" s="382"/>
      <c r="FIV67" s="382"/>
      <c r="FIW67" s="382"/>
      <c r="FIX67" s="382"/>
      <c r="FIY67" s="382"/>
      <c r="FIZ67" s="382"/>
      <c r="FJA67" s="382"/>
      <c r="FJB67" s="382"/>
      <c r="FJC67" s="382"/>
      <c r="FJD67" s="382"/>
      <c r="FJE67" s="382"/>
      <c r="FJF67" s="382"/>
      <c r="FJG67" s="382"/>
      <c r="FJH67" s="382"/>
      <c r="FJI67" s="382"/>
      <c r="FJJ67" s="382"/>
      <c r="FJK67" s="382"/>
      <c r="FJL67" s="382"/>
      <c r="FJM67" s="382"/>
      <c r="FJN67" s="382"/>
      <c r="FJO67" s="382"/>
      <c r="FJP67" s="382"/>
      <c r="FJQ67" s="382"/>
      <c r="FJR67" s="382"/>
      <c r="FJS67" s="382"/>
      <c r="FJT67" s="382"/>
      <c r="FJU67" s="382"/>
      <c r="FJV67" s="382"/>
      <c r="FJW67" s="382"/>
      <c r="FJX67" s="382"/>
      <c r="FJY67" s="382"/>
      <c r="FJZ67" s="382"/>
      <c r="FKA67" s="382"/>
      <c r="FKB67" s="382"/>
      <c r="FKC67" s="382"/>
      <c r="FKD67" s="382"/>
      <c r="FKE67" s="382"/>
      <c r="FKF67" s="382"/>
      <c r="FKG67" s="382"/>
      <c r="FKH67" s="382"/>
      <c r="FKI67" s="382"/>
      <c r="FKJ67" s="382"/>
      <c r="FKK67" s="382"/>
      <c r="FKL67" s="382"/>
      <c r="FKM67" s="382"/>
      <c r="FKN67" s="382"/>
      <c r="FKO67" s="382"/>
      <c r="FKP67" s="382"/>
      <c r="FKQ67" s="382"/>
      <c r="FKR67" s="382"/>
      <c r="FKS67" s="382"/>
      <c r="FKT67" s="382"/>
      <c r="FKU67" s="382"/>
      <c r="FKV67" s="382"/>
      <c r="FKW67" s="382"/>
      <c r="FKX67" s="382"/>
      <c r="FKY67" s="382"/>
      <c r="FKZ67" s="382"/>
      <c r="FLA67" s="382"/>
      <c r="FLB67" s="382"/>
      <c r="FLC67" s="382"/>
      <c r="FLD67" s="382"/>
      <c r="FLE67" s="382"/>
      <c r="FLF67" s="382"/>
      <c r="FLG67" s="382"/>
      <c r="FLH67" s="382"/>
      <c r="FLI67" s="382"/>
      <c r="FLJ67" s="382"/>
      <c r="FLK67" s="382"/>
      <c r="FLL67" s="382"/>
      <c r="FLM67" s="382"/>
      <c r="FLN67" s="382"/>
      <c r="FLO67" s="382"/>
      <c r="FLP67" s="382"/>
      <c r="FLQ67" s="382"/>
      <c r="FLR67" s="382"/>
      <c r="FLS67" s="382"/>
      <c r="FLT67" s="382"/>
      <c r="FLU67" s="382"/>
      <c r="FLV67" s="382"/>
      <c r="FLW67" s="382"/>
      <c r="FLX67" s="382"/>
      <c r="FLY67" s="382"/>
      <c r="FLZ67" s="382"/>
      <c r="FMA67" s="382"/>
      <c r="FMB67" s="382"/>
      <c r="FMC67" s="382"/>
      <c r="FMD67" s="382"/>
      <c r="FME67" s="382"/>
      <c r="FMF67" s="382"/>
      <c r="FMG67" s="382"/>
      <c r="FMH67" s="382"/>
      <c r="FMI67" s="382"/>
      <c r="FMJ67" s="382"/>
      <c r="FMK67" s="382"/>
      <c r="FML67" s="382"/>
      <c r="FMM67" s="382"/>
      <c r="FMN67" s="382"/>
      <c r="FMO67" s="382"/>
      <c r="FMP67" s="382"/>
      <c r="FMQ67" s="382"/>
      <c r="FMR67" s="382"/>
      <c r="FMS67" s="382"/>
      <c r="FMT67" s="382"/>
      <c r="FMU67" s="382"/>
      <c r="FMV67" s="382"/>
      <c r="FMW67" s="382"/>
      <c r="FMX67" s="382"/>
      <c r="FMY67" s="382"/>
      <c r="FMZ67" s="382"/>
      <c r="FNA67" s="382"/>
      <c r="FNB67" s="382"/>
      <c r="FNC67" s="382"/>
      <c r="FND67" s="382"/>
      <c r="FNE67" s="382"/>
      <c r="FNF67" s="382"/>
      <c r="FNG67" s="382"/>
      <c r="FNH67" s="382"/>
      <c r="FNI67" s="382"/>
      <c r="FNJ67" s="382"/>
      <c r="FNK67" s="382"/>
      <c r="FNL67" s="382"/>
      <c r="FNM67" s="382"/>
      <c r="FNN67" s="382"/>
      <c r="FNO67" s="382"/>
      <c r="FNP67" s="382"/>
      <c r="FNQ67" s="382"/>
      <c r="FNR67" s="382"/>
      <c r="FNS67" s="382"/>
      <c r="FNT67" s="382"/>
      <c r="FNU67" s="382"/>
      <c r="FNV67" s="382"/>
      <c r="FNW67" s="382"/>
      <c r="FNX67" s="382"/>
      <c r="FNY67" s="382"/>
      <c r="FNZ67" s="382"/>
      <c r="FOA67" s="382"/>
      <c r="FOB67" s="382"/>
      <c r="FOC67" s="382"/>
      <c r="FOD67" s="382"/>
      <c r="FOE67" s="382"/>
      <c r="FOF67" s="382"/>
      <c r="FOG67" s="382"/>
      <c r="FOH67" s="382"/>
      <c r="FOI67" s="382"/>
      <c r="FOJ67" s="382"/>
      <c r="FOK67" s="382"/>
      <c r="FOL67" s="382"/>
      <c r="FOM67" s="382"/>
      <c r="FON67" s="382"/>
      <c r="FOO67" s="382"/>
      <c r="FOP67" s="382"/>
      <c r="FOQ67" s="382"/>
      <c r="FOR67" s="382"/>
      <c r="FOS67" s="382"/>
      <c r="FOT67" s="382"/>
      <c r="FOU67" s="382"/>
      <c r="FOV67" s="382"/>
      <c r="FOW67" s="382"/>
      <c r="FOX67" s="382"/>
      <c r="FOY67" s="382"/>
      <c r="FOZ67" s="382"/>
      <c r="FPA67" s="382"/>
      <c r="FPB67" s="382"/>
      <c r="FPC67" s="382"/>
      <c r="FPD67" s="382"/>
      <c r="FPE67" s="382"/>
      <c r="FPF67" s="382"/>
      <c r="FPG67" s="382"/>
      <c r="FPH67" s="382"/>
      <c r="FPI67" s="382"/>
      <c r="FPJ67" s="382"/>
      <c r="FPK67" s="382"/>
      <c r="FPL67" s="382"/>
      <c r="FPM67" s="382"/>
      <c r="FPN67" s="382"/>
      <c r="FPO67" s="382"/>
      <c r="FPP67" s="382"/>
      <c r="FPQ67" s="382"/>
      <c r="FPR67" s="382"/>
      <c r="FPS67" s="382"/>
      <c r="FPT67" s="382"/>
      <c r="FPU67" s="382"/>
      <c r="FPV67" s="382"/>
      <c r="FPW67" s="382"/>
      <c r="FPX67" s="382"/>
      <c r="FPY67" s="382"/>
      <c r="FPZ67" s="382"/>
      <c r="FQA67" s="382"/>
      <c r="FQB67" s="382"/>
      <c r="FQC67" s="382"/>
      <c r="FQD67" s="382"/>
      <c r="FQE67" s="382"/>
      <c r="FQF67" s="382"/>
      <c r="FQG67" s="382"/>
      <c r="FQH67" s="382"/>
      <c r="FQI67" s="382"/>
      <c r="FQJ67" s="382"/>
      <c r="FQK67" s="382"/>
      <c r="FQL67" s="382"/>
      <c r="FQM67" s="382"/>
      <c r="FQN67" s="382"/>
      <c r="FQO67" s="382"/>
      <c r="FQP67" s="382"/>
      <c r="FQQ67" s="382"/>
      <c r="FQR67" s="382"/>
      <c r="FQS67" s="382"/>
      <c r="FQT67" s="382"/>
      <c r="FQU67" s="382"/>
      <c r="FQV67" s="382"/>
      <c r="FQW67" s="382"/>
      <c r="FQX67" s="382"/>
      <c r="FQY67" s="382"/>
      <c r="FQZ67" s="382"/>
      <c r="FRA67" s="382"/>
      <c r="FRB67" s="382"/>
      <c r="FRC67" s="382"/>
      <c r="FRD67" s="382"/>
      <c r="FRE67" s="382"/>
      <c r="FRF67" s="382"/>
      <c r="FRG67" s="382"/>
      <c r="FRH67" s="382"/>
      <c r="FRI67" s="382"/>
      <c r="FRJ67" s="382"/>
      <c r="FRK67" s="382"/>
      <c r="FRL67" s="382"/>
      <c r="FRM67" s="382"/>
      <c r="FRN67" s="382"/>
      <c r="FRO67" s="382"/>
      <c r="FRP67" s="382"/>
      <c r="FRQ67" s="382"/>
      <c r="FRR67" s="382"/>
      <c r="FRS67" s="382"/>
      <c r="FRT67" s="382"/>
      <c r="FRU67" s="382"/>
      <c r="FRV67" s="382"/>
      <c r="FRW67" s="382"/>
      <c r="FRX67" s="382"/>
      <c r="FRY67" s="382"/>
      <c r="FRZ67" s="382"/>
      <c r="FSA67" s="382"/>
      <c r="FSB67" s="382"/>
      <c r="FSC67" s="382"/>
      <c r="FSD67" s="382"/>
      <c r="FSE67" s="382"/>
      <c r="FSF67" s="382"/>
      <c r="FSG67" s="382"/>
      <c r="FSH67" s="382"/>
      <c r="FSI67" s="382"/>
      <c r="FSJ67" s="382"/>
      <c r="FSK67" s="382"/>
      <c r="FSL67" s="382"/>
      <c r="FSM67" s="382"/>
      <c r="FSN67" s="382"/>
      <c r="FSO67" s="382"/>
      <c r="FSP67" s="382"/>
      <c r="FSQ67" s="382"/>
      <c r="FSR67" s="382"/>
      <c r="FSS67" s="382"/>
      <c r="FST67" s="382"/>
      <c r="FSU67" s="382"/>
      <c r="FSV67" s="382"/>
      <c r="FSW67" s="382"/>
      <c r="FSX67" s="382"/>
      <c r="FSY67" s="382"/>
      <c r="FSZ67" s="382"/>
      <c r="FTA67" s="382"/>
      <c r="FTB67" s="382"/>
      <c r="FTC67" s="382"/>
      <c r="FTD67" s="382"/>
      <c r="FTE67" s="382"/>
      <c r="FTF67" s="382"/>
      <c r="FTG67" s="382"/>
      <c r="FTH67" s="382"/>
      <c r="FTI67" s="382"/>
      <c r="FTJ67" s="382"/>
      <c r="FTK67" s="382"/>
      <c r="FTL67" s="382"/>
      <c r="FTM67" s="382"/>
      <c r="FTN67" s="382"/>
      <c r="FTO67" s="382"/>
      <c r="FTP67" s="382"/>
      <c r="FTQ67" s="382"/>
      <c r="FTR67" s="382"/>
      <c r="FTS67" s="382"/>
      <c r="FTT67" s="382"/>
      <c r="FTU67" s="382"/>
      <c r="FTV67" s="382"/>
      <c r="FTW67" s="382"/>
      <c r="FTX67" s="382"/>
      <c r="FTY67" s="382"/>
      <c r="FTZ67" s="382"/>
      <c r="FUA67" s="382"/>
      <c r="FUB67" s="382"/>
      <c r="FUC67" s="382"/>
      <c r="FUD67" s="382"/>
      <c r="FUE67" s="382"/>
      <c r="FUF67" s="382"/>
      <c r="FUG67" s="382"/>
      <c r="FUH67" s="382"/>
      <c r="FUI67" s="382"/>
      <c r="FUJ67" s="382"/>
      <c r="FUK67" s="382"/>
      <c r="FUL67" s="382"/>
      <c r="FUM67" s="382"/>
      <c r="FUN67" s="382"/>
      <c r="FUO67" s="382"/>
      <c r="FUP67" s="382"/>
      <c r="FUQ67" s="382"/>
      <c r="FUR67" s="382"/>
      <c r="FUS67" s="382"/>
      <c r="FUT67" s="382"/>
      <c r="FUU67" s="382"/>
      <c r="FUV67" s="382"/>
      <c r="FUW67" s="382"/>
      <c r="FUX67" s="382"/>
      <c r="FUY67" s="382"/>
      <c r="FUZ67" s="382"/>
      <c r="FVA67" s="382"/>
      <c r="FVB67" s="382"/>
      <c r="FVC67" s="382"/>
      <c r="FVD67" s="382"/>
      <c r="FVE67" s="382"/>
      <c r="FVF67" s="382"/>
      <c r="FVG67" s="382"/>
      <c r="FVH67" s="382"/>
      <c r="FVI67" s="382"/>
      <c r="FVJ67" s="382"/>
      <c r="FVK67" s="382"/>
      <c r="FVL67" s="382"/>
      <c r="FVM67" s="382"/>
      <c r="FVN67" s="382"/>
      <c r="FVO67" s="382"/>
      <c r="FVP67" s="382"/>
      <c r="FVQ67" s="382"/>
      <c r="FVR67" s="382"/>
      <c r="FVS67" s="382"/>
      <c r="FVT67" s="382"/>
      <c r="FVU67" s="382"/>
      <c r="FVV67" s="382"/>
      <c r="FVW67" s="382"/>
      <c r="FVX67" s="382"/>
      <c r="FVY67" s="382"/>
      <c r="FVZ67" s="382"/>
      <c r="FWA67" s="382"/>
      <c r="FWB67" s="382"/>
      <c r="FWC67" s="382"/>
      <c r="FWD67" s="382"/>
      <c r="FWE67" s="382"/>
      <c r="FWF67" s="382"/>
      <c r="FWG67" s="382"/>
      <c r="FWH67" s="382"/>
      <c r="FWI67" s="382"/>
      <c r="FWJ67" s="382"/>
      <c r="FWK67" s="382"/>
      <c r="FWL67" s="382"/>
      <c r="FWM67" s="382"/>
      <c r="FWN67" s="382"/>
      <c r="FWO67" s="382"/>
      <c r="FWP67" s="382"/>
      <c r="FWQ67" s="382"/>
      <c r="FWR67" s="382"/>
      <c r="FWS67" s="382"/>
      <c r="FWT67" s="382"/>
      <c r="FWU67" s="382"/>
      <c r="FWV67" s="382"/>
      <c r="FWW67" s="382"/>
      <c r="FWX67" s="382"/>
      <c r="FWY67" s="382"/>
      <c r="FWZ67" s="382"/>
      <c r="FXA67" s="382"/>
      <c r="FXB67" s="382"/>
      <c r="FXC67" s="382"/>
      <c r="FXD67" s="382"/>
      <c r="FXE67" s="382"/>
      <c r="FXF67" s="382"/>
      <c r="FXG67" s="382"/>
      <c r="FXH67" s="382"/>
      <c r="FXI67" s="382"/>
      <c r="FXJ67" s="382"/>
      <c r="FXK67" s="382"/>
      <c r="FXL67" s="382"/>
      <c r="FXM67" s="382"/>
      <c r="FXN67" s="382"/>
      <c r="FXO67" s="382"/>
      <c r="FXP67" s="382"/>
      <c r="FXQ67" s="382"/>
      <c r="FXR67" s="382"/>
      <c r="FXS67" s="382"/>
      <c r="FXT67" s="382"/>
      <c r="FXU67" s="382"/>
      <c r="FXV67" s="382"/>
      <c r="FXW67" s="382"/>
      <c r="FXX67" s="382"/>
      <c r="FXY67" s="382"/>
      <c r="FXZ67" s="382"/>
      <c r="FYA67" s="382"/>
      <c r="FYB67" s="382"/>
      <c r="FYC67" s="382"/>
      <c r="FYD67" s="382"/>
      <c r="FYE67" s="382"/>
      <c r="FYF67" s="382"/>
      <c r="FYG67" s="382"/>
      <c r="FYH67" s="382"/>
      <c r="FYI67" s="382"/>
      <c r="FYJ67" s="382"/>
      <c r="FYK67" s="382"/>
      <c r="FYL67" s="382"/>
      <c r="FYM67" s="382"/>
      <c r="FYN67" s="382"/>
      <c r="FYO67" s="382"/>
      <c r="FYP67" s="382"/>
      <c r="FYQ67" s="382"/>
      <c r="FYR67" s="382"/>
      <c r="FYS67" s="382"/>
      <c r="FYT67" s="382"/>
      <c r="FYU67" s="382"/>
      <c r="FYV67" s="382"/>
      <c r="FYW67" s="382"/>
      <c r="FYX67" s="382"/>
      <c r="FYY67" s="382"/>
      <c r="FYZ67" s="382"/>
      <c r="FZA67" s="382"/>
      <c r="FZB67" s="382"/>
      <c r="FZC67" s="382"/>
      <c r="FZD67" s="382"/>
      <c r="FZE67" s="382"/>
      <c r="FZF67" s="382"/>
      <c r="FZG67" s="382"/>
      <c r="FZH67" s="382"/>
      <c r="FZI67" s="382"/>
      <c r="FZJ67" s="382"/>
      <c r="FZK67" s="382"/>
      <c r="FZL67" s="382"/>
      <c r="FZM67" s="382"/>
      <c r="FZN67" s="382"/>
      <c r="FZO67" s="382"/>
      <c r="FZP67" s="382"/>
      <c r="FZQ67" s="382"/>
      <c r="FZR67" s="382"/>
      <c r="FZS67" s="382"/>
      <c r="FZT67" s="382"/>
      <c r="FZU67" s="382"/>
      <c r="FZV67" s="382"/>
      <c r="FZW67" s="382"/>
      <c r="FZX67" s="382"/>
      <c r="FZY67" s="382"/>
      <c r="FZZ67" s="382"/>
      <c r="GAA67" s="382"/>
      <c r="GAB67" s="382"/>
      <c r="GAC67" s="382"/>
      <c r="GAD67" s="382"/>
      <c r="GAE67" s="382"/>
      <c r="GAF67" s="382"/>
      <c r="GAG67" s="382"/>
      <c r="GAH67" s="382"/>
      <c r="GAI67" s="382"/>
      <c r="GAJ67" s="382"/>
      <c r="GAK67" s="382"/>
      <c r="GAL67" s="382"/>
      <c r="GAM67" s="382"/>
      <c r="GAN67" s="382"/>
      <c r="GAO67" s="382"/>
      <c r="GAP67" s="382"/>
      <c r="GAQ67" s="382"/>
      <c r="GAR67" s="382"/>
      <c r="GAS67" s="382"/>
      <c r="GAT67" s="382"/>
      <c r="GAU67" s="382"/>
      <c r="GAV67" s="382"/>
      <c r="GAW67" s="382"/>
      <c r="GAX67" s="382"/>
      <c r="GAY67" s="382"/>
      <c r="GAZ67" s="382"/>
      <c r="GBA67" s="382"/>
      <c r="GBB67" s="382"/>
      <c r="GBC67" s="382"/>
      <c r="GBD67" s="382"/>
      <c r="GBE67" s="382"/>
      <c r="GBF67" s="382"/>
      <c r="GBG67" s="382"/>
      <c r="GBH67" s="382"/>
      <c r="GBI67" s="382"/>
      <c r="GBJ67" s="382"/>
      <c r="GBK67" s="382"/>
      <c r="GBL67" s="382"/>
      <c r="GBM67" s="382"/>
      <c r="GBN67" s="382"/>
      <c r="GBO67" s="382"/>
      <c r="GBP67" s="382"/>
      <c r="GBQ67" s="382"/>
      <c r="GBR67" s="382"/>
      <c r="GBS67" s="382"/>
      <c r="GBT67" s="382"/>
      <c r="GBU67" s="382"/>
      <c r="GBV67" s="382"/>
      <c r="GBW67" s="382"/>
      <c r="GBX67" s="382"/>
      <c r="GBY67" s="382"/>
      <c r="GBZ67" s="382"/>
      <c r="GCA67" s="382"/>
      <c r="GCB67" s="382"/>
      <c r="GCC67" s="382"/>
      <c r="GCD67" s="382"/>
      <c r="GCE67" s="382"/>
      <c r="GCF67" s="382"/>
      <c r="GCG67" s="382"/>
      <c r="GCH67" s="382"/>
      <c r="GCI67" s="382"/>
      <c r="GCJ67" s="382"/>
      <c r="GCK67" s="382"/>
      <c r="GCL67" s="382"/>
      <c r="GCM67" s="382"/>
      <c r="GCN67" s="382"/>
      <c r="GCO67" s="382"/>
      <c r="GCP67" s="382"/>
      <c r="GCQ67" s="382"/>
      <c r="GCR67" s="382"/>
      <c r="GCS67" s="382"/>
      <c r="GCT67" s="382"/>
      <c r="GCU67" s="382"/>
      <c r="GCV67" s="382"/>
      <c r="GCW67" s="382"/>
      <c r="GCX67" s="382"/>
      <c r="GCY67" s="382"/>
      <c r="GCZ67" s="382"/>
      <c r="GDA67" s="382"/>
      <c r="GDB67" s="382"/>
      <c r="GDC67" s="382"/>
      <c r="GDD67" s="382"/>
      <c r="GDE67" s="382"/>
      <c r="GDF67" s="382"/>
      <c r="GDG67" s="382"/>
      <c r="GDH67" s="382"/>
      <c r="GDI67" s="382"/>
      <c r="GDJ67" s="382"/>
      <c r="GDK67" s="382"/>
      <c r="GDL67" s="382"/>
      <c r="GDM67" s="382"/>
      <c r="GDN67" s="382"/>
      <c r="GDO67" s="382"/>
      <c r="GDP67" s="382"/>
      <c r="GDQ67" s="382"/>
      <c r="GDR67" s="382"/>
      <c r="GDS67" s="382"/>
      <c r="GDT67" s="382"/>
      <c r="GDU67" s="382"/>
      <c r="GDV67" s="382"/>
      <c r="GDW67" s="382"/>
      <c r="GDX67" s="382"/>
      <c r="GDY67" s="382"/>
      <c r="GDZ67" s="382"/>
      <c r="GEA67" s="382"/>
      <c r="GEB67" s="382"/>
      <c r="GEC67" s="382"/>
      <c r="GED67" s="382"/>
      <c r="GEE67" s="382"/>
      <c r="GEF67" s="382"/>
      <c r="GEG67" s="382"/>
      <c r="GEH67" s="382"/>
      <c r="GEI67" s="382"/>
      <c r="GEJ67" s="382"/>
      <c r="GEK67" s="382"/>
      <c r="GEL67" s="382"/>
      <c r="GEM67" s="382"/>
      <c r="GEN67" s="382"/>
      <c r="GEO67" s="382"/>
      <c r="GEP67" s="382"/>
      <c r="GEQ67" s="382"/>
      <c r="GER67" s="382"/>
      <c r="GES67" s="382"/>
      <c r="GET67" s="382"/>
      <c r="GEU67" s="382"/>
      <c r="GEV67" s="382"/>
      <c r="GEW67" s="382"/>
      <c r="GEX67" s="382"/>
      <c r="GEY67" s="382"/>
      <c r="GEZ67" s="382"/>
      <c r="GFA67" s="382"/>
      <c r="GFB67" s="382"/>
      <c r="GFC67" s="382"/>
      <c r="GFD67" s="382"/>
      <c r="GFE67" s="382"/>
      <c r="GFF67" s="382"/>
      <c r="GFG67" s="382"/>
      <c r="GFH67" s="382"/>
      <c r="GFI67" s="382"/>
      <c r="GFJ67" s="382"/>
      <c r="GFK67" s="382"/>
      <c r="GFL67" s="382"/>
      <c r="GFM67" s="382"/>
      <c r="GFN67" s="382"/>
      <c r="GFO67" s="382"/>
      <c r="GFP67" s="382"/>
      <c r="GFQ67" s="382"/>
      <c r="GFR67" s="382"/>
      <c r="GFS67" s="382"/>
      <c r="GFT67" s="382"/>
      <c r="GFU67" s="382"/>
      <c r="GFV67" s="382"/>
      <c r="GFW67" s="382"/>
      <c r="GFX67" s="382"/>
      <c r="GFY67" s="382"/>
      <c r="GFZ67" s="382"/>
      <c r="GGA67" s="382"/>
      <c r="GGB67" s="382"/>
      <c r="GGC67" s="382"/>
      <c r="GGD67" s="382"/>
      <c r="GGE67" s="382"/>
      <c r="GGF67" s="382"/>
      <c r="GGG67" s="382"/>
      <c r="GGH67" s="382"/>
      <c r="GGI67" s="382"/>
      <c r="GGJ67" s="382"/>
      <c r="GGK67" s="382"/>
      <c r="GGL67" s="382"/>
      <c r="GGM67" s="382"/>
      <c r="GGN67" s="382"/>
      <c r="GGO67" s="382"/>
      <c r="GGP67" s="382"/>
      <c r="GGQ67" s="382"/>
      <c r="GGR67" s="382"/>
      <c r="GGS67" s="382"/>
      <c r="GGT67" s="382"/>
      <c r="GGU67" s="382"/>
      <c r="GGV67" s="382"/>
      <c r="GGW67" s="382"/>
      <c r="GGX67" s="382"/>
      <c r="GGY67" s="382"/>
      <c r="GGZ67" s="382"/>
      <c r="GHA67" s="382"/>
      <c r="GHB67" s="382"/>
      <c r="GHC67" s="382"/>
      <c r="GHD67" s="382"/>
      <c r="GHE67" s="382"/>
      <c r="GHF67" s="382"/>
      <c r="GHG67" s="382"/>
      <c r="GHH67" s="382"/>
      <c r="GHI67" s="382"/>
      <c r="GHJ67" s="382"/>
      <c r="GHK67" s="382"/>
      <c r="GHL67" s="382"/>
      <c r="GHM67" s="382"/>
      <c r="GHN67" s="382"/>
      <c r="GHO67" s="382"/>
      <c r="GHP67" s="382"/>
      <c r="GHQ67" s="382"/>
      <c r="GHR67" s="382"/>
      <c r="GHS67" s="382"/>
      <c r="GHT67" s="382"/>
      <c r="GHU67" s="382"/>
      <c r="GHV67" s="382"/>
      <c r="GHW67" s="382"/>
      <c r="GHX67" s="382"/>
      <c r="GHY67" s="382"/>
      <c r="GHZ67" s="382"/>
      <c r="GIA67" s="382"/>
      <c r="GIB67" s="382"/>
      <c r="GIC67" s="382"/>
      <c r="GID67" s="382"/>
      <c r="GIE67" s="382"/>
      <c r="GIF67" s="382"/>
      <c r="GIG67" s="382"/>
      <c r="GIH67" s="382"/>
      <c r="GII67" s="382"/>
      <c r="GIJ67" s="382"/>
      <c r="GIK67" s="382"/>
      <c r="GIL67" s="382"/>
      <c r="GIM67" s="382"/>
      <c r="GIN67" s="382"/>
      <c r="GIO67" s="382"/>
      <c r="GIP67" s="382"/>
      <c r="GIQ67" s="382"/>
      <c r="GIR67" s="382"/>
      <c r="GIS67" s="382"/>
      <c r="GIT67" s="382"/>
      <c r="GIU67" s="382"/>
      <c r="GIV67" s="382"/>
      <c r="GIW67" s="382"/>
      <c r="GIX67" s="382"/>
      <c r="GIY67" s="382"/>
      <c r="GIZ67" s="382"/>
      <c r="GJA67" s="382"/>
      <c r="GJB67" s="382"/>
      <c r="GJC67" s="382"/>
      <c r="GJD67" s="382"/>
      <c r="GJE67" s="382"/>
      <c r="GJF67" s="382"/>
      <c r="GJG67" s="382"/>
      <c r="GJH67" s="382"/>
      <c r="GJI67" s="382"/>
      <c r="GJJ67" s="382"/>
      <c r="GJK67" s="382"/>
      <c r="GJL67" s="382"/>
      <c r="GJM67" s="382"/>
      <c r="GJN67" s="382"/>
      <c r="GJO67" s="382"/>
      <c r="GJP67" s="382"/>
      <c r="GJQ67" s="382"/>
      <c r="GJR67" s="382"/>
      <c r="GJS67" s="382"/>
      <c r="GJT67" s="382"/>
      <c r="GJU67" s="382"/>
      <c r="GJV67" s="382"/>
      <c r="GJW67" s="382"/>
      <c r="GJX67" s="382"/>
      <c r="GJY67" s="382"/>
      <c r="GJZ67" s="382"/>
      <c r="GKA67" s="382"/>
      <c r="GKB67" s="382"/>
      <c r="GKC67" s="382"/>
      <c r="GKD67" s="382"/>
      <c r="GKE67" s="382"/>
      <c r="GKF67" s="382"/>
      <c r="GKG67" s="382"/>
      <c r="GKH67" s="382"/>
      <c r="GKI67" s="382"/>
      <c r="GKJ67" s="382"/>
      <c r="GKK67" s="382"/>
      <c r="GKL67" s="382"/>
      <c r="GKM67" s="382"/>
      <c r="GKN67" s="382"/>
      <c r="GKO67" s="382"/>
      <c r="GKP67" s="382"/>
      <c r="GKQ67" s="382"/>
      <c r="GKR67" s="382"/>
      <c r="GKS67" s="382"/>
      <c r="GKT67" s="382"/>
      <c r="GKU67" s="382"/>
      <c r="GKV67" s="382"/>
      <c r="GKW67" s="382"/>
      <c r="GKX67" s="382"/>
      <c r="GKY67" s="382"/>
      <c r="GKZ67" s="382"/>
      <c r="GLA67" s="382"/>
      <c r="GLB67" s="382"/>
      <c r="GLC67" s="382"/>
      <c r="GLD67" s="382"/>
      <c r="GLE67" s="382"/>
      <c r="GLF67" s="382"/>
      <c r="GLG67" s="382"/>
      <c r="GLH67" s="382"/>
      <c r="GLI67" s="382"/>
      <c r="GLJ67" s="382"/>
      <c r="GLK67" s="382"/>
      <c r="GLL67" s="382"/>
      <c r="GLM67" s="382"/>
      <c r="GLN67" s="382"/>
      <c r="GLO67" s="382"/>
      <c r="GLP67" s="382"/>
      <c r="GLQ67" s="382"/>
      <c r="GLR67" s="382"/>
      <c r="GLS67" s="382"/>
      <c r="GLT67" s="382"/>
      <c r="GLU67" s="382"/>
      <c r="GLV67" s="382"/>
      <c r="GLW67" s="382"/>
      <c r="GLX67" s="382"/>
      <c r="GLY67" s="382"/>
      <c r="GLZ67" s="382"/>
      <c r="GMA67" s="382"/>
      <c r="GMB67" s="382"/>
      <c r="GMC67" s="382"/>
      <c r="GMD67" s="382"/>
      <c r="GME67" s="382"/>
      <c r="GMF67" s="382"/>
      <c r="GMG67" s="382"/>
      <c r="GMH67" s="382"/>
      <c r="GMI67" s="382"/>
      <c r="GMJ67" s="382"/>
      <c r="GMK67" s="382"/>
      <c r="GML67" s="382"/>
      <c r="GMM67" s="382"/>
      <c r="GMN67" s="382"/>
      <c r="GMO67" s="382"/>
      <c r="GMP67" s="382"/>
      <c r="GMQ67" s="382"/>
      <c r="GMR67" s="382"/>
      <c r="GMS67" s="382"/>
      <c r="GMT67" s="382"/>
      <c r="GMU67" s="382"/>
      <c r="GMV67" s="382"/>
      <c r="GMW67" s="382"/>
      <c r="GMX67" s="382"/>
      <c r="GMY67" s="382"/>
      <c r="GMZ67" s="382"/>
      <c r="GNA67" s="382"/>
      <c r="GNB67" s="382"/>
      <c r="GNC67" s="382"/>
      <c r="GND67" s="382"/>
      <c r="GNE67" s="382"/>
      <c r="GNF67" s="382"/>
      <c r="GNG67" s="382"/>
      <c r="GNH67" s="382"/>
      <c r="GNI67" s="382"/>
      <c r="GNJ67" s="382"/>
      <c r="GNK67" s="382"/>
      <c r="GNL67" s="382"/>
      <c r="GNM67" s="382"/>
      <c r="GNN67" s="382"/>
      <c r="GNO67" s="382"/>
      <c r="GNP67" s="382"/>
      <c r="GNQ67" s="382"/>
      <c r="GNR67" s="382"/>
      <c r="GNS67" s="382"/>
      <c r="GNT67" s="382"/>
      <c r="GNU67" s="382"/>
      <c r="GNV67" s="382"/>
      <c r="GNW67" s="382"/>
      <c r="GNX67" s="382"/>
      <c r="GNY67" s="382"/>
      <c r="GNZ67" s="382"/>
      <c r="GOA67" s="382"/>
      <c r="GOB67" s="382"/>
      <c r="GOC67" s="382"/>
      <c r="GOD67" s="382"/>
      <c r="GOE67" s="382"/>
      <c r="GOF67" s="382"/>
      <c r="GOG67" s="382"/>
      <c r="GOH67" s="382"/>
      <c r="GOI67" s="382"/>
      <c r="GOJ67" s="382"/>
      <c r="GOK67" s="382"/>
      <c r="GOL67" s="382"/>
      <c r="GOM67" s="382"/>
      <c r="GON67" s="382"/>
      <c r="GOO67" s="382"/>
      <c r="GOP67" s="382"/>
      <c r="GOQ67" s="382"/>
      <c r="GOR67" s="382"/>
      <c r="GOS67" s="382"/>
      <c r="GOT67" s="382"/>
      <c r="GOU67" s="382"/>
      <c r="GOV67" s="382"/>
      <c r="GOW67" s="382"/>
      <c r="GOX67" s="382"/>
      <c r="GOY67" s="382"/>
      <c r="GOZ67" s="382"/>
      <c r="GPA67" s="382"/>
      <c r="GPB67" s="382"/>
      <c r="GPC67" s="382"/>
      <c r="GPD67" s="382"/>
      <c r="GPE67" s="382"/>
      <c r="GPF67" s="382"/>
      <c r="GPG67" s="382"/>
      <c r="GPH67" s="382"/>
      <c r="GPI67" s="382"/>
      <c r="GPJ67" s="382"/>
      <c r="GPK67" s="382"/>
      <c r="GPL67" s="382"/>
      <c r="GPM67" s="382"/>
      <c r="GPN67" s="382"/>
      <c r="GPO67" s="382"/>
      <c r="GPP67" s="382"/>
      <c r="GPQ67" s="382"/>
      <c r="GPR67" s="382"/>
      <c r="GPS67" s="382"/>
      <c r="GPT67" s="382"/>
      <c r="GPU67" s="382"/>
      <c r="GPV67" s="382"/>
      <c r="GPW67" s="382"/>
      <c r="GPX67" s="382"/>
      <c r="GPY67" s="382"/>
      <c r="GPZ67" s="382"/>
      <c r="GQA67" s="382"/>
      <c r="GQB67" s="382"/>
      <c r="GQC67" s="382"/>
      <c r="GQD67" s="382"/>
      <c r="GQE67" s="382"/>
      <c r="GQF67" s="382"/>
      <c r="GQG67" s="382"/>
      <c r="GQH67" s="382"/>
      <c r="GQI67" s="382"/>
      <c r="GQJ67" s="382"/>
      <c r="GQK67" s="382"/>
      <c r="GQL67" s="382"/>
      <c r="GQM67" s="382"/>
      <c r="GQN67" s="382"/>
      <c r="GQO67" s="382"/>
      <c r="GQP67" s="382"/>
      <c r="GQQ67" s="382"/>
      <c r="GQR67" s="382"/>
      <c r="GQS67" s="382"/>
      <c r="GQT67" s="382"/>
      <c r="GQU67" s="382"/>
      <c r="GQV67" s="382"/>
      <c r="GQW67" s="382"/>
      <c r="GQX67" s="382"/>
      <c r="GQY67" s="382"/>
      <c r="GQZ67" s="382"/>
      <c r="GRA67" s="382"/>
      <c r="GRB67" s="382"/>
      <c r="GRC67" s="382"/>
      <c r="GRD67" s="382"/>
      <c r="GRE67" s="382"/>
      <c r="GRF67" s="382"/>
      <c r="GRG67" s="382"/>
      <c r="GRH67" s="382"/>
      <c r="GRI67" s="382"/>
      <c r="GRJ67" s="382"/>
      <c r="GRK67" s="382"/>
      <c r="GRL67" s="382"/>
      <c r="GRM67" s="382"/>
      <c r="GRN67" s="382"/>
      <c r="GRO67" s="382"/>
      <c r="GRP67" s="382"/>
      <c r="GRQ67" s="382"/>
      <c r="GRR67" s="382"/>
      <c r="GRS67" s="382"/>
      <c r="GRT67" s="382"/>
      <c r="GRU67" s="382"/>
      <c r="GRV67" s="382"/>
      <c r="GRW67" s="382"/>
      <c r="GRX67" s="382"/>
      <c r="GRY67" s="382"/>
      <c r="GRZ67" s="382"/>
      <c r="GSA67" s="382"/>
      <c r="GSB67" s="382"/>
      <c r="GSC67" s="382"/>
      <c r="GSD67" s="382"/>
      <c r="GSE67" s="382"/>
      <c r="GSF67" s="382"/>
      <c r="GSG67" s="382"/>
      <c r="GSH67" s="382"/>
      <c r="GSI67" s="382"/>
      <c r="GSJ67" s="382"/>
      <c r="GSK67" s="382"/>
      <c r="GSL67" s="382"/>
      <c r="GSM67" s="382"/>
      <c r="GSN67" s="382"/>
      <c r="GSO67" s="382"/>
      <c r="GSP67" s="382"/>
      <c r="GSQ67" s="382"/>
      <c r="GSR67" s="382"/>
      <c r="GSS67" s="382"/>
      <c r="GST67" s="382"/>
      <c r="GSU67" s="382"/>
      <c r="GSV67" s="382"/>
      <c r="GSW67" s="382"/>
      <c r="GSX67" s="382"/>
      <c r="GSY67" s="382"/>
      <c r="GSZ67" s="382"/>
      <c r="GTA67" s="382"/>
      <c r="GTB67" s="382"/>
      <c r="GTC67" s="382"/>
      <c r="GTD67" s="382"/>
      <c r="GTE67" s="382"/>
      <c r="GTF67" s="382"/>
      <c r="GTG67" s="382"/>
      <c r="GTH67" s="382"/>
      <c r="GTI67" s="382"/>
      <c r="GTJ67" s="382"/>
      <c r="GTK67" s="382"/>
      <c r="GTL67" s="382"/>
      <c r="GTM67" s="382"/>
      <c r="GTN67" s="382"/>
      <c r="GTO67" s="382"/>
      <c r="GTP67" s="382"/>
      <c r="GTQ67" s="382"/>
      <c r="GTR67" s="382"/>
      <c r="GTS67" s="382"/>
      <c r="GTT67" s="382"/>
      <c r="GTU67" s="382"/>
      <c r="GTV67" s="382"/>
      <c r="GTW67" s="382"/>
      <c r="GTX67" s="382"/>
      <c r="GTY67" s="382"/>
      <c r="GTZ67" s="382"/>
      <c r="GUA67" s="382"/>
      <c r="GUB67" s="382"/>
      <c r="GUC67" s="382"/>
      <c r="GUD67" s="382"/>
      <c r="GUE67" s="382"/>
      <c r="GUF67" s="382"/>
      <c r="GUG67" s="382"/>
      <c r="GUH67" s="382"/>
      <c r="GUI67" s="382"/>
      <c r="GUJ67" s="382"/>
      <c r="GUK67" s="382"/>
      <c r="GUL67" s="382"/>
      <c r="GUM67" s="382"/>
      <c r="GUN67" s="382"/>
      <c r="GUO67" s="382"/>
      <c r="GUP67" s="382"/>
      <c r="GUQ67" s="382"/>
      <c r="GUR67" s="382"/>
      <c r="GUS67" s="382"/>
      <c r="GUT67" s="382"/>
      <c r="GUU67" s="382"/>
      <c r="GUV67" s="382"/>
      <c r="GUW67" s="382"/>
      <c r="GUX67" s="382"/>
      <c r="GUY67" s="382"/>
      <c r="GUZ67" s="382"/>
      <c r="GVA67" s="382"/>
      <c r="GVB67" s="382"/>
      <c r="GVC67" s="382"/>
      <c r="GVD67" s="382"/>
      <c r="GVE67" s="382"/>
      <c r="GVF67" s="382"/>
      <c r="GVG67" s="382"/>
      <c r="GVH67" s="382"/>
      <c r="GVI67" s="382"/>
      <c r="GVJ67" s="382"/>
      <c r="GVK67" s="382"/>
      <c r="GVL67" s="382"/>
      <c r="GVM67" s="382"/>
      <c r="GVN67" s="382"/>
      <c r="GVO67" s="382"/>
      <c r="GVP67" s="382"/>
      <c r="GVQ67" s="382"/>
      <c r="GVR67" s="382"/>
      <c r="GVS67" s="382"/>
      <c r="GVT67" s="382"/>
      <c r="GVU67" s="382"/>
      <c r="GVV67" s="382"/>
      <c r="GVW67" s="382"/>
      <c r="GVX67" s="382"/>
      <c r="GVY67" s="382"/>
      <c r="GVZ67" s="382"/>
      <c r="GWA67" s="382"/>
      <c r="GWB67" s="382"/>
      <c r="GWC67" s="382"/>
      <c r="GWD67" s="382"/>
      <c r="GWE67" s="382"/>
      <c r="GWF67" s="382"/>
      <c r="GWG67" s="382"/>
      <c r="GWH67" s="382"/>
      <c r="GWI67" s="382"/>
      <c r="GWJ67" s="382"/>
      <c r="GWK67" s="382"/>
      <c r="GWL67" s="382"/>
      <c r="GWM67" s="382"/>
      <c r="GWN67" s="382"/>
      <c r="GWO67" s="382"/>
      <c r="GWP67" s="382"/>
      <c r="GWQ67" s="382"/>
      <c r="GWR67" s="382"/>
      <c r="GWS67" s="382"/>
      <c r="GWT67" s="382"/>
      <c r="GWU67" s="382"/>
      <c r="GWV67" s="382"/>
      <c r="GWW67" s="382"/>
      <c r="GWX67" s="382"/>
      <c r="GWY67" s="382"/>
      <c r="GWZ67" s="382"/>
      <c r="GXA67" s="382"/>
      <c r="GXB67" s="382"/>
      <c r="GXC67" s="382"/>
      <c r="GXD67" s="382"/>
      <c r="GXE67" s="382"/>
      <c r="GXF67" s="382"/>
      <c r="GXG67" s="382"/>
      <c r="GXH67" s="382"/>
      <c r="GXI67" s="382"/>
      <c r="GXJ67" s="382"/>
      <c r="GXK67" s="382"/>
      <c r="GXL67" s="382"/>
      <c r="GXM67" s="382"/>
      <c r="GXN67" s="382"/>
      <c r="GXO67" s="382"/>
      <c r="GXP67" s="382"/>
      <c r="GXQ67" s="382"/>
      <c r="GXR67" s="382"/>
      <c r="GXS67" s="382"/>
      <c r="GXT67" s="382"/>
      <c r="GXU67" s="382"/>
      <c r="GXV67" s="382"/>
      <c r="GXW67" s="382"/>
      <c r="GXX67" s="382"/>
      <c r="GXY67" s="382"/>
      <c r="GXZ67" s="382"/>
      <c r="GYA67" s="382"/>
      <c r="GYB67" s="382"/>
      <c r="GYC67" s="382"/>
      <c r="GYD67" s="382"/>
      <c r="GYE67" s="382"/>
      <c r="GYF67" s="382"/>
      <c r="GYG67" s="382"/>
      <c r="GYH67" s="382"/>
      <c r="GYI67" s="382"/>
      <c r="GYJ67" s="382"/>
      <c r="GYK67" s="382"/>
      <c r="GYL67" s="382"/>
      <c r="GYM67" s="382"/>
      <c r="GYN67" s="382"/>
      <c r="GYO67" s="382"/>
      <c r="GYP67" s="382"/>
      <c r="GYQ67" s="382"/>
      <c r="GYR67" s="382"/>
      <c r="GYS67" s="382"/>
      <c r="GYT67" s="382"/>
      <c r="GYU67" s="382"/>
      <c r="GYV67" s="382"/>
      <c r="GYW67" s="382"/>
      <c r="GYX67" s="382"/>
      <c r="GYY67" s="382"/>
      <c r="GYZ67" s="382"/>
      <c r="GZA67" s="382"/>
      <c r="GZB67" s="382"/>
      <c r="GZC67" s="382"/>
      <c r="GZD67" s="382"/>
      <c r="GZE67" s="382"/>
      <c r="GZF67" s="382"/>
      <c r="GZG67" s="382"/>
      <c r="GZH67" s="382"/>
      <c r="GZI67" s="382"/>
      <c r="GZJ67" s="382"/>
      <c r="GZK67" s="382"/>
      <c r="GZL67" s="382"/>
      <c r="GZM67" s="382"/>
      <c r="GZN67" s="382"/>
      <c r="GZO67" s="382"/>
      <c r="GZP67" s="382"/>
      <c r="GZQ67" s="382"/>
      <c r="GZR67" s="382"/>
      <c r="GZS67" s="382"/>
      <c r="GZT67" s="382"/>
      <c r="GZU67" s="382"/>
      <c r="GZV67" s="382"/>
      <c r="GZW67" s="382"/>
      <c r="GZX67" s="382"/>
      <c r="GZY67" s="382"/>
      <c r="GZZ67" s="382"/>
      <c r="HAA67" s="382"/>
      <c r="HAB67" s="382"/>
      <c r="HAC67" s="382"/>
      <c r="HAD67" s="382"/>
      <c r="HAE67" s="382"/>
      <c r="HAF67" s="382"/>
      <c r="HAG67" s="382"/>
      <c r="HAH67" s="382"/>
      <c r="HAI67" s="382"/>
      <c r="HAJ67" s="382"/>
      <c r="HAK67" s="382"/>
      <c r="HAL67" s="382"/>
      <c r="HAM67" s="382"/>
      <c r="HAN67" s="382"/>
      <c r="HAO67" s="382"/>
      <c r="HAP67" s="382"/>
      <c r="HAQ67" s="382"/>
      <c r="HAR67" s="382"/>
      <c r="HAS67" s="382"/>
      <c r="HAT67" s="382"/>
      <c r="HAU67" s="382"/>
      <c r="HAV67" s="382"/>
      <c r="HAW67" s="382"/>
      <c r="HAX67" s="382"/>
      <c r="HAY67" s="382"/>
      <c r="HAZ67" s="382"/>
      <c r="HBA67" s="382"/>
      <c r="HBB67" s="382"/>
      <c r="HBC67" s="382"/>
      <c r="HBD67" s="382"/>
      <c r="HBE67" s="382"/>
      <c r="HBF67" s="382"/>
      <c r="HBG67" s="382"/>
      <c r="HBH67" s="382"/>
      <c r="HBI67" s="382"/>
      <c r="HBJ67" s="382"/>
      <c r="HBK67" s="382"/>
      <c r="HBL67" s="382"/>
      <c r="HBM67" s="382"/>
      <c r="HBN67" s="382"/>
      <c r="HBO67" s="382"/>
      <c r="HBP67" s="382"/>
      <c r="HBQ67" s="382"/>
      <c r="HBR67" s="382"/>
      <c r="HBS67" s="382"/>
      <c r="HBT67" s="382"/>
      <c r="HBU67" s="382"/>
      <c r="HBV67" s="382"/>
      <c r="HBW67" s="382"/>
      <c r="HBX67" s="382"/>
      <c r="HBY67" s="382"/>
      <c r="HBZ67" s="382"/>
      <c r="HCA67" s="382"/>
      <c r="HCB67" s="382"/>
      <c r="HCC67" s="382"/>
      <c r="HCD67" s="382"/>
      <c r="HCE67" s="382"/>
      <c r="HCF67" s="382"/>
      <c r="HCG67" s="382"/>
      <c r="HCH67" s="382"/>
      <c r="HCI67" s="382"/>
      <c r="HCJ67" s="382"/>
      <c r="HCK67" s="382"/>
      <c r="HCL67" s="382"/>
      <c r="HCM67" s="382"/>
      <c r="HCN67" s="382"/>
      <c r="HCO67" s="382"/>
      <c r="HCP67" s="382"/>
      <c r="HCQ67" s="382"/>
      <c r="HCR67" s="382"/>
      <c r="HCS67" s="382"/>
      <c r="HCT67" s="382"/>
      <c r="HCU67" s="382"/>
      <c r="HCV67" s="382"/>
      <c r="HCW67" s="382"/>
      <c r="HCX67" s="382"/>
      <c r="HCY67" s="382"/>
      <c r="HCZ67" s="382"/>
      <c r="HDA67" s="382"/>
      <c r="HDB67" s="382"/>
      <c r="HDC67" s="382"/>
      <c r="HDD67" s="382"/>
      <c r="HDE67" s="382"/>
      <c r="HDF67" s="382"/>
      <c r="HDG67" s="382"/>
      <c r="HDH67" s="382"/>
      <c r="HDI67" s="382"/>
      <c r="HDJ67" s="382"/>
      <c r="HDK67" s="382"/>
      <c r="HDL67" s="382"/>
      <c r="HDM67" s="382"/>
      <c r="HDN67" s="382"/>
      <c r="HDO67" s="382"/>
      <c r="HDP67" s="382"/>
      <c r="HDQ67" s="382"/>
      <c r="HDR67" s="382"/>
      <c r="HDS67" s="382"/>
      <c r="HDT67" s="382"/>
      <c r="HDU67" s="382"/>
      <c r="HDV67" s="382"/>
      <c r="HDW67" s="382"/>
      <c r="HDX67" s="382"/>
      <c r="HDY67" s="382"/>
      <c r="HDZ67" s="382"/>
      <c r="HEA67" s="382"/>
      <c r="HEB67" s="382"/>
      <c r="HEC67" s="382"/>
      <c r="HED67" s="382"/>
      <c r="HEE67" s="382"/>
      <c r="HEF67" s="382"/>
      <c r="HEG67" s="382"/>
      <c r="HEH67" s="382"/>
      <c r="HEI67" s="382"/>
      <c r="HEJ67" s="382"/>
      <c r="HEK67" s="382"/>
      <c r="HEL67" s="382"/>
      <c r="HEM67" s="382"/>
      <c r="HEN67" s="382"/>
      <c r="HEO67" s="382"/>
      <c r="HEP67" s="382"/>
      <c r="HEQ67" s="382"/>
      <c r="HER67" s="382"/>
      <c r="HES67" s="382"/>
      <c r="HET67" s="382"/>
      <c r="HEU67" s="382"/>
      <c r="HEV67" s="382"/>
      <c r="HEW67" s="382"/>
      <c r="HEX67" s="382"/>
      <c r="HEY67" s="382"/>
      <c r="HEZ67" s="382"/>
      <c r="HFA67" s="382"/>
      <c r="HFB67" s="382"/>
      <c r="HFC67" s="382"/>
      <c r="HFD67" s="382"/>
      <c r="HFE67" s="382"/>
      <c r="HFF67" s="382"/>
      <c r="HFG67" s="382"/>
      <c r="HFH67" s="382"/>
      <c r="HFI67" s="382"/>
      <c r="HFJ67" s="382"/>
      <c r="HFK67" s="382"/>
      <c r="HFL67" s="382"/>
      <c r="HFM67" s="382"/>
      <c r="HFN67" s="382"/>
      <c r="HFO67" s="382"/>
      <c r="HFP67" s="382"/>
      <c r="HFQ67" s="382"/>
      <c r="HFR67" s="382"/>
      <c r="HFS67" s="382"/>
      <c r="HFT67" s="382"/>
      <c r="HFU67" s="382"/>
      <c r="HFV67" s="382"/>
      <c r="HFW67" s="382"/>
      <c r="HFX67" s="382"/>
      <c r="HFY67" s="382"/>
      <c r="HFZ67" s="382"/>
      <c r="HGA67" s="382"/>
      <c r="HGB67" s="382"/>
      <c r="HGC67" s="382"/>
      <c r="HGD67" s="382"/>
      <c r="HGE67" s="382"/>
      <c r="HGF67" s="382"/>
      <c r="HGG67" s="382"/>
      <c r="HGH67" s="382"/>
      <c r="HGI67" s="382"/>
      <c r="HGJ67" s="382"/>
      <c r="HGK67" s="382"/>
      <c r="HGL67" s="382"/>
      <c r="HGM67" s="382"/>
      <c r="HGN67" s="382"/>
      <c r="HGO67" s="382"/>
      <c r="HGP67" s="382"/>
      <c r="HGQ67" s="382"/>
      <c r="HGR67" s="382"/>
      <c r="HGS67" s="382"/>
      <c r="HGT67" s="382"/>
      <c r="HGU67" s="382"/>
      <c r="HGV67" s="382"/>
      <c r="HGW67" s="382"/>
      <c r="HGX67" s="382"/>
      <c r="HGY67" s="382"/>
      <c r="HGZ67" s="382"/>
      <c r="HHA67" s="382"/>
      <c r="HHB67" s="382"/>
      <c r="HHC67" s="382"/>
      <c r="HHD67" s="382"/>
      <c r="HHE67" s="382"/>
      <c r="HHF67" s="382"/>
      <c r="HHG67" s="382"/>
      <c r="HHH67" s="382"/>
      <c r="HHI67" s="382"/>
      <c r="HHJ67" s="382"/>
      <c r="HHK67" s="382"/>
      <c r="HHL67" s="382"/>
      <c r="HHM67" s="382"/>
      <c r="HHN67" s="382"/>
      <c r="HHO67" s="382"/>
      <c r="HHP67" s="382"/>
      <c r="HHQ67" s="382"/>
      <c r="HHR67" s="382"/>
      <c r="HHS67" s="382"/>
      <c r="HHT67" s="382"/>
      <c r="HHU67" s="382"/>
      <c r="HHV67" s="382"/>
      <c r="HHW67" s="382"/>
      <c r="HHX67" s="382"/>
      <c r="HHY67" s="382"/>
      <c r="HHZ67" s="382"/>
      <c r="HIA67" s="382"/>
      <c r="HIB67" s="382"/>
      <c r="HIC67" s="382"/>
      <c r="HID67" s="382"/>
      <c r="HIE67" s="382"/>
      <c r="HIF67" s="382"/>
      <c r="HIG67" s="382"/>
      <c r="HIH67" s="382"/>
      <c r="HII67" s="382"/>
      <c r="HIJ67" s="382"/>
      <c r="HIK67" s="382"/>
      <c r="HIL67" s="382"/>
      <c r="HIM67" s="382"/>
      <c r="HIN67" s="382"/>
      <c r="HIO67" s="382"/>
      <c r="HIP67" s="382"/>
      <c r="HIQ67" s="382"/>
      <c r="HIR67" s="382"/>
      <c r="HIS67" s="382"/>
      <c r="HIT67" s="382"/>
      <c r="HIU67" s="382"/>
      <c r="HIV67" s="382"/>
      <c r="HIW67" s="382"/>
      <c r="HIX67" s="382"/>
      <c r="HIY67" s="382"/>
      <c r="HIZ67" s="382"/>
      <c r="HJA67" s="382"/>
      <c r="HJB67" s="382"/>
      <c r="HJC67" s="382"/>
      <c r="HJD67" s="382"/>
      <c r="HJE67" s="382"/>
      <c r="HJF67" s="382"/>
      <c r="HJG67" s="382"/>
      <c r="HJH67" s="382"/>
      <c r="HJI67" s="382"/>
      <c r="HJJ67" s="382"/>
      <c r="HJK67" s="382"/>
      <c r="HJL67" s="382"/>
      <c r="HJM67" s="382"/>
      <c r="HJN67" s="382"/>
      <c r="HJO67" s="382"/>
      <c r="HJP67" s="382"/>
      <c r="HJQ67" s="382"/>
      <c r="HJR67" s="382"/>
      <c r="HJS67" s="382"/>
      <c r="HJT67" s="382"/>
      <c r="HJU67" s="382"/>
      <c r="HJV67" s="382"/>
      <c r="HJW67" s="382"/>
      <c r="HJX67" s="382"/>
      <c r="HJY67" s="382"/>
      <c r="HJZ67" s="382"/>
      <c r="HKA67" s="382"/>
      <c r="HKB67" s="382"/>
      <c r="HKC67" s="382"/>
      <c r="HKD67" s="382"/>
      <c r="HKE67" s="382"/>
      <c r="HKF67" s="382"/>
      <c r="HKG67" s="382"/>
      <c r="HKH67" s="382"/>
      <c r="HKI67" s="382"/>
      <c r="HKJ67" s="382"/>
      <c r="HKK67" s="382"/>
      <c r="HKL67" s="382"/>
      <c r="HKM67" s="382"/>
      <c r="HKN67" s="382"/>
      <c r="HKO67" s="382"/>
      <c r="HKP67" s="382"/>
      <c r="HKQ67" s="382"/>
      <c r="HKR67" s="382"/>
      <c r="HKS67" s="382"/>
      <c r="HKT67" s="382"/>
      <c r="HKU67" s="382"/>
      <c r="HKV67" s="382"/>
      <c r="HKW67" s="382"/>
      <c r="HKX67" s="382"/>
      <c r="HKY67" s="382"/>
      <c r="HKZ67" s="382"/>
      <c r="HLA67" s="382"/>
      <c r="HLB67" s="382"/>
      <c r="HLC67" s="382"/>
      <c r="HLD67" s="382"/>
      <c r="HLE67" s="382"/>
      <c r="HLF67" s="382"/>
      <c r="HLG67" s="382"/>
      <c r="HLH67" s="382"/>
      <c r="HLI67" s="382"/>
      <c r="HLJ67" s="382"/>
      <c r="HLK67" s="382"/>
      <c r="HLL67" s="382"/>
      <c r="HLM67" s="382"/>
      <c r="HLN67" s="382"/>
      <c r="HLO67" s="382"/>
      <c r="HLP67" s="382"/>
      <c r="HLQ67" s="382"/>
      <c r="HLR67" s="382"/>
      <c r="HLS67" s="382"/>
      <c r="HLT67" s="382"/>
      <c r="HLU67" s="382"/>
      <c r="HLV67" s="382"/>
      <c r="HLW67" s="382"/>
      <c r="HLX67" s="382"/>
      <c r="HLY67" s="382"/>
      <c r="HLZ67" s="382"/>
      <c r="HMA67" s="382"/>
      <c r="HMB67" s="382"/>
      <c r="HMC67" s="382"/>
      <c r="HMD67" s="382"/>
      <c r="HME67" s="382"/>
      <c r="HMF67" s="382"/>
      <c r="HMG67" s="382"/>
      <c r="HMH67" s="382"/>
      <c r="HMI67" s="382"/>
      <c r="HMJ67" s="382"/>
      <c r="HMK67" s="382"/>
      <c r="HML67" s="382"/>
      <c r="HMM67" s="382"/>
      <c r="HMN67" s="382"/>
      <c r="HMO67" s="382"/>
      <c r="HMP67" s="382"/>
      <c r="HMQ67" s="382"/>
      <c r="HMR67" s="382"/>
      <c r="HMS67" s="382"/>
      <c r="HMT67" s="382"/>
      <c r="HMU67" s="382"/>
      <c r="HMV67" s="382"/>
      <c r="HMW67" s="382"/>
      <c r="HMX67" s="382"/>
      <c r="HMY67" s="382"/>
      <c r="HMZ67" s="382"/>
      <c r="HNA67" s="382"/>
      <c r="HNB67" s="382"/>
      <c r="HNC67" s="382"/>
      <c r="HND67" s="382"/>
      <c r="HNE67" s="382"/>
      <c r="HNF67" s="382"/>
      <c r="HNG67" s="382"/>
      <c r="HNH67" s="382"/>
      <c r="HNI67" s="382"/>
      <c r="HNJ67" s="382"/>
      <c r="HNK67" s="382"/>
      <c r="HNL67" s="382"/>
      <c r="HNM67" s="382"/>
      <c r="HNN67" s="382"/>
      <c r="HNO67" s="382"/>
      <c r="HNP67" s="382"/>
      <c r="HNQ67" s="382"/>
      <c r="HNR67" s="382"/>
      <c r="HNS67" s="382"/>
      <c r="HNT67" s="382"/>
      <c r="HNU67" s="382"/>
      <c r="HNV67" s="382"/>
      <c r="HNW67" s="382"/>
      <c r="HNX67" s="382"/>
      <c r="HNY67" s="382"/>
      <c r="HNZ67" s="382"/>
      <c r="HOA67" s="382"/>
      <c r="HOB67" s="382"/>
      <c r="HOC67" s="382"/>
      <c r="HOD67" s="382"/>
      <c r="HOE67" s="382"/>
      <c r="HOF67" s="382"/>
      <c r="HOG67" s="382"/>
      <c r="HOH67" s="382"/>
      <c r="HOI67" s="382"/>
      <c r="HOJ67" s="382"/>
      <c r="HOK67" s="382"/>
      <c r="HOL67" s="382"/>
      <c r="HOM67" s="382"/>
      <c r="HON67" s="382"/>
      <c r="HOO67" s="382"/>
      <c r="HOP67" s="382"/>
      <c r="HOQ67" s="382"/>
      <c r="HOR67" s="382"/>
      <c r="HOS67" s="382"/>
      <c r="HOT67" s="382"/>
      <c r="HOU67" s="382"/>
      <c r="HOV67" s="382"/>
      <c r="HOW67" s="382"/>
      <c r="HOX67" s="382"/>
      <c r="HOY67" s="382"/>
      <c r="HOZ67" s="382"/>
      <c r="HPA67" s="382"/>
      <c r="HPB67" s="382"/>
      <c r="HPC67" s="382"/>
      <c r="HPD67" s="382"/>
      <c r="HPE67" s="382"/>
      <c r="HPF67" s="382"/>
      <c r="HPG67" s="382"/>
      <c r="HPH67" s="382"/>
      <c r="HPI67" s="382"/>
      <c r="HPJ67" s="382"/>
      <c r="HPK67" s="382"/>
      <c r="HPL67" s="382"/>
      <c r="HPM67" s="382"/>
      <c r="HPN67" s="382"/>
      <c r="HPO67" s="382"/>
      <c r="HPP67" s="382"/>
      <c r="HPQ67" s="382"/>
      <c r="HPR67" s="382"/>
      <c r="HPS67" s="382"/>
      <c r="HPT67" s="382"/>
      <c r="HPU67" s="382"/>
      <c r="HPV67" s="382"/>
      <c r="HPW67" s="382"/>
      <c r="HPX67" s="382"/>
      <c r="HPY67" s="382"/>
      <c r="HPZ67" s="382"/>
      <c r="HQA67" s="382"/>
      <c r="HQB67" s="382"/>
      <c r="HQC67" s="382"/>
      <c r="HQD67" s="382"/>
      <c r="HQE67" s="382"/>
      <c r="HQF67" s="382"/>
      <c r="HQG67" s="382"/>
      <c r="HQH67" s="382"/>
      <c r="HQI67" s="382"/>
      <c r="HQJ67" s="382"/>
      <c r="HQK67" s="382"/>
      <c r="HQL67" s="382"/>
      <c r="HQM67" s="382"/>
      <c r="HQN67" s="382"/>
      <c r="HQO67" s="382"/>
      <c r="HQP67" s="382"/>
      <c r="HQQ67" s="382"/>
      <c r="HQR67" s="382"/>
      <c r="HQS67" s="382"/>
      <c r="HQT67" s="382"/>
      <c r="HQU67" s="382"/>
      <c r="HQV67" s="382"/>
      <c r="HQW67" s="382"/>
      <c r="HQX67" s="382"/>
      <c r="HQY67" s="382"/>
      <c r="HQZ67" s="382"/>
      <c r="HRA67" s="382"/>
      <c r="HRB67" s="382"/>
      <c r="HRC67" s="382"/>
      <c r="HRD67" s="382"/>
      <c r="HRE67" s="382"/>
      <c r="HRF67" s="382"/>
      <c r="HRG67" s="382"/>
      <c r="HRH67" s="382"/>
      <c r="HRI67" s="382"/>
      <c r="HRJ67" s="382"/>
      <c r="HRK67" s="382"/>
      <c r="HRL67" s="382"/>
      <c r="HRM67" s="382"/>
      <c r="HRN67" s="382"/>
      <c r="HRO67" s="382"/>
      <c r="HRP67" s="382"/>
      <c r="HRQ67" s="382"/>
      <c r="HRR67" s="382"/>
      <c r="HRS67" s="382"/>
      <c r="HRT67" s="382"/>
      <c r="HRU67" s="382"/>
      <c r="HRV67" s="382"/>
      <c r="HRW67" s="382"/>
      <c r="HRX67" s="382"/>
      <c r="HRY67" s="382"/>
      <c r="HRZ67" s="382"/>
      <c r="HSA67" s="382"/>
      <c r="HSB67" s="382"/>
      <c r="HSC67" s="382"/>
      <c r="HSD67" s="382"/>
      <c r="HSE67" s="382"/>
      <c r="HSF67" s="382"/>
      <c r="HSG67" s="382"/>
      <c r="HSH67" s="382"/>
      <c r="HSI67" s="382"/>
      <c r="HSJ67" s="382"/>
      <c r="HSK67" s="382"/>
      <c r="HSL67" s="382"/>
      <c r="HSM67" s="382"/>
      <c r="HSN67" s="382"/>
      <c r="HSO67" s="382"/>
      <c r="HSP67" s="382"/>
      <c r="HSQ67" s="382"/>
      <c r="HSR67" s="382"/>
      <c r="HSS67" s="382"/>
      <c r="HST67" s="382"/>
      <c r="HSU67" s="382"/>
      <c r="HSV67" s="382"/>
      <c r="HSW67" s="382"/>
      <c r="HSX67" s="382"/>
      <c r="HSY67" s="382"/>
      <c r="HSZ67" s="382"/>
      <c r="HTA67" s="382"/>
      <c r="HTB67" s="382"/>
      <c r="HTC67" s="382"/>
      <c r="HTD67" s="382"/>
      <c r="HTE67" s="382"/>
      <c r="HTF67" s="382"/>
      <c r="HTG67" s="382"/>
      <c r="HTH67" s="382"/>
      <c r="HTI67" s="382"/>
      <c r="HTJ67" s="382"/>
      <c r="HTK67" s="382"/>
      <c r="HTL67" s="382"/>
      <c r="HTM67" s="382"/>
      <c r="HTN67" s="382"/>
      <c r="HTO67" s="382"/>
      <c r="HTP67" s="382"/>
      <c r="HTQ67" s="382"/>
      <c r="HTR67" s="382"/>
      <c r="HTS67" s="382"/>
      <c r="HTT67" s="382"/>
      <c r="HTU67" s="382"/>
      <c r="HTV67" s="382"/>
      <c r="HTW67" s="382"/>
      <c r="HTX67" s="382"/>
      <c r="HTY67" s="382"/>
      <c r="HTZ67" s="382"/>
      <c r="HUA67" s="382"/>
      <c r="HUB67" s="382"/>
      <c r="HUC67" s="382"/>
      <c r="HUD67" s="382"/>
      <c r="HUE67" s="382"/>
      <c r="HUF67" s="382"/>
      <c r="HUG67" s="382"/>
      <c r="HUH67" s="382"/>
      <c r="HUI67" s="382"/>
      <c r="HUJ67" s="382"/>
      <c r="HUK67" s="382"/>
      <c r="HUL67" s="382"/>
      <c r="HUM67" s="382"/>
      <c r="HUN67" s="382"/>
      <c r="HUO67" s="382"/>
      <c r="HUP67" s="382"/>
      <c r="HUQ67" s="382"/>
      <c r="HUR67" s="382"/>
      <c r="HUS67" s="382"/>
      <c r="HUT67" s="382"/>
      <c r="HUU67" s="382"/>
      <c r="HUV67" s="382"/>
      <c r="HUW67" s="382"/>
      <c r="HUX67" s="382"/>
      <c r="HUY67" s="382"/>
      <c r="HUZ67" s="382"/>
      <c r="HVA67" s="382"/>
      <c r="HVB67" s="382"/>
      <c r="HVC67" s="382"/>
      <c r="HVD67" s="382"/>
      <c r="HVE67" s="382"/>
      <c r="HVF67" s="382"/>
      <c r="HVG67" s="382"/>
      <c r="HVH67" s="382"/>
      <c r="HVI67" s="382"/>
      <c r="HVJ67" s="382"/>
      <c r="HVK67" s="382"/>
      <c r="HVL67" s="382"/>
      <c r="HVM67" s="382"/>
      <c r="HVN67" s="382"/>
      <c r="HVO67" s="382"/>
      <c r="HVP67" s="382"/>
      <c r="HVQ67" s="382"/>
      <c r="HVR67" s="382"/>
      <c r="HVS67" s="382"/>
      <c r="HVT67" s="382"/>
      <c r="HVU67" s="382"/>
      <c r="HVV67" s="382"/>
      <c r="HVW67" s="382"/>
      <c r="HVX67" s="382"/>
      <c r="HVY67" s="382"/>
      <c r="HVZ67" s="382"/>
      <c r="HWA67" s="382"/>
      <c r="HWB67" s="382"/>
      <c r="HWC67" s="382"/>
      <c r="HWD67" s="382"/>
      <c r="HWE67" s="382"/>
      <c r="HWF67" s="382"/>
      <c r="HWG67" s="382"/>
      <c r="HWH67" s="382"/>
      <c r="HWI67" s="382"/>
      <c r="HWJ67" s="382"/>
      <c r="HWK67" s="382"/>
      <c r="HWL67" s="382"/>
      <c r="HWM67" s="382"/>
      <c r="HWN67" s="382"/>
      <c r="HWO67" s="382"/>
      <c r="HWP67" s="382"/>
      <c r="HWQ67" s="382"/>
      <c r="HWR67" s="382"/>
      <c r="HWS67" s="382"/>
      <c r="HWT67" s="382"/>
      <c r="HWU67" s="382"/>
      <c r="HWV67" s="382"/>
      <c r="HWW67" s="382"/>
      <c r="HWX67" s="382"/>
      <c r="HWY67" s="382"/>
      <c r="HWZ67" s="382"/>
      <c r="HXA67" s="382"/>
      <c r="HXB67" s="382"/>
      <c r="HXC67" s="382"/>
      <c r="HXD67" s="382"/>
      <c r="HXE67" s="382"/>
      <c r="HXF67" s="382"/>
      <c r="HXG67" s="382"/>
      <c r="HXH67" s="382"/>
      <c r="HXI67" s="382"/>
      <c r="HXJ67" s="382"/>
      <c r="HXK67" s="382"/>
      <c r="HXL67" s="382"/>
      <c r="HXM67" s="382"/>
      <c r="HXN67" s="382"/>
      <c r="HXO67" s="382"/>
      <c r="HXP67" s="382"/>
      <c r="HXQ67" s="382"/>
      <c r="HXR67" s="382"/>
      <c r="HXS67" s="382"/>
      <c r="HXT67" s="382"/>
      <c r="HXU67" s="382"/>
      <c r="HXV67" s="382"/>
      <c r="HXW67" s="382"/>
      <c r="HXX67" s="382"/>
      <c r="HXY67" s="382"/>
      <c r="HXZ67" s="382"/>
      <c r="HYA67" s="382"/>
      <c r="HYB67" s="382"/>
      <c r="HYC67" s="382"/>
      <c r="HYD67" s="382"/>
      <c r="HYE67" s="382"/>
      <c r="HYF67" s="382"/>
      <c r="HYG67" s="382"/>
      <c r="HYH67" s="382"/>
      <c r="HYI67" s="382"/>
      <c r="HYJ67" s="382"/>
      <c r="HYK67" s="382"/>
      <c r="HYL67" s="382"/>
      <c r="HYM67" s="382"/>
      <c r="HYN67" s="382"/>
      <c r="HYO67" s="382"/>
      <c r="HYP67" s="382"/>
      <c r="HYQ67" s="382"/>
      <c r="HYR67" s="382"/>
      <c r="HYS67" s="382"/>
      <c r="HYT67" s="382"/>
      <c r="HYU67" s="382"/>
      <c r="HYV67" s="382"/>
      <c r="HYW67" s="382"/>
      <c r="HYX67" s="382"/>
      <c r="HYY67" s="382"/>
      <c r="HYZ67" s="382"/>
      <c r="HZA67" s="382"/>
      <c r="HZB67" s="382"/>
      <c r="HZC67" s="382"/>
      <c r="HZD67" s="382"/>
      <c r="HZE67" s="382"/>
      <c r="HZF67" s="382"/>
      <c r="HZG67" s="382"/>
      <c r="HZH67" s="382"/>
      <c r="HZI67" s="382"/>
      <c r="HZJ67" s="382"/>
      <c r="HZK67" s="382"/>
      <c r="HZL67" s="382"/>
      <c r="HZM67" s="382"/>
      <c r="HZN67" s="382"/>
      <c r="HZO67" s="382"/>
      <c r="HZP67" s="382"/>
      <c r="HZQ67" s="382"/>
      <c r="HZR67" s="382"/>
      <c r="HZS67" s="382"/>
      <c r="HZT67" s="382"/>
      <c r="HZU67" s="382"/>
      <c r="HZV67" s="382"/>
      <c r="HZW67" s="382"/>
      <c r="HZX67" s="382"/>
      <c r="HZY67" s="382"/>
      <c r="HZZ67" s="382"/>
      <c r="IAA67" s="382"/>
      <c r="IAB67" s="382"/>
      <c r="IAC67" s="382"/>
      <c r="IAD67" s="382"/>
      <c r="IAE67" s="382"/>
      <c r="IAF67" s="382"/>
      <c r="IAG67" s="382"/>
      <c r="IAH67" s="382"/>
      <c r="IAI67" s="382"/>
      <c r="IAJ67" s="382"/>
      <c r="IAK67" s="382"/>
      <c r="IAL67" s="382"/>
      <c r="IAM67" s="382"/>
      <c r="IAN67" s="382"/>
      <c r="IAO67" s="382"/>
      <c r="IAP67" s="382"/>
      <c r="IAQ67" s="382"/>
      <c r="IAR67" s="382"/>
      <c r="IAS67" s="382"/>
      <c r="IAT67" s="382"/>
      <c r="IAU67" s="382"/>
      <c r="IAV67" s="382"/>
      <c r="IAW67" s="382"/>
      <c r="IAX67" s="382"/>
      <c r="IAY67" s="382"/>
      <c r="IAZ67" s="382"/>
      <c r="IBA67" s="382"/>
      <c r="IBB67" s="382"/>
      <c r="IBC67" s="382"/>
      <c r="IBD67" s="382"/>
      <c r="IBE67" s="382"/>
      <c r="IBF67" s="382"/>
      <c r="IBG67" s="382"/>
      <c r="IBH67" s="382"/>
      <c r="IBI67" s="382"/>
      <c r="IBJ67" s="382"/>
      <c r="IBK67" s="382"/>
      <c r="IBL67" s="382"/>
      <c r="IBM67" s="382"/>
      <c r="IBN67" s="382"/>
      <c r="IBO67" s="382"/>
      <c r="IBP67" s="382"/>
      <c r="IBQ67" s="382"/>
      <c r="IBR67" s="382"/>
      <c r="IBS67" s="382"/>
      <c r="IBT67" s="382"/>
      <c r="IBU67" s="382"/>
      <c r="IBV67" s="382"/>
      <c r="IBW67" s="382"/>
      <c r="IBX67" s="382"/>
      <c r="IBY67" s="382"/>
      <c r="IBZ67" s="382"/>
      <c r="ICA67" s="382"/>
      <c r="ICB67" s="382"/>
      <c r="ICC67" s="382"/>
      <c r="ICD67" s="382"/>
      <c r="ICE67" s="382"/>
      <c r="ICF67" s="382"/>
      <c r="ICG67" s="382"/>
      <c r="ICH67" s="382"/>
      <c r="ICI67" s="382"/>
      <c r="ICJ67" s="382"/>
      <c r="ICK67" s="382"/>
      <c r="ICL67" s="382"/>
      <c r="ICM67" s="382"/>
      <c r="ICN67" s="382"/>
      <c r="ICO67" s="382"/>
      <c r="ICP67" s="382"/>
      <c r="ICQ67" s="382"/>
      <c r="ICR67" s="382"/>
      <c r="ICS67" s="382"/>
      <c r="ICT67" s="382"/>
      <c r="ICU67" s="382"/>
      <c r="ICV67" s="382"/>
      <c r="ICW67" s="382"/>
      <c r="ICX67" s="382"/>
      <c r="ICY67" s="382"/>
      <c r="ICZ67" s="382"/>
      <c r="IDA67" s="382"/>
      <c r="IDB67" s="382"/>
      <c r="IDC67" s="382"/>
      <c r="IDD67" s="382"/>
      <c r="IDE67" s="382"/>
      <c r="IDF67" s="382"/>
      <c r="IDG67" s="382"/>
      <c r="IDH67" s="382"/>
      <c r="IDI67" s="382"/>
      <c r="IDJ67" s="382"/>
      <c r="IDK67" s="382"/>
      <c r="IDL67" s="382"/>
      <c r="IDM67" s="382"/>
      <c r="IDN67" s="382"/>
      <c r="IDO67" s="382"/>
      <c r="IDP67" s="382"/>
      <c r="IDQ67" s="382"/>
      <c r="IDR67" s="382"/>
      <c r="IDS67" s="382"/>
      <c r="IDT67" s="382"/>
      <c r="IDU67" s="382"/>
      <c r="IDV67" s="382"/>
      <c r="IDW67" s="382"/>
      <c r="IDX67" s="382"/>
      <c r="IDY67" s="382"/>
      <c r="IDZ67" s="382"/>
      <c r="IEA67" s="382"/>
      <c r="IEB67" s="382"/>
      <c r="IEC67" s="382"/>
      <c r="IED67" s="382"/>
      <c r="IEE67" s="382"/>
      <c r="IEF67" s="382"/>
      <c r="IEG67" s="382"/>
      <c r="IEH67" s="382"/>
      <c r="IEI67" s="382"/>
      <c r="IEJ67" s="382"/>
      <c r="IEK67" s="382"/>
      <c r="IEL67" s="382"/>
      <c r="IEM67" s="382"/>
      <c r="IEN67" s="382"/>
      <c r="IEO67" s="382"/>
      <c r="IEP67" s="382"/>
      <c r="IEQ67" s="382"/>
      <c r="IER67" s="382"/>
      <c r="IES67" s="382"/>
      <c r="IET67" s="382"/>
      <c r="IEU67" s="382"/>
      <c r="IEV67" s="382"/>
      <c r="IEW67" s="382"/>
      <c r="IEX67" s="382"/>
      <c r="IEY67" s="382"/>
      <c r="IEZ67" s="382"/>
      <c r="IFA67" s="382"/>
      <c r="IFB67" s="382"/>
      <c r="IFC67" s="382"/>
      <c r="IFD67" s="382"/>
      <c r="IFE67" s="382"/>
      <c r="IFF67" s="382"/>
      <c r="IFG67" s="382"/>
      <c r="IFH67" s="382"/>
      <c r="IFI67" s="382"/>
      <c r="IFJ67" s="382"/>
      <c r="IFK67" s="382"/>
      <c r="IFL67" s="382"/>
      <c r="IFM67" s="382"/>
      <c r="IFN67" s="382"/>
      <c r="IFO67" s="382"/>
      <c r="IFP67" s="382"/>
      <c r="IFQ67" s="382"/>
      <c r="IFR67" s="382"/>
      <c r="IFS67" s="382"/>
      <c r="IFT67" s="382"/>
      <c r="IFU67" s="382"/>
      <c r="IFV67" s="382"/>
      <c r="IFW67" s="382"/>
      <c r="IFX67" s="382"/>
      <c r="IFY67" s="382"/>
      <c r="IFZ67" s="382"/>
      <c r="IGA67" s="382"/>
      <c r="IGB67" s="382"/>
      <c r="IGC67" s="382"/>
      <c r="IGD67" s="382"/>
      <c r="IGE67" s="382"/>
      <c r="IGF67" s="382"/>
      <c r="IGG67" s="382"/>
      <c r="IGH67" s="382"/>
      <c r="IGI67" s="382"/>
      <c r="IGJ67" s="382"/>
      <c r="IGK67" s="382"/>
      <c r="IGL67" s="382"/>
      <c r="IGM67" s="382"/>
      <c r="IGN67" s="382"/>
      <c r="IGO67" s="382"/>
      <c r="IGP67" s="382"/>
      <c r="IGQ67" s="382"/>
      <c r="IGR67" s="382"/>
      <c r="IGS67" s="382"/>
      <c r="IGT67" s="382"/>
      <c r="IGU67" s="382"/>
      <c r="IGV67" s="382"/>
      <c r="IGW67" s="382"/>
      <c r="IGX67" s="382"/>
      <c r="IGY67" s="382"/>
      <c r="IGZ67" s="382"/>
      <c r="IHA67" s="382"/>
      <c r="IHB67" s="382"/>
      <c r="IHC67" s="382"/>
      <c r="IHD67" s="382"/>
      <c r="IHE67" s="382"/>
      <c r="IHF67" s="382"/>
      <c r="IHG67" s="382"/>
      <c r="IHH67" s="382"/>
      <c r="IHI67" s="382"/>
      <c r="IHJ67" s="382"/>
      <c r="IHK67" s="382"/>
      <c r="IHL67" s="382"/>
      <c r="IHM67" s="382"/>
      <c r="IHN67" s="382"/>
      <c r="IHO67" s="382"/>
      <c r="IHP67" s="382"/>
      <c r="IHQ67" s="382"/>
      <c r="IHR67" s="382"/>
      <c r="IHS67" s="382"/>
      <c r="IHT67" s="382"/>
      <c r="IHU67" s="382"/>
      <c r="IHV67" s="382"/>
      <c r="IHW67" s="382"/>
      <c r="IHX67" s="382"/>
      <c r="IHY67" s="382"/>
      <c r="IHZ67" s="382"/>
      <c r="IIA67" s="382"/>
      <c r="IIB67" s="382"/>
      <c r="IIC67" s="382"/>
      <c r="IID67" s="382"/>
      <c r="IIE67" s="382"/>
      <c r="IIF67" s="382"/>
      <c r="IIG67" s="382"/>
      <c r="IIH67" s="382"/>
      <c r="III67" s="382"/>
      <c r="IIJ67" s="382"/>
      <c r="IIK67" s="382"/>
      <c r="IIL67" s="382"/>
      <c r="IIM67" s="382"/>
      <c r="IIN67" s="382"/>
      <c r="IIO67" s="382"/>
      <c r="IIP67" s="382"/>
      <c r="IIQ67" s="382"/>
      <c r="IIR67" s="382"/>
      <c r="IIS67" s="382"/>
      <c r="IIT67" s="382"/>
      <c r="IIU67" s="382"/>
      <c r="IIV67" s="382"/>
      <c r="IIW67" s="382"/>
      <c r="IIX67" s="382"/>
      <c r="IIY67" s="382"/>
      <c r="IIZ67" s="382"/>
      <c r="IJA67" s="382"/>
      <c r="IJB67" s="382"/>
      <c r="IJC67" s="382"/>
      <c r="IJD67" s="382"/>
      <c r="IJE67" s="382"/>
      <c r="IJF67" s="382"/>
      <c r="IJG67" s="382"/>
      <c r="IJH67" s="382"/>
      <c r="IJI67" s="382"/>
      <c r="IJJ67" s="382"/>
      <c r="IJK67" s="382"/>
      <c r="IJL67" s="382"/>
      <c r="IJM67" s="382"/>
      <c r="IJN67" s="382"/>
      <c r="IJO67" s="382"/>
      <c r="IJP67" s="382"/>
      <c r="IJQ67" s="382"/>
      <c r="IJR67" s="382"/>
      <c r="IJS67" s="382"/>
      <c r="IJT67" s="382"/>
      <c r="IJU67" s="382"/>
      <c r="IJV67" s="382"/>
      <c r="IJW67" s="382"/>
      <c r="IJX67" s="382"/>
      <c r="IJY67" s="382"/>
      <c r="IJZ67" s="382"/>
      <c r="IKA67" s="382"/>
      <c r="IKB67" s="382"/>
      <c r="IKC67" s="382"/>
      <c r="IKD67" s="382"/>
      <c r="IKE67" s="382"/>
      <c r="IKF67" s="382"/>
      <c r="IKG67" s="382"/>
      <c r="IKH67" s="382"/>
      <c r="IKI67" s="382"/>
      <c r="IKJ67" s="382"/>
      <c r="IKK67" s="382"/>
      <c r="IKL67" s="382"/>
      <c r="IKM67" s="382"/>
      <c r="IKN67" s="382"/>
      <c r="IKO67" s="382"/>
      <c r="IKP67" s="382"/>
      <c r="IKQ67" s="382"/>
      <c r="IKR67" s="382"/>
      <c r="IKS67" s="382"/>
      <c r="IKT67" s="382"/>
      <c r="IKU67" s="382"/>
      <c r="IKV67" s="382"/>
      <c r="IKW67" s="382"/>
      <c r="IKX67" s="382"/>
      <c r="IKY67" s="382"/>
      <c r="IKZ67" s="382"/>
      <c r="ILA67" s="382"/>
      <c r="ILB67" s="382"/>
      <c r="ILC67" s="382"/>
      <c r="ILD67" s="382"/>
      <c r="ILE67" s="382"/>
      <c r="ILF67" s="382"/>
      <c r="ILG67" s="382"/>
      <c r="ILH67" s="382"/>
      <c r="ILI67" s="382"/>
      <c r="ILJ67" s="382"/>
      <c r="ILK67" s="382"/>
      <c r="ILL67" s="382"/>
      <c r="ILM67" s="382"/>
      <c r="ILN67" s="382"/>
      <c r="ILO67" s="382"/>
      <c r="ILP67" s="382"/>
      <c r="ILQ67" s="382"/>
      <c r="ILR67" s="382"/>
      <c r="ILS67" s="382"/>
      <c r="ILT67" s="382"/>
      <c r="ILU67" s="382"/>
      <c r="ILV67" s="382"/>
      <c r="ILW67" s="382"/>
      <c r="ILX67" s="382"/>
      <c r="ILY67" s="382"/>
      <c r="ILZ67" s="382"/>
      <c r="IMA67" s="382"/>
      <c r="IMB67" s="382"/>
      <c r="IMC67" s="382"/>
      <c r="IMD67" s="382"/>
      <c r="IME67" s="382"/>
      <c r="IMF67" s="382"/>
      <c r="IMG67" s="382"/>
      <c r="IMH67" s="382"/>
      <c r="IMI67" s="382"/>
      <c r="IMJ67" s="382"/>
      <c r="IMK67" s="382"/>
      <c r="IML67" s="382"/>
      <c r="IMM67" s="382"/>
      <c r="IMN67" s="382"/>
      <c r="IMO67" s="382"/>
      <c r="IMP67" s="382"/>
      <c r="IMQ67" s="382"/>
      <c r="IMR67" s="382"/>
      <c r="IMS67" s="382"/>
      <c r="IMT67" s="382"/>
      <c r="IMU67" s="382"/>
      <c r="IMV67" s="382"/>
      <c r="IMW67" s="382"/>
      <c r="IMX67" s="382"/>
      <c r="IMY67" s="382"/>
      <c r="IMZ67" s="382"/>
      <c r="INA67" s="382"/>
      <c r="INB67" s="382"/>
      <c r="INC67" s="382"/>
      <c r="IND67" s="382"/>
      <c r="INE67" s="382"/>
      <c r="INF67" s="382"/>
      <c r="ING67" s="382"/>
      <c r="INH67" s="382"/>
      <c r="INI67" s="382"/>
      <c r="INJ67" s="382"/>
      <c r="INK67" s="382"/>
      <c r="INL67" s="382"/>
      <c r="INM67" s="382"/>
      <c r="INN67" s="382"/>
      <c r="INO67" s="382"/>
      <c r="INP67" s="382"/>
      <c r="INQ67" s="382"/>
      <c r="INR67" s="382"/>
      <c r="INS67" s="382"/>
      <c r="INT67" s="382"/>
      <c r="INU67" s="382"/>
      <c r="INV67" s="382"/>
      <c r="INW67" s="382"/>
      <c r="INX67" s="382"/>
      <c r="INY67" s="382"/>
      <c r="INZ67" s="382"/>
      <c r="IOA67" s="382"/>
      <c r="IOB67" s="382"/>
      <c r="IOC67" s="382"/>
      <c r="IOD67" s="382"/>
      <c r="IOE67" s="382"/>
      <c r="IOF67" s="382"/>
      <c r="IOG67" s="382"/>
      <c r="IOH67" s="382"/>
      <c r="IOI67" s="382"/>
      <c r="IOJ67" s="382"/>
      <c r="IOK67" s="382"/>
      <c r="IOL67" s="382"/>
      <c r="IOM67" s="382"/>
      <c r="ION67" s="382"/>
      <c r="IOO67" s="382"/>
      <c r="IOP67" s="382"/>
      <c r="IOQ67" s="382"/>
      <c r="IOR67" s="382"/>
      <c r="IOS67" s="382"/>
      <c r="IOT67" s="382"/>
      <c r="IOU67" s="382"/>
      <c r="IOV67" s="382"/>
      <c r="IOW67" s="382"/>
      <c r="IOX67" s="382"/>
      <c r="IOY67" s="382"/>
      <c r="IOZ67" s="382"/>
      <c r="IPA67" s="382"/>
      <c r="IPB67" s="382"/>
      <c r="IPC67" s="382"/>
      <c r="IPD67" s="382"/>
      <c r="IPE67" s="382"/>
      <c r="IPF67" s="382"/>
      <c r="IPG67" s="382"/>
      <c r="IPH67" s="382"/>
      <c r="IPI67" s="382"/>
      <c r="IPJ67" s="382"/>
      <c r="IPK67" s="382"/>
      <c r="IPL67" s="382"/>
      <c r="IPM67" s="382"/>
      <c r="IPN67" s="382"/>
      <c r="IPO67" s="382"/>
      <c r="IPP67" s="382"/>
      <c r="IPQ67" s="382"/>
      <c r="IPR67" s="382"/>
      <c r="IPS67" s="382"/>
      <c r="IPT67" s="382"/>
      <c r="IPU67" s="382"/>
      <c r="IPV67" s="382"/>
      <c r="IPW67" s="382"/>
      <c r="IPX67" s="382"/>
      <c r="IPY67" s="382"/>
      <c r="IPZ67" s="382"/>
      <c r="IQA67" s="382"/>
      <c r="IQB67" s="382"/>
      <c r="IQC67" s="382"/>
      <c r="IQD67" s="382"/>
      <c r="IQE67" s="382"/>
      <c r="IQF67" s="382"/>
      <c r="IQG67" s="382"/>
      <c r="IQH67" s="382"/>
      <c r="IQI67" s="382"/>
      <c r="IQJ67" s="382"/>
      <c r="IQK67" s="382"/>
      <c r="IQL67" s="382"/>
      <c r="IQM67" s="382"/>
      <c r="IQN67" s="382"/>
      <c r="IQO67" s="382"/>
      <c r="IQP67" s="382"/>
      <c r="IQQ67" s="382"/>
      <c r="IQR67" s="382"/>
      <c r="IQS67" s="382"/>
      <c r="IQT67" s="382"/>
      <c r="IQU67" s="382"/>
      <c r="IQV67" s="382"/>
      <c r="IQW67" s="382"/>
      <c r="IQX67" s="382"/>
      <c r="IQY67" s="382"/>
      <c r="IQZ67" s="382"/>
      <c r="IRA67" s="382"/>
      <c r="IRB67" s="382"/>
      <c r="IRC67" s="382"/>
      <c r="IRD67" s="382"/>
      <c r="IRE67" s="382"/>
      <c r="IRF67" s="382"/>
      <c r="IRG67" s="382"/>
      <c r="IRH67" s="382"/>
      <c r="IRI67" s="382"/>
      <c r="IRJ67" s="382"/>
      <c r="IRK67" s="382"/>
      <c r="IRL67" s="382"/>
      <c r="IRM67" s="382"/>
      <c r="IRN67" s="382"/>
      <c r="IRO67" s="382"/>
      <c r="IRP67" s="382"/>
      <c r="IRQ67" s="382"/>
      <c r="IRR67" s="382"/>
      <c r="IRS67" s="382"/>
      <c r="IRT67" s="382"/>
      <c r="IRU67" s="382"/>
      <c r="IRV67" s="382"/>
      <c r="IRW67" s="382"/>
      <c r="IRX67" s="382"/>
      <c r="IRY67" s="382"/>
      <c r="IRZ67" s="382"/>
      <c r="ISA67" s="382"/>
      <c r="ISB67" s="382"/>
      <c r="ISC67" s="382"/>
      <c r="ISD67" s="382"/>
      <c r="ISE67" s="382"/>
      <c r="ISF67" s="382"/>
      <c r="ISG67" s="382"/>
      <c r="ISH67" s="382"/>
      <c r="ISI67" s="382"/>
      <c r="ISJ67" s="382"/>
      <c r="ISK67" s="382"/>
      <c r="ISL67" s="382"/>
      <c r="ISM67" s="382"/>
      <c r="ISN67" s="382"/>
      <c r="ISO67" s="382"/>
      <c r="ISP67" s="382"/>
      <c r="ISQ67" s="382"/>
      <c r="ISR67" s="382"/>
      <c r="ISS67" s="382"/>
      <c r="IST67" s="382"/>
      <c r="ISU67" s="382"/>
      <c r="ISV67" s="382"/>
      <c r="ISW67" s="382"/>
      <c r="ISX67" s="382"/>
      <c r="ISY67" s="382"/>
      <c r="ISZ67" s="382"/>
      <c r="ITA67" s="382"/>
      <c r="ITB67" s="382"/>
      <c r="ITC67" s="382"/>
      <c r="ITD67" s="382"/>
      <c r="ITE67" s="382"/>
      <c r="ITF67" s="382"/>
      <c r="ITG67" s="382"/>
      <c r="ITH67" s="382"/>
      <c r="ITI67" s="382"/>
      <c r="ITJ67" s="382"/>
      <c r="ITK67" s="382"/>
      <c r="ITL67" s="382"/>
      <c r="ITM67" s="382"/>
      <c r="ITN67" s="382"/>
      <c r="ITO67" s="382"/>
      <c r="ITP67" s="382"/>
      <c r="ITQ67" s="382"/>
      <c r="ITR67" s="382"/>
      <c r="ITS67" s="382"/>
      <c r="ITT67" s="382"/>
      <c r="ITU67" s="382"/>
      <c r="ITV67" s="382"/>
      <c r="ITW67" s="382"/>
      <c r="ITX67" s="382"/>
      <c r="ITY67" s="382"/>
      <c r="ITZ67" s="382"/>
      <c r="IUA67" s="382"/>
      <c r="IUB67" s="382"/>
      <c r="IUC67" s="382"/>
      <c r="IUD67" s="382"/>
      <c r="IUE67" s="382"/>
      <c r="IUF67" s="382"/>
      <c r="IUG67" s="382"/>
      <c r="IUH67" s="382"/>
      <c r="IUI67" s="382"/>
      <c r="IUJ67" s="382"/>
      <c r="IUK67" s="382"/>
      <c r="IUL67" s="382"/>
      <c r="IUM67" s="382"/>
      <c r="IUN67" s="382"/>
      <c r="IUO67" s="382"/>
      <c r="IUP67" s="382"/>
      <c r="IUQ67" s="382"/>
      <c r="IUR67" s="382"/>
      <c r="IUS67" s="382"/>
      <c r="IUT67" s="382"/>
      <c r="IUU67" s="382"/>
      <c r="IUV67" s="382"/>
      <c r="IUW67" s="382"/>
      <c r="IUX67" s="382"/>
      <c r="IUY67" s="382"/>
      <c r="IUZ67" s="382"/>
      <c r="IVA67" s="382"/>
      <c r="IVB67" s="382"/>
      <c r="IVC67" s="382"/>
      <c r="IVD67" s="382"/>
      <c r="IVE67" s="382"/>
      <c r="IVF67" s="382"/>
      <c r="IVG67" s="382"/>
      <c r="IVH67" s="382"/>
      <c r="IVI67" s="382"/>
      <c r="IVJ67" s="382"/>
      <c r="IVK67" s="382"/>
      <c r="IVL67" s="382"/>
      <c r="IVM67" s="382"/>
      <c r="IVN67" s="382"/>
      <c r="IVO67" s="382"/>
      <c r="IVP67" s="382"/>
      <c r="IVQ67" s="382"/>
      <c r="IVR67" s="382"/>
      <c r="IVS67" s="382"/>
      <c r="IVT67" s="382"/>
      <c r="IVU67" s="382"/>
      <c r="IVV67" s="382"/>
      <c r="IVW67" s="382"/>
      <c r="IVX67" s="382"/>
      <c r="IVY67" s="382"/>
      <c r="IVZ67" s="382"/>
      <c r="IWA67" s="382"/>
      <c r="IWB67" s="382"/>
      <c r="IWC67" s="382"/>
      <c r="IWD67" s="382"/>
      <c r="IWE67" s="382"/>
      <c r="IWF67" s="382"/>
      <c r="IWG67" s="382"/>
      <c r="IWH67" s="382"/>
      <c r="IWI67" s="382"/>
      <c r="IWJ67" s="382"/>
      <c r="IWK67" s="382"/>
      <c r="IWL67" s="382"/>
      <c r="IWM67" s="382"/>
      <c r="IWN67" s="382"/>
      <c r="IWO67" s="382"/>
      <c r="IWP67" s="382"/>
      <c r="IWQ67" s="382"/>
      <c r="IWR67" s="382"/>
      <c r="IWS67" s="382"/>
      <c r="IWT67" s="382"/>
      <c r="IWU67" s="382"/>
      <c r="IWV67" s="382"/>
      <c r="IWW67" s="382"/>
      <c r="IWX67" s="382"/>
      <c r="IWY67" s="382"/>
      <c r="IWZ67" s="382"/>
      <c r="IXA67" s="382"/>
      <c r="IXB67" s="382"/>
      <c r="IXC67" s="382"/>
      <c r="IXD67" s="382"/>
      <c r="IXE67" s="382"/>
      <c r="IXF67" s="382"/>
      <c r="IXG67" s="382"/>
      <c r="IXH67" s="382"/>
      <c r="IXI67" s="382"/>
      <c r="IXJ67" s="382"/>
      <c r="IXK67" s="382"/>
      <c r="IXL67" s="382"/>
      <c r="IXM67" s="382"/>
      <c r="IXN67" s="382"/>
      <c r="IXO67" s="382"/>
      <c r="IXP67" s="382"/>
      <c r="IXQ67" s="382"/>
      <c r="IXR67" s="382"/>
      <c r="IXS67" s="382"/>
      <c r="IXT67" s="382"/>
      <c r="IXU67" s="382"/>
      <c r="IXV67" s="382"/>
      <c r="IXW67" s="382"/>
      <c r="IXX67" s="382"/>
      <c r="IXY67" s="382"/>
      <c r="IXZ67" s="382"/>
      <c r="IYA67" s="382"/>
      <c r="IYB67" s="382"/>
      <c r="IYC67" s="382"/>
      <c r="IYD67" s="382"/>
      <c r="IYE67" s="382"/>
      <c r="IYF67" s="382"/>
      <c r="IYG67" s="382"/>
      <c r="IYH67" s="382"/>
      <c r="IYI67" s="382"/>
      <c r="IYJ67" s="382"/>
      <c r="IYK67" s="382"/>
      <c r="IYL67" s="382"/>
      <c r="IYM67" s="382"/>
      <c r="IYN67" s="382"/>
      <c r="IYO67" s="382"/>
      <c r="IYP67" s="382"/>
      <c r="IYQ67" s="382"/>
      <c r="IYR67" s="382"/>
      <c r="IYS67" s="382"/>
      <c r="IYT67" s="382"/>
      <c r="IYU67" s="382"/>
      <c r="IYV67" s="382"/>
      <c r="IYW67" s="382"/>
      <c r="IYX67" s="382"/>
      <c r="IYY67" s="382"/>
      <c r="IYZ67" s="382"/>
      <c r="IZA67" s="382"/>
      <c r="IZB67" s="382"/>
      <c r="IZC67" s="382"/>
      <c r="IZD67" s="382"/>
      <c r="IZE67" s="382"/>
      <c r="IZF67" s="382"/>
      <c r="IZG67" s="382"/>
      <c r="IZH67" s="382"/>
      <c r="IZI67" s="382"/>
      <c r="IZJ67" s="382"/>
      <c r="IZK67" s="382"/>
      <c r="IZL67" s="382"/>
      <c r="IZM67" s="382"/>
      <c r="IZN67" s="382"/>
      <c r="IZO67" s="382"/>
      <c r="IZP67" s="382"/>
      <c r="IZQ67" s="382"/>
      <c r="IZR67" s="382"/>
      <c r="IZS67" s="382"/>
      <c r="IZT67" s="382"/>
      <c r="IZU67" s="382"/>
      <c r="IZV67" s="382"/>
      <c r="IZW67" s="382"/>
      <c r="IZX67" s="382"/>
      <c r="IZY67" s="382"/>
      <c r="IZZ67" s="382"/>
      <c r="JAA67" s="382"/>
      <c r="JAB67" s="382"/>
      <c r="JAC67" s="382"/>
      <c r="JAD67" s="382"/>
      <c r="JAE67" s="382"/>
      <c r="JAF67" s="382"/>
      <c r="JAG67" s="382"/>
      <c r="JAH67" s="382"/>
      <c r="JAI67" s="382"/>
      <c r="JAJ67" s="382"/>
      <c r="JAK67" s="382"/>
      <c r="JAL67" s="382"/>
      <c r="JAM67" s="382"/>
      <c r="JAN67" s="382"/>
      <c r="JAO67" s="382"/>
      <c r="JAP67" s="382"/>
      <c r="JAQ67" s="382"/>
      <c r="JAR67" s="382"/>
      <c r="JAS67" s="382"/>
      <c r="JAT67" s="382"/>
      <c r="JAU67" s="382"/>
      <c r="JAV67" s="382"/>
      <c r="JAW67" s="382"/>
      <c r="JAX67" s="382"/>
      <c r="JAY67" s="382"/>
      <c r="JAZ67" s="382"/>
      <c r="JBA67" s="382"/>
      <c r="JBB67" s="382"/>
      <c r="JBC67" s="382"/>
      <c r="JBD67" s="382"/>
      <c r="JBE67" s="382"/>
      <c r="JBF67" s="382"/>
      <c r="JBG67" s="382"/>
      <c r="JBH67" s="382"/>
      <c r="JBI67" s="382"/>
      <c r="JBJ67" s="382"/>
      <c r="JBK67" s="382"/>
      <c r="JBL67" s="382"/>
      <c r="JBM67" s="382"/>
      <c r="JBN67" s="382"/>
      <c r="JBO67" s="382"/>
      <c r="JBP67" s="382"/>
      <c r="JBQ67" s="382"/>
      <c r="JBR67" s="382"/>
      <c r="JBS67" s="382"/>
      <c r="JBT67" s="382"/>
      <c r="JBU67" s="382"/>
      <c r="JBV67" s="382"/>
      <c r="JBW67" s="382"/>
      <c r="JBX67" s="382"/>
      <c r="JBY67" s="382"/>
      <c r="JBZ67" s="382"/>
      <c r="JCA67" s="382"/>
      <c r="JCB67" s="382"/>
      <c r="JCC67" s="382"/>
      <c r="JCD67" s="382"/>
      <c r="JCE67" s="382"/>
      <c r="JCF67" s="382"/>
      <c r="JCG67" s="382"/>
      <c r="JCH67" s="382"/>
      <c r="JCI67" s="382"/>
      <c r="JCJ67" s="382"/>
      <c r="JCK67" s="382"/>
      <c r="JCL67" s="382"/>
      <c r="JCM67" s="382"/>
      <c r="JCN67" s="382"/>
      <c r="JCO67" s="382"/>
      <c r="JCP67" s="382"/>
      <c r="JCQ67" s="382"/>
      <c r="JCR67" s="382"/>
      <c r="JCS67" s="382"/>
      <c r="JCT67" s="382"/>
      <c r="JCU67" s="382"/>
      <c r="JCV67" s="382"/>
      <c r="JCW67" s="382"/>
      <c r="JCX67" s="382"/>
      <c r="JCY67" s="382"/>
      <c r="JCZ67" s="382"/>
      <c r="JDA67" s="382"/>
      <c r="JDB67" s="382"/>
      <c r="JDC67" s="382"/>
      <c r="JDD67" s="382"/>
      <c r="JDE67" s="382"/>
      <c r="JDF67" s="382"/>
      <c r="JDG67" s="382"/>
      <c r="JDH67" s="382"/>
      <c r="JDI67" s="382"/>
      <c r="JDJ67" s="382"/>
      <c r="JDK67" s="382"/>
      <c r="JDL67" s="382"/>
      <c r="JDM67" s="382"/>
      <c r="JDN67" s="382"/>
      <c r="JDO67" s="382"/>
      <c r="JDP67" s="382"/>
      <c r="JDQ67" s="382"/>
      <c r="JDR67" s="382"/>
      <c r="JDS67" s="382"/>
      <c r="JDT67" s="382"/>
      <c r="JDU67" s="382"/>
      <c r="JDV67" s="382"/>
      <c r="JDW67" s="382"/>
      <c r="JDX67" s="382"/>
      <c r="JDY67" s="382"/>
      <c r="JDZ67" s="382"/>
      <c r="JEA67" s="382"/>
      <c r="JEB67" s="382"/>
      <c r="JEC67" s="382"/>
      <c r="JED67" s="382"/>
      <c r="JEE67" s="382"/>
      <c r="JEF67" s="382"/>
      <c r="JEG67" s="382"/>
      <c r="JEH67" s="382"/>
      <c r="JEI67" s="382"/>
      <c r="JEJ67" s="382"/>
      <c r="JEK67" s="382"/>
      <c r="JEL67" s="382"/>
      <c r="JEM67" s="382"/>
      <c r="JEN67" s="382"/>
      <c r="JEO67" s="382"/>
      <c r="JEP67" s="382"/>
      <c r="JEQ67" s="382"/>
      <c r="JER67" s="382"/>
      <c r="JES67" s="382"/>
      <c r="JET67" s="382"/>
      <c r="JEU67" s="382"/>
      <c r="JEV67" s="382"/>
      <c r="JEW67" s="382"/>
      <c r="JEX67" s="382"/>
      <c r="JEY67" s="382"/>
      <c r="JEZ67" s="382"/>
      <c r="JFA67" s="382"/>
      <c r="JFB67" s="382"/>
      <c r="JFC67" s="382"/>
      <c r="JFD67" s="382"/>
      <c r="JFE67" s="382"/>
      <c r="JFF67" s="382"/>
      <c r="JFG67" s="382"/>
      <c r="JFH67" s="382"/>
      <c r="JFI67" s="382"/>
      <c r="JFJ67" s="382"/>
      <c r="JFK67" s="382"/>
      <c r="JFL67" s="382"/>
      <c r="JFM67" s="382"/>
      <c r="JFN67" s="382"/>
      <c r="JFO67" s="382"/>
      <c r="JFP67" s="382"/>
      <c r="JFQ67" s="382"/>
      <c r="JFR67" s="382"/>
      <c r="JFS67" s="382"/>
      <c r="JFT67" s="382"/>
      <c r="JFU67" s="382"/>
      <c r="JFV67" s="382"/>
      <c r="JFW67" s="382"/>
      <c r="JFX67" s="382"/>
      <c r="JFY67" s="382"/>
      <c r="JFZ67" s="382"/>
      <c r="JGA67" s="382"/>
      <c r="JGB67" s="382"/>
      <c r="JGC67" s="382"/>
      <c r="JGD67" s="382"/>
      <c r="JGE67" s="382"/>
      <c r="JGF67" s="382"/>
      <c r="JGG67" s="382"/>
      <c r="JGH67" s="382"/>
      <c r="JGI67" s="382"/>
      <c r="JGJ67" s="382"/>
      <c r="JGK67" s="382"/>
      <c r="JGL67" s="382"/>
      <c r="JGM67" s="382"/>
      <c r="JGN67" s="382"/>
      <c r="JGO67" s="382"/>
      <c r="JGP67" s="382"/>
      <c r="JGQ67" s="382"/>
      <c r="JGR67" s="382"/>
      <c r="JGS67" s="382"/>
      <c r="JGT67" s="382"/>
      <c r="JGU67" s="382"/>
      <c r="JGV67" s="382"/>
      <c r="JGW67" s="382"/>
      <c r="JGX67" s="382"/>
      <c r="JGY67" s="382"/>
      <c r="JGZ67" s="382"/>
      <c r="JHA67" s="382"/>
      <c r="JHB67" s="382"/>
      <c r="JHC67" s="382"/>
      <c r="JHD67" s="382"/>
      <c r="JHE67" s="382"/>
      <c r="JHF67" s="382"/>
      <c r="JHG67" s="382"/>
      <c r="JHH67" s="382"/>
      <c r="JHI67" s="382"/>
      <c r="JHJ67" s="382"/>
      <c r="JHK67" s="382"/>
      <c r="JHL67" s="382"/>
      <c r="JHM67" s="382"/>
      <c r="JHN67" s="382"/>
      <c r="JHO67" s="382"/>
      <c r="JHP67" s="382"/>
      <c r="JHQ67" s="382"/>
      <c r="JHR67" s="382"/>
      <c r="JHS67" s="382"/>
      <c r="JHT67" s="382"/>
      <c r="JHU67" s="382"/>
      <c r="JHV67" s="382"/>
      <c r="JHW67" s="382"/>
      <c r="JHX67" s="382"/>
      <c r="JHY67" s="382"/>
      <c r="JHZ67" s="382"/>
      <c r="JIA67" s="382"/>
      <c r="JIB67" s="382"/>
      <c r="JIC67" s="382"/>
      <c r="JID67" s="382"/>
      <c r="JIE67" s="382"/>
      <c r="JIF67" s="382"/>
      <c r="JIG67" s="382"/>
      <c r="JIH67" s="382"/>
      <c r="JII67" s="382"/>
      <c r="JIJ67" s="382"/>
      <c r="JIK67" s="382"/>
      <c r="JIL67" s="382"/>
      <c r="JIM67" s="382"/>
      <c r="JIN67" s="382"/>
      <c r="JIO67" s="382"/>
      <c r="JIP67" s="382"/>
      <c r="JIQ67" s="382"/>
      <c r="JIR67" s="382"/>
      <c r="JIS67" s="382"/>
      <c r="JIT67" s="382"/>
      <c r="JIU67" s="382"/>
      <c r="JIV67" s="382"/>
      <c r="JIW67" s="382"/>
      <c r="JIX67" s="382"/>
      <c r="JIY67" s="382"/>
      <c r="JIZ67" s="382"/>
      <c r="JJA67" s="382"/>
      <c r="JJB67" s="382"/>
      <c r="JJC67" s="382"/>
      <c r="JJD67" s="382"/>
      <c r="JJE67" s="382"/>
      <c r="JJF67" s="382"/>
      <c r="JJG67" s="382"/>
      <c r="JJH67" s="382"/>
      <c r="JJI67" s="382"/>
      <c r="JJJ67" s="382"/>
      <c r="JJK67" s="382"/>
      <c r="JJL67" s="382"/>
      <c r="JJM67" s="382"/>
      <c r="JJN67" s="382"/>
      <c r="JJO67" s="382"/>
      <c r="JJP67" s="382"/>
      <c r="JJQ67" s="382"/>
      <c r="JJR67" s="382"/>
      <c r="JJS67" s="382"/>
      <c r="JJT67" s="382"/>
      <c r="JJU67" s="382"/>
      <c r="JJV67" s="382"/>
      <c r="JJW67" s="382"/>
      <c r="JJX67" s="382"/>
      <c r="JJY67" s="382"/>
      <c r="JJZ67" s="382"/>
      <c r="JKA67" s="382"/>
      <c r="JKB67" s="382"/>
      <c r="JKC67" s="382"/>
      <c r="JKD67" s="382"/>
      <c r="JKE67" s="382"/>
      <c r="JKF67" s="382"/>
      <c r="JKG67" s="382"/>
      <c r="JKH67" s="382"/>
      <c r="JKI67" s="382"/>
      <c r="JKJ67" s="382"/>
      <c r="JKK67" s="382"/>
      <c r="JKL67" s="382"/>
      <c r="JKM67" s="382"/>
      <c r="JKN67" s="382"/>
      <c r="JKO67" s="382"/>
      <c r="JKP67" s="382"/>
      <c r="JKQ67" s="382"/>
      <c r="JKR67" s="382"/>
      <c r="JKS67" s="382"/>
      <c r="JKT67" s="382"/>
      <c r="JKU67" s="382"/>
      <c r="JKV67" s="382"/>
      <c r="JKW67" s="382"/>
      <c r="JKX67" s="382"/>
      <c r="JKY67" s="382"/>
      <c r="JKZ67" s="382"/>
      <c r="JLA67" s="382"/>
      <c r="JLB67" s="382"/>
      <c r="JLC67" s="382"/>
      <c r="JLD67" s="382"/>
      <c r="JLE67" s="382"/>
      <c r="JLF67" s="382"/>
      <c r="JLG67" s="382"/>
      <c r="JLH67" s="382"/>
      <c r="JLI67" s="382"/>
      <c r="JLJ67" s="382"/>
      <c r="JLK67" s="382"/>
      <c r="JLL67" s="382"/>
      <c r="JLM67" s="382"/>
      <c r="JLN67" s="382"/>
      <c r="JLO67" s="382"/>
      <c r="JLP67" s="382"/>
      <c r="JLQ67" s="382"/>
      <c r="JLR67" s="382"/>
      <c r="JLS67" s="382"/>
      <c r="JLT67" s="382"/>
      <c r="JLU67" s="382"/>
      <c r="JLV67" s="382"/>
      <c r="JLW67" s="382"/>
      <c r="JLX67" s="382"/>
      <c r="JLY67" s="382"/>
      <c r="JLZ67" s="382"/>
      <c r="JMA67" s="382"/>
      <c r="JMB67" s="382"/>
      <c r="JMC67" s="382"/>
      <c r="JMD67" s="382"/>
      <c r="JME67" s="382"/>
      <c r="JMF67" s="382"/>
      <c r="JMG67" s="382"/>
      <c r="JMH67" s="382"/>
      <c r="JMI67" s="382"/>
      <c r="JMJ67" s="382"/>
      <c r="JMK67" s="382"/>
      <c r="JML67" s="382"/>
      <c r="JMM67" s="382"/>
      <c r="JMN67" s="382"/>
      <c r="JMO67" s="382"/>
      <c r="JMP67" s="382"/>
      <c r="JMQ67" s="382"/>
      <c r="JMR67" s="382"/>
      <c r="JMS67" s="382"/>
      <c r="JMT67" s="382"/>
      <c r="JMU67" s="382"/>
      <c r="JMV67" s="382"/>
      <c r="JMW67" s="382"/>
      <c r="JMX67" s="382"/>
      <c r="JMY67" s="382"/>
      <c r="JMZ67" s="382"/>
      <c r="JNA67" s="382"/>
      <c r="JNB67" s="382"/>
      <c r="JNC67" s="382"/>
      <c r="JND67" s="382"/>
      <c r="JNE67" s="382"/>
      <c r="JNF67" s="382"/>
      <c r="JNG67" s="382"/>
      <c r="JNH67" s="382"/>
      <c r="JNI67" s="382"/>
      <c r="JNJ67" s="382"/>
      <c r="JNK67" s="382"/>
      <c r="JNL67" s="382"/>
      <c r="JNM67" s="382"/>
      <c r="JNN67" s="382"/>
      <c r="JNO67" s="382"/>
      <c r="JNP67" s="382"/>
      <c r="JNQ67" s="382"/>
      <c r="JNR67" s="382"/>
      <c r="JNS67" s="382"/>
      <c r="JNT67" s="382"/>
      <c r="JNU67" s="382"/>
      <c r="JNV67" s="382"/>
      <c r="JNW67" s="382"/>
      <c r="JNX67" s="382"/>
      <c r="JNY67" s="382"/>
      <c r="JNZ67" s="382"/>
      <c r="JOA67" s="382"/>
      <c r="JOB67" s="382"/>
      <c r="JOC67" s="382"/>
      <c r="JOD67" s="382"/>
      <c r="JOE67" s="382"/>
      <c r="JOF67" s="382"/>
      <c r="JOG67" s="382"/>
      <c r="JOH67" s="382"/>
      <c r="JOI67" s="382"/>
      <c r="JOJ67" s="382"/>
      <c r="JOK67" s="382"/>
      <c r="JOL67" s="382"/>
      <c r="JOM67" s="382"/>
      <c r="JON67" s="382"/>
      <c r="JOO67" s="382"/>
      <c r="JOP67" s="382"/>
      <c r="JOQ67" s="382"/>
      <c r="JOR67" s="382"/>
      <c r="JOS67" s="382"/>
      <c r="JOT67" s="382"/>
      <c r="JOU67" s="382"/>
      <c r="JOV67" s="382"/>
      <c r="JOW67" s="382"/>
      <c r="JOX67" s="382"/>
      <c r="JOY67" s="382"/>
      <c r="JOZ67" s="382"/>
      <c r="JPA67" s="382"/>
      <c r="JPB67" s="382"/>
      <c r="JPC67" s="382"/>
      <c r="JPD67" s="382"/>
      <c r="JPE67" s="382"/>
      <c r="JPF67" s="382"/>
      <c r="JPG67" s="382"/>
      <c r="JPH67" s="382"/>
      <c r="JPI67" s="382"/>
      <c r="JPJ67" s="382"/>
      <c r="JPK67" s="382"/>
      <c r="JPL67" s="382"/>
      <c r="JPM67" s="382"/>
      <c r="JPN67" s="382"/>
      <c r="JPO67" s="382"/>
      <c r="JPP67" s="382"/>
      <c r="JPQ67" s="382"/>
      <c r="JPR67" s="382"/>
      <c r="JPS67" s="382"/>
      <c r="JPT67" s="382"/>
      <c r="JPU67" s="382"/>
      <c r="JPV67" s="382"/>
      <c r="JPW67" s="382"/>
      <c r="JPX67" s="382"/>
      <c r="JPY67" s="382"/>
      <c r="JPZ67" s="382"/>
      <c r="JQA67" s="382"/>
      <c r="JQB67" s="382"/>
      <c r="JQC67" s="382"/>
      <c r="JQD67" s="382"/>
      <c r="JQE67" s="382"/>
      <c r="JQF67" s="382"/>
      <c r="JQG67" s="382"/>
      <c r="JQH67" s="382"/>
      <c r="JQI67" s="382"/>
      <c r="JQJ67" s="382"/>
      <c r="JQK67" s="382"/>
      <c r="JQL67" s="382"/>
      <c r="JQM67" s="382"/>
      <c r="JQN67" s="382"/>
      <c r="JQO67" s="382"/>
      <c r="JQP67" s="382"/>
      <c r="JQQ67" s="382"/>
      <c r="JQR67" s="382"/>
      <c r="JQS67" s="382"/>
      <c r="JQT67" s="382"/>
      <c r="JQU67" s="382"/>
      <c r="JQV67" s="382"/>
      <c r="JQW67" s="382"/>
      <c r="JQX67" s="382"/>
      <c r="JQY67" s="382"/>
      <c r="JQZ67" s="382"/>
      <c r="JRA67" s="382"/>
      <c r="JRB67" s="382"/>
      <c r="JRC67" s="382"/>
      <c r="JRD67" s="382"/>
      <c r="JRE67" s="382"/>
      <c r="JRF67" s="382"/>
      <c r="JRG67" s="382"/>
      <c r="JRH67" s="382"/>
      <c r="JRI67" s="382"/>
      <c r="JRJ67" s="382"/>
      <c r="JRK67" s="382"/>
      <c r="JRL67" s="382"/>
      <c r="JRM67" s="382"/>
      <c r="JRN67" s="382"/>
      <c r="JRO67" s="382"/>
      <c r="JRP67" s="382"/>
      <c r="JRQ67" s="382"/>
      <c r="JRR67" s="382"/>
      <c r="JRS67" s="382"/>
      <c r="JRT67" s="382"/>
      <c r="JRU67" s="382"/>
      <c r="JRV67" s="382"/>
      <c r="JRW67" s="382"/>
      <c r="JRX67" s="382"/>
      <c r="JRY67" s="382"/>
      <c r="JRZ67" s="382"/>
      <c r="JSA67" s="382"/>
      <c r="JSB67" s="382"/>
      <c r="JSC67" s="382"/>
      <c r="JSD67" s="382"/>
      <c r="JSE67" s="382"/>
      <c r="JSF67" s="382"/>
      <c r="JSG67" s="382"/>
      <c r="JSH67" s="382"/>
      <c r="JSI67" s="382"/>
      <c r="JSJ67" s="382"/>
      <c r="JSK67" s="382"/>
      <c r="JSL67" s="382"/>
      <c r="JSM67" s="382"/>
      <c r="JSN67" s="382"/>
      <c r="JSO67" s="382"/>
      <c r="JSP67" s="382"/>
      <c r="JSQ67" s="382"/>
      <c r="JSR67" s="382"/>
      <c r="JSS67" s="382"/>
      <c r="JST67" s="382"/>
      <c r="JSU67" s="382"/>
      <c r="JSV67" s="382"/>
      <c r="JSW67" s="382"/>
      <c r="JSX67" s="382"/>
      <c r="JSY67" s="382"/>
      <c r="JSZ67" s="382"/>
      <c r="JTA67" s="382"/>
      <c r="JTB67" s="382"/>
      <c r="JTC67" s="382"/>
      <c r="JTD67" s="382"/>
      <c r="JTE67" s="382"/>
      <c r="JTF67" s="382"/>
      <c r="JTG67" s="382"/>
      <c r="JTH67" s="382"/>
      <c r="JTI67" s="382"/>
      <c r="JTJ67" s="382"/>
      <c r="JTK67" s="382"/>
      <c r="JTL67" s="382"/>
      <c r="JTM67" s="382"/>
      <c r="JTN67" s="382"/>
      <c r="JTO67" s="382"/>
      <c r="JTP67" s="382"/>
      <c r="JTQ67" s="382"/>
      <c r="JTR67" s="382"/>
      <c r="JTS67" s="382"/>
      <c r="JTT67" s="382"/>
      <c r="JTU67" s="382"/>
      <c r="JTV67" s="382"/>
      <c r="JTW67" s="382"/>
      <c r="JTX67" s="382"/>
      <c r="JTY67" s="382"/>
      <c r="JTZ67" s="382"/>
      <c r="JUA67" s="382"/>
      <c r="JUB67" s="382"/>
      <c r="JUC67" s="382"/>
      <c r="JUD67" s="382"/>
      <c r="JUE67" s="382"/>
      <c r="JUF67" s="382"/>
      <c r="JUG67" s="382"/>
      <c r="JUH67" s="382"/>
      <c r="JUI67" s="382"/>
      <c r="JUJ67" s="382"/>
      <c r="JUK67" s="382"/>
      <c r="JUL67" s="382"/>
      <c r="JUM67" s="382"/>
      <c r="JUN67" s="382"/>
      <c r="JUO67" s="382"/>
      <c r="JUP67" s="382"/>
      <c r="JUQ67" s="382"/>
      <c r="JUR67" s="382"/>
      <c r="JUS67" s="382"/>
      <c r="JUT67" s="382"/>
      <c r="JUU67" s="382"/>
      <c r="JUV67" s="382"/>
      <c r="JUW67" s="382"/>
      <c r="JUX67" s="382"/>
      <c r="JUY67" s="382"/>
      <c r="JUZ67" s="382"/>
      <c r="JVA67" s="382"/>
      <c r="JVB67" s="382"/>
      <c r="JVC67" s="382"/>
      <c r="JVD67" s="382"/>
      <c r="JVE67" s="382"/>
      <c r="JVF67" s="382"/>
      <c r="JVG67" s="382"/>
      <c r="JVH67" s="382"/>
      <c r="JVI67" s="382"/>
      <c r="JVJ67" s="382"/>
      <c r="JVK67" s="382"/>
      <c r="JVL67" s="382"/>
      <c r="JVM67" s="382"/>
      <c r="JVN67" s="382"/>
      <c r="JVO67" s="382"/>
      <c r="JVP67" s="382"/>
      <c r="JVQ67" s="382"/>
      <c r="JVR67" s="382"/>
      <c r="JVS67" s="382"/>
      <c r="JVT67" s="382"/>
      <c r="JVU67" s="382"/>
      <c r="JVV67" s="382"/>
      <c r="JVW67" s="382"/>
      <c r="JVX67" s="382"/>
      <c r="JVY67" s="382"/>
      <c r="JVZ67" s="382"/>
      <c r="JWA67" s="382"/>
      <c r="JWB67" s="382"/>
      <c r="JWC67" s="382"/>
      <c r="JWD67" s="382"/>
      <c r="JWE67" s="382"/>
      <c r="JWF67" s="382"/>
      <c r="JWG67" s="382"/>
      <c r="JWH67" s="382"/>
      <c r="JWI67" s="382"/>
      <c r="JWJ67" s="382"/>
      <c r="JWK67" s="382"/>
      <c r="JWL67" s="382"/>
      <c r="JWM67" s="382"/>
      <c r="JWN67" s="382"/>
      <c r="JWO67" s="382"/>
      <c r="JWP67" s="382"/>
      <c r="JWQ67" s="382"/>
      <c r="JWR67" s="382"/>
      <c r="JWS67" s="382"/>
      <c r="JWT67" s="382"/>
      <c r="JWU67" s="382"/>
      <c r="JWV67" s="382"/>
      <c r="JWW67" s="382"/>
      <c r="JWX67" s="382"/>
      <c r="JWY67" s="382"/>
      <c r="JWZ67" s="382"/>
      <c r="JXA67" s="382"/>
      <c r="JXB67" s="382"/>
      <c r="JXC67" s="382"/>
      <c r="JXD67" s="382"/>
      <c r="JXE67" s="382"/>
      <c r="JXF67" s="382"/>
      <c r="JXG67" s="382"/>
      <c r="JXH67" s="382"/>
      <c r="JXI67" s="382"/>
      <c r="JXJ67" s="382"/>
      <c r="JXK67" s="382"/>
      <c r="JXL67" s="382"/>
      <c r="JXM67" s="382"/>
      <c r="JXN67" s="382"/>
      <c r="JXO67" s="382"/>
      <c r="JXP67" s="382"/>
      <c r="JXQ67" s="382"/>
      <c r="JXR67" s="382"/>
      <c r="JXS67" s="382"/>
      <c r="JXT67" s="382"/>
      <c r="JXU67" s="382"/>
      <c r="JXV67" s="382"/>
      <c r="JXW67" s="382"/>
      <c r="JXX67" s="382"/>
      <c r="JXY67" s="382"/>
      <c r="JXZ67" s="382"/>
      <c r="JYA67" s="382"/>
      <c r="JYB67" s="382"/>
      <c r="JYC67" s="382"/>
      <c r="JYD67" s="382"/>
      <c r="JYE67" s="382"/>
      <c r="JYF67" s="382"/>
      <c r="JYG67" s="382"/>
      <c r="JYH67" s="382"/>
      <c r="JYI67" s="382"/>
      <c r="JYJ67" s="382"/>
      <c r="JYK67" s="382"/>
      <c r="JYL67" s="382"/>
      <c r="JYM67" s="382"/>
      <c r="JYN67" s="382"/>
      <c r="JYO67" s="382"/>
      <c r="JYP67" s="382"/>
      <c r="JYQ67" s="382"/>
      <c r="JYR67" s="382"/>
      <c r="JYS67" s="382"/>
      <c r="JYT67" s="382"/>
      <c r="JYU67" s="382"/>
      <c r="JYV67" s="382"/>
      <c r="JYW67" s="382"/>
      <c r="JYX67" s="382"/>
      <c r="JYY67" s="382"/>
      <c r="JYZ67" s="382"/>
      <c r="JZA67" s="382"/>
      <c r="JZB67" s="382"/>
      <c r="JZC67" s="382"/>
      <c r="JZD67" s="382"/>
      <c r="JZE67" s="382"/>
      <c r="JZF67" s="382"/>
      <c r="JZG67" s="382"/>
      <c r="JZH67" s="382"/>
      <c r="JZI67" s="382"/>
      <c r="JZJ67" s="382"/>
      <c r="JZK67" s="382"/>
      <c r="JZL67" s="382"/>
      <c r="JZM67" s="382"/>
      <c r="JZN67" s="382"/>
      <c r="JZO67" s="382"/>
      <c r="JZP67" s="382"/>
      <c r="JZQ67" s="382"/>
      <c r="JZR67" s="382"/>
      <c r="JZS67" s="382"/>
      <c r="JZT67" s="382"/>
      <c r="JZU67" s="382"/>
      <c r="JZV67" s="382"/>
      <c r="JZW67" s="382"/>
      <c r="JZX67" s="382"/>
      <c r="JZY67" s="382"/>
      <c r="JZZ67" s="382"/>
      <c r="KAA67" s="382"/>
      <c r="KAB67" s="382"/>
      <c r="KAC67" s="382"/>
      <c r="KAD67" s="382"/>
      <c r="KAE67" s="382"/>
      <c r="KAF67" s="382"/>
      <c r="KAG67" s="382"/>
      <c r="KAH67" s="382"/>
      <c r="KAI67" s="382"/>
      <c r="KAJ67" s="382"/>
      <c r="KAK67" s="382"/>
      <c r="KAL67" s="382"/>
      <c r="KAM67" s="382"/>
      <c r="KAN67" s="382"/>
      <c r="KAO67" s="382"/>
      <c r="KAP67" s="382"/>
      <c r="KAQ67" s="382"/>
      <c r="KAR67" s="382"/>
      <c r="KAS67" s="382"/>
      <c r="KAT67" s="382"/>
      <c r="KAU67" s="382"/>
      <c r="KAV67" s="382"/>
      <c r="KAW67" s="382"/>
      <c r="KAX67" s="382"/>
      <c r="KAY67" s="382"/>
      <c r="KAZ67" s="382"/>
      <c r="KBA67" s="382"/>
      <c r="KBB67" s="382"/>
      <c r="KBC67" s="382"/>
      <c r="KBD67" s="382"/>
      <c r="KBE67" s="382"/>
      <c r="KBF67" s="382"/>
      <c r="KBG67" s="382"/>
      <c r="KBH67" s="382"/>
      <c r="KBI67" s="382"/>
      <c r="KBJ67" s="382"/>
      <c r="KBK67" s="382"/>
      <c r="KBL67" s="382"/>
      <c r="KBM67" s="382"/>
      <c r="KBN67" s="382"/>
      <c r="KBO67" s="382"/>
      <c r="KBP67" s="382"/>
      <c r="KBQ67" s="382"/>
      <c r="KBR67" s="382"/>
      <c r="KBS67" s="382"/>
      <c r="KBT67" s="382"/>
      <c r="KBU67" s="382"/>
      <c r="KBV67" s="382"/>
      <c r="KBW67" s="382"/>
      <c r="KBX67" s="382"/>
      <c r="KBY67" s="382"/>
      <c r="KBZ67" s="382"/>
      <c r="KCA67" s="382"/>
      <c r="KCB67" s="382"/>
      <c r="KCC67" s="382"/>
      <c r="KCD67" s="382"/>
      <c r="KCE67" s="382"/>
      <c r="KCF67" s="382"/>
      <c r="KCG67" s="382"/>
      <c r="KCH67" s="382"/>
      <c r="KCI67" s="382"/>
      <c r="KCJ67" s="382"/>
      <c r="KCK67" s="382"/>
      <c r="KCL67" s="382"/>
      <c r="KCM67" s="382"/>
      <c r="KCN67" s="382"/>
      <c r="KCO67" s="382"/>
      <c r="KCP67" s="382"/>
      <c r="KCQ67" s="382"/>
      <c r="KCR67" s="382"/>
      <c r="KCS67" s="382"/>
      <c r="KCT67" s="382"/>
      <c r="KCU67" s="382"/>
      <c r="KCV67" s="382"/>
      <c r="KCW67" s="382"/>
      <c r="KCX67" s="382"/>
      <c r="KCY67" s="382"/>
      <c r="KCZ67" s="382"/>
      <c r="KDA67" s="382"/>
      <c r="KDB67" s="382"/>
      <c r="KDC67" s="382"/>
      <c r="KDD67" s="382"/>
      <c r="KDE67" s="382"/>
      <c r="KDF67" s="382"/>
      <c r="KDG67" s="382"/>
      <c r="KDH67" s="382"/>
      <c r="KDI67" s="382"/>
      <c r="KDJ67" s="382"/>
      <c r="KDK67" s="382"/>
      <c r="KDL67" s="382"/>
      <c r="KDM67" s="382"/>
      <c r="KDN67" s="382"/>
      <c r="KDO67" s="382"/>
      <c r="KDP67" s="382"/>
      <c r="KDQ67" s="382"/>
      <c r="KDR67" s="382"/>
      <c r="KDS67" s="382"/>
      <c r="KDT67" s="382"/>
      <c r="KDU67" s="382"/>
      <c r="KDV67" s="382"/>
      <c r="KDW67" s="382"/>
      <c r="KDX67" s="382"/>
      <c r="KDY67" s="382"/>
      <c r="KDZ67" s="382"/>
      <c r="KEA67" s="382"/>
      <c r="KEB67" s="382"/>
      <c r="KEC67" s="382"/>
      <c r="KED67" s="382"/>
      <c r="KEE67" s="382"/>
      <c r="KEF67" s="382"/>
      <c r="KEG67" s="382"/>
      <c r="KEH67" s="382"/>
      <c r="KEI67" s="382"/>
      <c r="KEJ67" s="382"/>
      <c r="KEK67" s="382"/>
      <c r="KEL67" s="382"/>
      <c r="KEM67" s="382"/>
      <c r="KEN67" s="382"/>
      <c r="KEO67" s="382"/>
      <c r="KEP67" s="382"/>
      <c r="KEQ67" s="382"/>
      <c r="KER67" s="382"/>
      <c r="KES67" s="382"/>
      <c r="KET67" s="382"/>
      <c r="KEU67" s="382"/>
      <c r="KEV67" s="382"/>
      <c r="KEW67" s="382"/>
      <c r="KEX67" s="382"/>
      <c r="KEY67" s="382"/>
      <c r="KEZ67" s="382"/>
      <c r="KFA67" s="382"/>
      <c r="KFB67" s="382"/>
      <c r="KFC67" s="382"/>
      <c r="KFD67" s="382"/>
      <c r="KFE67" s="382"/>
      <c r="KFF67" s="382"/>
      <c r="KFG67" s="382"/>
      <c r="KFH67" s="382"/>
      <c r="KFI67" s="382"/>
      <c r="KFJ67" s="382"/>
      <c r="KFK67" s="382"/>
      <c r="KFL67" s="382"/>
      <c r="KFM67" s="382"/>
      <c r="KFN67" s="382"/>
      <c r="KFO67" s="382"/>
      <c r="KFP67" s="382"/>
      <c r="KFQ67" s="382"/>
      <c r="KFR67" s="382"/>
      <c r="KFS67" s="382"/>
      <c r="KFT67" s="382"/>
      <c r="KFU67" s="382"/>
      <c r="KFV67" s="382"/>
      <c r="KFW67" s="382"/>
      <c r="KFX67" s="382"/>
      <c r="KFY67" s="382"/>
      <c r="KFZ67" s="382"/>
      <c r="KGA67" s="382"/>
      <c r="KGB67" s="382"/>
      <c r="KGC67" s="382"/>
      <c r="KGD67" s="382"/>
      <c r="KGE67" s="382"/>
      <c r="KGF67" s="382"/>
      <c r="KGG67" s="382"/>
      <c r="KGH67" s="382"/>
      <c r="KGI67" s="382"/>
      <c r="KGJ67" s="382"/>
      <c r="KGK67" s="382"/>
      <c r="KGL67" s="382"/>
      <c r="KGM67" s="382"/>
      <c r="KGN67" s="382"/>
      <c r="KGO67" s="382"/>
      <c r="KGP67" s="382"/>
      <c r="KGQ67" s="382"/>
      <c r="KGR67" s="382"/>
      <c r="KGS67" s="382"/>
      <c r="KGT67" s="382"/>
      <c r="KGU67" s="382"/>
      <c r="KGV67" s="382"/>
      <c r="KGW67" s="382"/>
      <c r="KGX67" s="382"/>
      <c r="KGY67" s="382"/>
      <c r="KGZ67" s="382"/>
      <c r="KHA67" s="382"/>
      <c r="KHB67" s="382"/>
      <c r="KHC67" s="382"/>
      <c r="KHD67" s="382"/>
      <c r="KHE67" s="382"/>
      <c r="KHF67" s="382"/>
      <c r="KHG67" s="382"/>
      <c r="KHH67" s="382"/>
      <c r="KHI67" s="382"/>
      <c r="KHJ67" s="382"/>
      <c r="KHK67" s="382"/>
      <c r="KHL67" s="382"/>
      <c r="KHM67" s="382"/>
      <c r="KHN67" s="382"/>
      <c r="KHO67" s="382"/>
      <c r="KHP67" s="382"/>
      <c r="KHQ67" s="382"/>
      <c r="KHR67" s="382"/>
      <c r="KHS67" s="382"/>
      <c r="KHT67" s="382"/>
      <c r="KHU67" s="382"/>
      <c r="KHV67" s="382"/>
      <c r="KHW67" s="382"/>
      <c r="KHX67" s="382"/>
      <c r="KHY67" s="382"/>
      <c r="KHZ67" s="382"/>
      <c r="KIA67" s="382"/>
      <c r="KIB67" s="382"/>
      <c r="KIC67" s="382"/>
      <c r="KID67" s="382"/>
      <c r="KIE67" s="382"/>
      <c r="KIF67" s="382"/>
      <c r="KIG67" s="382"/>
      <c r="KIH67" s="382"/>
      <c r="KII67" s="382"/>
      <c r="KIJ67" s="382"/>
      <c r="KIK67" s="382"/>
      <c r="KIL67" s="382"/>
      <c r="KIM67" s="382"/>
      <c r="KIN67" s="382"/>
      <c r="KIO67" s="382"/>
      <c r="KIP67" s="382"/>
      <c r="KIQ67" s="382"/>
      <c r="KIR67" s="382"/>
      <c r="KIS67" s="382"/>
      <c r="KIT67" s="382"/>
      <c r="KIU67" s="382"/>
      <c r="KIV67" s="382"/>
      <c r="KIW67" s="382"/>
      <c r="KIX67" s="382"/>
      <c r="KIY67" s="382"/>
      <c r="KIZ67" s="382"/>
      <c r="KJA67" s="382"/>
      <c r="KJB67" s="382"/>
      <c r="KJC67" s="382"/>
      <c r="KJD67" s="382"/>
      <c r="KJE67" s="382"/>
      <c r="KJF67" s="382"/>
      <c r="KJG67" s="382"/>
      <c r="KJH67" s="382"/>
      <c r="KJI67" s="382"/>
      <c r="KJJ67" s="382"/>
      <c r="KJK67" s="382"/>
      <c r="KJL67" s="382"/>
      <c r="KJM67" s="382"/>
      <c r="KJN67" s="382"/>
      <c r="KJO67" s="382"/>
      <c r="KJP67" s="382"/>
      <c r="KJQ67" s="382"/>
      <c r="KJR67" s="382"/>
      <c r="KJS67" s="382"/>
      <c r="KJT67" s="382"/>
      <c r="KJU67" s="382"/>
      <c r="KJV67" s="382"/>
      <c r="KJW67" s="382"/>
      <c r="KJX67" s="382"/>
      <c r="KJY67" s="382"/>
      <c r="KJZ67" s="382"/>
      <c r="KKA67" s="382"/>
      <c r="KKB67" s="382"/>
      <c r="KKC67" s="382"/>
      <c r="KKD67" s="382"/>
      <c r="KKE67" s="382"/>
      <c r="KKF67" s="382"/>
      <c r="KKG67" s="382"/>
      <c r="KKH67" s="382"/>
      <c r="KKI67" s="382"/>
      <c r="KKJ67" s="382"/>
      <c r="KKK67" s="382"/>
      <c r="KKL67" s="382"/>
      <c r="KKM67" s="382"/>
      <c r="KKN67" s="382"/>
      <c r="KKO67" s="382"/>
      <c r="KKP67" s="382"/>
      <c r="KKQ67" s="382"/>
      <c r="KKR67" s="382"/>
      <c r="KKS67" s="382"/>
      <c r="KKT67" s="382"/>
      <c r="KKU67" s="382"/>
      <c r="KKV67" s="382"/>
      <c r="KKW67" s="382"/>
      <c r="KKX67" s="382"/>
      <c r="KKY67" s="382"/>
      <c r="KKZ67" s="382"/>
      <c r="KLA67" s="382"/>
      <c r="KLB67" s="382"/>
      <c r="KLC67" s="382"/>
      <c r="KLD67" s="382"/>
      <c r="KLE67" s="382"/>
      <c r="KLF67" s="382"/>
      <c r="KLG67" s="382"/>
      <c r="KLH67" s="382"/>
      <c r="KLI67" s="382"/>
      <c r="KLJ67" s="382"/>
      <c r="KLK67" s="382"/>
      <c r="KLL67" s="382"/>
      <c r="KLM67" s="382"/>
      <c r="KLN67" s="382"/>
      <c r="KLO67" s="382"/>
      <c r="KLP67" s="382"/>
      <c r="KLQ67" s="382"/>
      <c r="KLR67" s="382"/>
      <c r="KLS67" s="382"/>
      <c r="KLT67" s="382"/>
      <c r="KLU67" s="382"/>
      <c r="KLV67" s="382"/>
      <c r="KLW67" s="382"/>
      <c r="KLX67" s="382"/>
      <c r="KLY67" s="382"/>
      <c r="KLZ67" s="382"/>
      <c r="KMA67" s="382"/>
      <c r="KMB67" s="382"/>
      <c r="KMC67" s="382"/>
      <c r="KMD67" s="382"/>
      <c r="KME67" s="382"/>
      <c r="KMF67" s="382"/>
      <c r="KMG67" s="382"/>
      <c r="KMH67" s="382"/>
      <c r="KMI67" s="382"/>
      <c r="KMJ67" s="382"/>
      <c r="KMK67" s="382"/>
      <c r="KML67" s="382"/>
      <c r="KMM67" s="382"/>
      <c r="KMN67" s="382"/>
      <c r="KMO67" s="382"/>
      <c r="KMP67" s="382"/>
      <c r="KMQ67" s="382"/>
      <c r="KMR67" s="382"/>
      <c r="KMS67" s="382"/>
      <c r="KMT67" s="382"/>
      <c r="KMU67" s="382"/>
      <c r="KMV67" s="382"/>
      <c r="KMW67" s="382"/>
      <c r="KMX67" s="382"/>
      <c r="KMY67" s="382"/>
      <c r="KMZ67" s="382"/>
      <c r="KNA67" s="382"/>
      <c r="KNB67" s="382"/>
      <c r="KNC67" s="382"/>
      <c r="KND67" s="382"/>
      <c r="KNE67" s="382"/>
      <c r="KNF67" s="382"/>
      <c r="KNG67" s="382"/>
      <c r="KNH67" s="382"/>
      <c r="KNI67" s="382"/>
      <c r="KNJ67" s="382"/>
      <c r="KNK67" s="382"/>
      <c r="KNL67" s="382"/>
      <c r="KNM67" s="382"/>
      <c r="KNN67" s="382"/>
      <c r="KNO67" s="382"/>
      <c r="KNP67" s="382"/>
      <c r="KNQ67" s="382"/>
      <c r="KNR67" s="382"/>
      <c r="KNS67" s="382"/>
      <c r="KNT67" s="382"/>
      <c r="KNU67" s="382"/>
      <c r="KNV67" s="382"/>
      <c r="KNW67" s="382"/>
      <c r="KNX67" s="382"/>
      <c r="KNY67" s="382"/>
      <c r="KNZ67" s="382"/>
      <c r="KOA67" s="382"/>
      <c r="KOB67" s="382"/>
      <c r="KOC67" s="382"/>
      <c r="KOD67" s="382"/>
      <c r="KOE67" s="382"/>
      <c r="KOF67" s="382"/>
      <c r="KOG67" s="382"/>
      <c r="KOH67" s="382"/>
      <c r="KOI67" s="382"/>
      <c r="KOJ67" s="382"/>
      <c r="KOK67" s="382"/>
      <c r="KOL67" s="382"/>
      <c r="KOM67" s="382"/>
      <c r="KON67" s="382"/>
      <c r="KOO67" s="382"/>
      <c r="KOP67" s="382"/>
      <c r="KOQ67" s="382"/>
      <c r="KOR67" s="382"/>
      <c r="KOS67" s="382"/>
      <c r="KOT67" s="382"/>
      <c r="KOU67" s="382"/>
      <c r="KOV67" s="382"/>
      <c r="KOW67" s="382"/>
      <c r="KOX67" s="382"/>
      <c r="KOY67" s="382"/>
      <c r="KOZ67" s="382"/>
      <c r="KPA67" s="382"/>
      <c r="KPB67" s="382"/>
      <c r="KPC67" s="382"/>
      <c r="KPD67" s="382"/>
      <c r="KPE67" s="382"/>
      <c r="KPF67" s="382"/>
      <c r="KPG67" s="382"/>
      <c r="KPH67" s="382"/>
      <c r="KPI67" s="382"/>
      <c r="KPJ67" s="382"/>
      <c r="KPK67" s="382"/>
      <c r="KPL67" s="382"/>
      <c r="KPM67" s="382"/>
      <c r="KPN67" s="382"/>
      <c r="KPO67" s="382"/>
      <c r="KPP67" s="382"/>
      <c r="KPQ67" s="382"/>
      <c r="KPR67" s="382"/>
      <c r="KPS67" s="382"/>
      <c r="KPT67" s="382"/>
      <c r="KPU67" s="382"/>
      <c r="KPV67" s="382"/>
      <c r="KPW67" s="382"/>
      <c r="KPX67" s="382"/>
      <c r="KPY67" s="382"/>
      <c r="KPZ67" s="382"/>
      <c r="KQA67" s="382"/>
      <c r="KQB67" s="382"/>
      <c r="KQC67" s="382"/>
      <c r="KQD67" s="382"/>
      <c r="KQE67" s="382"/>
      <c r="KQF67" s="382"/>
      <c r="KQG67" s="382"/>
      <c r="KQH67" s="382"/>
      <c r="KQI67" s="382"/>
      <c r="KQJ67" s="382"/>
      <c r="KQK67" s="382"/>
      <c r="KQL67" s="382"/>
      <c r="KQM67" s="382"/>
      <c r="KQN67" s="382"/>
      <c r="KQO67" s="382"/>
      <c r="KQP67" s="382"/>
      <c r="KQQ67" s="382"/>
      <c r="KQR67" s="382"/>
      <c r="KQS67" s="382"/>
      <c r="KQT67" s="382"/>
      <c r="KQU67" s="382"/>
      <c r="KQV67" s="382"/>
      <c r="KQW67" s="382"/>
      <c r="KQX67" s="382"/>
      <c r="KQY67" s="382"/>
      <c r="KQZ67" s="382"/>
      <c r="KRA67" s="382"/>
      <c r="KRB67" s="382"/>
      <c r="KRC67" s="382"/>
      <c r="KRD67" s="382"/>
      <c r="KRE67" s="382"/>
      <c r="KRF67" s="382"/>
      <c r="KRG67" s="382"/>
      <c r="KRH67" s="382"/>
      <c r="KRI67" s="382"/>
      <c r="KRJ67" s="382"/>
      <c r="KRK67" s="382"/>
      <c r="KRL67" s="382"/>
      <c r="KRM67" s="382"/>
      <c r="KRN67" s="382"/>
      <c r="KRO67" s="382"/>
      <c r="KRP67" s="382"/>
      <c r="KRQ67" s="382"/>
      <c r="KRR67" s="382"/>
      <c r="KRS67" s="382"/>
      <c r="KRT67" s="382"/>
      <c r="KRU67" s="382"/>
      <c r="KRV67" s="382"/>
      <c r="KRW67" s="382"/>
      <c r="KRX67" s="382"/>
      <c r="KRY67" s="382"/>
      <c r="KRZ67" s="382"/>
      <c r="KSA67" s="382"/>
      <c r="KSB67" s="382"/>
      <c r="KSC67" s="382"/>
      <c r="KSD67" s="382"/>
      <c r="KSE67" s="382"/>
      <c r="KSF67" s="382"/>
      <c r="KSG67" s="382"/>
      <c r="KSH67" s="382"/>
      <c r="KSI67" s="382"/>
      <c r="KSJ67" s="382"/>
      <c r="KSK67" s="382"/>
      <c r="KSL67" s="382"/>
      <c r="KSM67" s="382"/>
      <c r="KSN67" s="382"/>
      <c r="KSO67" s="382"/>
      <c r="KSP67" s="382"/>
      <c r="KSQ67" s="382"/>
      <c r="KSR67" s="382"/>
      <c r="KSS67" s="382"/>
      <c r="KST67" s="382"/>
      <c r="KSU67" s="382"/>
      <c r="KSV67" s="382"/>
      <c r="KSW67" s="382"/>
      <c r="KSX67" s="382"/>
      <c r="KSY67" s="382"/>
      <c r="KSZ67" s="382"/>
      <c r="KTA67" s="382"/>
      <c r="KTB67" s="382"/>
      <c r="KTC67" s="382"/>
      <c r="KTD67" s="382"/>
      <c r="KTE67" s="382"/>
      <c r="KTF67" s="382"/>
      <c r="KTG67" s="382"/>
      <c r="KTH67" s="382"/>
      <c r="KTI67" s="382"/>
      <c r="KTJ67" s="382"/>
      <c r="KTK67" s="382"/>
      <c r="KTL67" s="382"/>
      <c r="KTM67" s="382"/>
      <c r="KTN67" s="382"/>
      <c r="KTO67" s="382"/>
      <c r="KTP67" s="382"/>
      <c r="KTQ67" s="382"/>
      <c r="KTR67" s="382"/>
      <c r="KTS67" s="382"/>
      <c r="KTT67" s="382"/>
      <c r="KTU67" s="382"/>
      <c r="KTV67" s="382"/>
      <c r="KTW67" s="382"/>
      <c r="KTX67" s="382"/>
      <c r="KTY67" s="382"/>
      <c r="KTZ67" s="382"/>
      <c r="KUA67" s="382"/>
      <c r="KUB67" s="382"/>
      <c r="KUC67" s="382"/>
      <c r="KUD67" s="382"/>
      <c r="KUE67" s="382"/>
      <c r="KUF67" s="382"/>
      <c r="KUG67" s="382"/>
      <c r="KUH67" s="382"/>
      <c r="KUI67" s="382"/>
      <c r="KUJ67" s="382"/>
      <c r="KUK67" s="382"/>
      <c r="KUL67" s="382"/>
      <c r="KUM67" s="382"/>
      <c r="KUN67" s="382"/>
      <c r="KUO67" s="382"/>
      <c r="KUP67" s="382"/>
      <c r="KUQ67" s="382"/>
      <c r="KUR67" s="382"/>
      <c r="KUS67" s="382"/>
      <c r="KUT67" s="382"/>
      <c r="KUU67" s="382"/>
      <c r="KUV67" s="382"/>
      <c r="KUW67" s="382"/>
      <c r="KUX67" s="382"/>
      <c r="KUY67" s="382"/>
      <c r="KUZ67" s="382"/>
      <c r="KVA67" s="382"/>
      <c r="KVB67" s="382"/>
      <c r="KVC67" s="382"/>
      <c r="KVD67" s="382"/>
      <c r="KVE67" s="382"/>
      <c r="KVF67" s="382"/>
      <c r="KVG67" s="382"/>
      <c r="KVH67" s="382"/>
      <c r="KVI67" s="382"/>
      <c r="KVJ67" s="382"/>
      <c r="KVK67" s="382"/>
      <c r="KVL67" s="382"/>
      <c r="KVM67" s="382"/>
      <c r="KVN67" s="382"/>
      <c r="KVO67" s="382"/>
      <c r="KVP67" s="382"/>
      <c r="KVQ67" s="382"/>
      <c r="KVR67" s="382"/>
      <c r="KVS67" s="382"/>
      <c r="KVT67" s="382"/>
      <c r="KVU67" s="382"/>
      <c r="KVV67" s="382"/>
      <c r="KVW67" s="382"/>
      <c r="KVX67" s="382"/>
      <c r="KVY67" s="382"/>
      <c r="KVZ67" s="382"/>
      <c r="KWA67" s="382"/>
      <c r="KWB67" s="382"/>
      <c r="KWC67" s="382"/>
      <c r="KWD67" s="382"/>
      <c r="KWE67" s="382"/>
      <c r="KWF67" s="382"/>
      <c r="KWG67" s="382"/>
      <c r="KWH67" s="382"/>
      <c r="KWI67" s="382"/>
      <c r="KWJ67" s="382"/>
      <c r="KWK67" s="382"/>
      <c r="KWL67" s="382"/>
      <c r="KWM67" s="382"/>
      <c r="KWN67" s="382"/>
      <c r="KWO67" s="382"/>
      <c r="KWP67" s="382"/>
      <c r="KWQ67" s="382"/>
      <c r="KWR67" s="382"/>
      <c r="KWS67" s="382"/>
      <c r="KWT67" s="382"/>
      <c r="KWU67" s="382"/>
      <c r="KWV67" s="382"/>
      <c r="KWW67" s="382"/>
      <c r="KWX67" s="382"/>
      <c r="KWY67" s="382"/>
      <c r="KWZ67" s="382"/>
      <c r="KXA67" s="382"/>
      <c r="KXB67" s="382"/>
      <c r="KXC67" s="382"/>
      <c r="KXD67" s="382"/>
      <c r="KXE67" s="382"/>
      <c r="KXF67" s="382"/>
      <c r="KXG67" s="382"/>
      <c r="KXH67" s="382"/>
      <c r="KXI67" s="382"/>
      <c r="KXJ67" s="382"/>
      <c r="KXK67" s="382"/>
      <c r="KXL67" s="382"/>
      <c r="KXM67" s="382"/>
      <c r="KXN67" s="382"/>
      <c r="KXO67" s="382"/>
      <c r="KXP67" s="382"/>
      <c r="KXQ67" s="382"/>
      <c r="KXR67" s="382"/>
      <c r="KXS67" s="382"/>
      <c r="KXT67" s="382"/>
      <c r="KXU67" s="382"/>
      <c r="KXV67" s="382"/>
      <c r="KXW67" s="382"/>
      <c r="KXX67" s="382"/>
      <c r="KXY67" s="382"/>
      <c r="KXZ67" s="382"/>
      <c r="KYA67" s="382"/>
      <c r="KYB67" s="382"/>
      <c r="KYC67" s="382"/>
      <c r="KYD67" s="382"/>
      <c r="KYE67" s="382"/>
      <c r="KYF67" s="382"/>
      <c r="KYG67" s="382"/>
      <c r="KYH67" s="382"/>
      <c r="KYI67" s="382"/>
      <c r="KYJ67" s="382"/>
      <c r="KYK67" s="382"/>
      <c r="KYL67" s="382"/>
      <c r="KYM67" s="382"/>
      <c r="KYN67" s="382"/>
      <c r="KYO67" s="382"/>
      <c r="KYP67" s="382"/>
      <c r="KYQ67" s="382"/>
      <c r="KYR67" s="382"/>
      <c r="KYS67" s="382"/>
      <c r="KYT67" s="382"/>
      <c r="KYU67" s="382"/>
      <c r="KYV67" s="382"/>
      <c r="KYW67" s="382"/>
      <c r="KYX67" s="382"/>
      <c r="KYY67" s="382"/>
      <c r="KYZ67" s="382"/>
      <c r="KZA67" s="382"/>
      <c r="KZB67" s="382"/>
      <c r="KZC67" s="382"/>
      <c r="KZD67" s="382"/>
      <c r="KZE67" s="382"/>
      <c r="KZF67" s="382"/>
      <c r="KZG67" s="382"/>
      <c r="KZH67" s="382"/>
      <c r="KZI67" s="382"/>
      <c r="KZJ67" s="382"/>
      <c r="KZK67" s="382"/>
      <c r="KZL67" s="382"/>
      <c r="KZM67" s="382"/>
      <c r="KZN67" s="382"/>
      <c r="KZO67" s="382"/>
      <c r="KZP67" s="382"/>
      <c r="KZQ67" s="382"/>
      <c r="KZR67" s="382"/>
      <c r="KZS67" s="382"/>
      <c r="KZT67" s="382"/>
      <c r="KZU67" s="382"/>
      <c r="KZV67" s="382"/>
      <c r="KZW67" s="382"/>
      <c r="KZX67" s="382"/>
      <c r="KZY67" s="382"/>
      <c r="KZZ67" s="382"/>
      <c r="LAA67" s="382"/>
      <c r="LAB67" s="382"/>
      <c r="LAC67" s="382"/>
      <c r="LAD67" s="382"/>
      <c r="LAE67" s="382"/>
      <c r="LAF67" s="382"/>
      <c r="LAG67" s="382"/>
      <c r="LAH67" s="382"/>
      <c r="LAI67" s="382"/>
      <c r="LAJ67" s="382"/>
      <c r="LAK67" s="382"/>
      <c r="LAL67" s="382"/>
      <c r="LAM67" s="382"/>
      <c r="LAN67" s="382"/>
      <c r="LAO67" s="382"/>
      <c r="LAP67" s="382"/>
      <c r="LAQ67" s="382"/>
      <c r="LAR67" s="382"/>
      <c r="LAS67" s="382"/>
      <c r="LAT67" s="382"/>
      <c r="LAU67" s="382"/>
      <c r="LAV67" s="382"/>
      <c r="LAW67" s="382"/>
      <c r="LAX67" s="382"/>
      <c r="LAY67" s="382"/>
      <c r="LAZ67" s="382"/>
      <c r="LBA67" s="382"/>
      <c r="LBB67" s="382"/>
      <c r="LBC67" s="382"/>
      <c r="LBD67" s="382"/>
      <c r="LBE67" s="382"/>
      <c r="LBF67" s="382"/>
      <c r="LBG67" s="382"/>
      <c r="LBH67" s="382"/>
      <c r="LBI67" s="382"/>
      <c r="LBJ67" s="382"/>
      <c r="LBK67" s="382"/>
      <c r="LBL67" s="382"/>
      <c r="LBM67" s="382"/>
      <c r="LBN67" s="382"/>
      <c r="LBO67" s="382"/>
      <c r="LBP67" s="382"/>
      <c r="LBQ67" s="382"/>
      <c r="LBR67" s="382"/>
      <c r="LBS67" s="382"/>
      <c r="LBT67" s="382"/>
      <c r="LBU67" s="382"/>
      <c r="LBV67" s="382"/>
      <c r="LBW67" s="382"/>
      <c r="LBX67" s="382"/>
      <c r="LBY67" s="382"/>
      <c r="LBZ67" s="382"/>
      <c r="LCA67" s="382"/>
      <c r="LCB67" s="382"/>
      <c r="LCC67" s="382"/>
      <c r="LCD67" s="382"/>
      <c r="LCE67" s="382"/>
      <c r="LCF67" s="382"/>
      <c r="LCG67" s="382"/>
      <c r="LCH67" s="382"/>
      <c r="LCI67" s="382"/>
      <c r="LCJ67" s="382"/>
      <c r="LCK67" s="382"/>
      <c r="LCL67" s="382"/>
      <c r="LCM67" s="382"/>
      <c r="LCN67" s="382"/>
      <c r="LCO67" s="382"/>
      <c r="LCP67" s="382"/>
      <c r="LCQ67" s="382"/>
      <c r="LCR67" s="382"/>
      <c r="LCS67" s="382"/>
      <c r="LCT67" s="382"/>
      <c r="LCU67" s="382"/>
      <c r="LCV67" s="382"/>
      <c r="LCW67" s="382"/>
      <c r="LCX67" s="382"/>
      <c r="LCY67" s="382"/>
      <c r="LCZ67" s="382"/>
      <c r="LDA67" s="382"/>
      <c r="LDB67" s="382"/>
      <c r="LDC67" s="382"/>
      <c r="LDD67" s="382"/>
      <c r="LDE67" s="382"/>
      <c r="LDF67" s="382"/>
      <c r="LDG67" s="382"/>
      <c r="LDH67" s="382"/>
      <c r="LDI67" s="382"/>
      <c r="LDJ67" s="382"/>
      <c r="LDK67" s="382"/>
      <c r="LDL67" s="382"/>
      <c r="LDM67" s="382"/>
      <c r="LDN67" s="382"/>
      <c r="LDO67" s="382"/>
      <c r="LDP67" s="382"/>
      <c r="LDQ67" s="382"/>
      <c r="LDR67" s="382"/>
      <c r="LDS67" s="382"/>
      <c r="LDT67" s="382"/>
      <c r="LDU67" s="382"/>
      <c r="LDV67" s="382"/>
      <c r="LDW67" s="382"/>
      <c r="LDX67" s="382"/>
      <c r="LDY67" s="382"/>
      <c r="LDZ67" s="382"/>
      <c r="LEA67" s="382"/>
      <c r="LEB67" s="382"/>
      <c r="LEC67" s="382"/>
      <c r="LED67" s="382"/>
      <c r="LEE67" s="382"/>
      <c r="LEF67" s="382"/>
      <c r="LEG67" s="382"/>
      <c r="LEH67" s="382"/>
      <c r="LEI67" s="382"/>
      <c r="LEJ67" s="382"/>
      <c r="LEK67" s="382"/>
      <c r="LEL67" s="382"/>
      <c r="LEM67" s="382"/>
      <c r="LEN67" s="382"/>
      <c r="LEO67" s="382"/>
      <c r="LEP67" s="382"/>
      <c r="LEQ67" s="382"/>
      <c r="LER67" s="382"/>
      <c r="LES67" s="382"/>
      <c r="LET67" s="382"/>
      <c r="LEU67" s="382"/>
      <c r="LEV67" s="382"/>
      <c r="LEW67" s="382"/>
      <c r="LEX67" s="382"/>
      <c r="LEY67" s="382"/>
      <c r="LEZ67" s="382"/>
      <c r="LFA67" s="382"/>
      <c r="LFB67" s="382"/>
      <c r="LFC67" s="382"/>
      <c r="LFD67" s="382"/>
      <c r="LFE67" s="382"/>
      <c r="LFF67" s="382"/>
      <c r="LFG67" s="382"/>
      <c r="LFH67" s="382"/>
      <c r="LFI67" s="382"/>
      <c r="LFJ67" s="382"/>
      <c r="LFK67" s="382"/>
      <c r="LFL67" s="382"/>
      <c r="LFM67" s="382"/>
      <c r="LFN67" s="382"/>
      <c r="LFO67" s="382"/>
      <c r="LFP67" s="382"/>
      <c r="LFQ67" s="382"/>
      <c r="LFR67" s="382"/>
      <c r="LFS67" s="382"/>
      <c r="LFT67" s="382"/>
      <c r="LFU67" s="382"/>
      <c r="LFV67" s="382"/>
      <c r="LFW67" s="382"/>
      <c r="LFX67" s="382"/>
      <c r="LFY67" s="382"/>
      <c r="LFZ67" s="382"/>
      <c r="LGA67" s="382"/>
      <c r="LGB67" s="382"/>
      <c r="LGC67" s="382"/>
      <c r="LGD67" s="382"/>
      <c r="LGE67" s="382"/>
      <c r="LGF67" s="382"/>
      <c r="LGG67" s="382"/>
      <c r="LGH67" s="382"/>
      <c r="LGI67" s="382"/>
      <c r="LGJ67" s="382"/>
      <c r="LGK67" s="382"/>
      <c r="LGL67" s="382"/>
      <c r="LGM67" s="382"/>
      <c r="LGN67" s="382"/>
      <c r="LGO67" s="382"/>
      <c r="LGP67" s="382"/>
      <c r="LGQ67" s="382"/>
      <c r="LGR67" s="382"/>
      <c r="LGS67" s="382"/>
      <c r="LGT67" s="382"/>
      <c r="LGU67" s="382"/>
      <c r="LGV67" s="382"/>
      <c r="LGW67" s="382"/>
      <c r="LGX67" s="382"/>
      <c r="LGY67" s="382"/>
      <c r="LGZ67" s="382"/>
      <c r="LHA67" s="382"/>
      <c r="LHB67" s="382"/>
      <c r="LHC67" s="382"/>
      <c r="LHD67" s="382"/>
      <c r="LHE67" s="382"/>
      <c r="LHF67" s="382"/>
      <c r="LHG67" s="382"/>
      <c r="LHH67" s="382"/>
      <c r="LHI67" s="382"/>
      <c r="LHJ67" s="382"/>
      <c r="LHK67" s="382"/>
      <c r="LHL67" s="382"/>
      <c r="LHM67" s="382"/>
      <c r="LHN67" s="382"/>
      <c r="LHO67" s="382"/>
      <c r="LHP67" s="382"/>
      <c r="LHQ67" s="382"/>
      <c r="LHR67" s="382"/>
      <c r="LHS67" s="382"/>
      <c r="LHT67" s="382"/>
      <c r="LHU67" s="382"/>
      <c r="LHV67" s="382"/>
      <c r="LHW67" s="382"/>
      <c r="LHX67" s="382"/>
      <c r="LHY67" s="382"/>
      <c r="LHZ67" s="382"/>
      <c r="LIA67" s="382"/>
      <c r="LIB67" s="382"/>
      <c r="LIC67" s="382"/>
      <c r="LID67" s="382"/>
      <c r="LIE67" s="382"/>
      <c r="LIF67" s="382"/>
      <c r="LIG67" s="382"/>
      <c r="LIH67" s="382"/>
      <c r="LII67" s="382"/>
      <c r="LIJ67" s="382"/>
      <c r="LIK67" s="382"/>
      <c r="LIL67" s="382"/>
      <c r="LIM67" s="382"/>
      <c r="LIN67" s="382"/>
      <c r="LIO67" s="382"/>
      <c r="LIP67" s="382"/>
      <c r="LIQ67" s="382"/>
      <c r="LIR67" s="382"/>
      <c r="LIS67" s="382"/>
      <c r="LIT67" s="382"/>
      <c r="LIU67" s="382"/>
      <c r="LIV67" s="382"/>
      <c r="LIW67" s="382"/>
      <c r="LIX67" s="382"/>
      <c r="LIY67" s="382"/>
      <c r="LIZ67" s="382"/>
      <c r="LJA67" s="382"/>
      <c r="LJB67" s="382"/>
      <c r="LJC67" s="382"/>
      <c r="LJD67" s="382"/>
      <c r="LJE67" s="382"/>
      <c r="LJF67" s="382"/>
      <c r="LJG67" s="382"/>
      <c r="LJH67" s="382"/>
      <c r="LJI67" s="382"/>
      <c r="LJJ67" s="382"/>
      <c r="LJK67" s="382"/>
      <c r="LJL67" s="382"/>
      <c r="LJM67" s="382"/>
      <c r="LJN67" s="382"/>
      <c r="LJO67" s="382"/>
      <c r="LJP67" s="382"/>
      <c r="LJQ67" s="382"/>
      <c r="LJR67" s="382"/>
      <c r="LJS67" s="382"/>
      <c r="LJT67" s="382"/>
      <c r="LJU67" s="382"/>
      <c r="LJV67" s="382"/>
      <c r="LJW67" s="382"/>
      <c r="LJX67" s="382"/>
      <c r="LJY67" s="382"/>
      <c r="LJZ67" s="382"/>
      <c r="LKA67" s="382"/>
      <c r="LKB67" s="382"/>
      <c r="LKC67" s="382"/>
      <c r="LKD67" s="382"/>
      <c r="LKE67" s="382"/>
      <c r="LKF67" s="382"/>
      <c r="LKG67" s="382"/>
      <c r="LKH67" s="382"/>
      <c r="LKI67" s="382"/>
      <c r="LKJ67" s="382"/>
      <c r="LKK67" s="382"/>
      <c r="LKL67" s="382"/>
      <c r="LKM67" s="382"/>
      <c r="LKN67" s="382"/>
      <c r="LKO67" s="382"/>
      <c r="LKP67" s="382"/>
      <c r="LKQ67" s="382"/>
      <c r="LKR67" s="382"/>
      <c r="LKS67" s="382"/>
      <c r="LKT67" s="382"/>
      <c r="LKU67" s="382"/>
      <c r="LKV67" s="382"/>
      <c r="LKW67" s="382"/>
      <c r="LKX67" s="382"/>
      <c r="LKY67" s="382"/>
      <c r="LKZ67" s="382"/>
      <c r="LLA67" s="382"/>
      <c r="LLB67" s="382"/>
      <c r="LLC67" s="382"/>
      <c r="LLD67" s="382"/>
      <c r="LLE67" s="382"/>
      <c r="LLF67" s="382"/>
      <c r="LLG67" s="382"/>
      <c r="LLH67" s="382"/>
      <c r="LLI67" s="382"/>
      <c r="LLJ67" s="382"/>
      <c r="LLK67" s="382"/>
      <c r="LLL67" s="382"/>
      <c r="LLM67" s="382"/>
      <c r="LLN67" s="382"/>
      <c r="LLO67" s="382"/>
      <c r="LLP67" s="382"/>
      <c r="LLQ67" s="382"/>
      <c r="LLR67" s="382"/>
      <c r="LLS67" s="382"/>
      <c r="LLT67" s="382"/>
      <c r="LLU67" s="382"/>
      <c r="LLV67" s="382"/>
      <c r="LLW67" s="382"/>
      <c r="LLX67" s="382"/>
      <c r="LLY67" s="382"/>
      <c r="LLZ67" s="382"/>
      <c r="LMA67" s="382"/>
      <c r="LMB67" s="382"/>
      <c r="LMC67" s="382"/>
      <c r="LMD67" s="382"/>
      <c r="LME67" s="382"/>
      <c r="LMF67" s="382"/>
      <c r="LMG67" s="382"/>
      <c r="LMH67" s="382"/>
      <c r="LMI67" s="382"/>
      <c r="LMJ67" s="382"/>
      <c r="LMK67" s="382"/>
      <c r="LML67" s="382"/>
      <c r="LMM67" s="382"/>
      <c r="LMN67" s="382"/>
      <c r="LMO67" s="382"/>
      <c r="LMP67" s="382"/>
      <c r="LMQ67" s="382"/>
      <c r="LMR67" s="382"/>
      <c r="LMS67" s="382"/>
      <c r="LMT67" s="382"/>
      <c r="LMU67" s="382"/>
      <c r="LMV67" s="382"/>
      <c r="LMW67" s="382"/>
      <c r="LMX67" s="382"/>
      <c r="LMY67" s="382"/>
      <c r="LMZ67" s="382"/>
      <c r="LNA67" s="382"/>
      <c r="LNB67" s="382"/>
      <c r="LNC67" s="382"/>
      <c r="LND67" s="382"/>
      <c r="LNE67" s="382"/>
      <c r="LNF67" s="382"/>
      <c r="LNG67" s="382"/>
      <c r="LNH67" s="382"/>
      <c r="LNI67" s="382"/>
      <c r="LNJ67" s="382"/>
      <c r="LNK67" s="382"/>
      <c r="LNL67" s="382"/>
      <c r="LNM67" s="382"/>
      <c r="LNN67" s="382"/>
      <c r="LNO67" s="382"/>
      <c r="LNP67" s="382"/>
      <c r="LNQ67" s="382"/>
      <c r="LNR67" s="382"/>
      <c r="LNS67" s="382"/>
      <c r="LNT67" s="382"/>
      <c r="LNU67" s="382"/>
      <c r="LNV67" s="382"/>
      <c r="LNW67" s="382"/>
      <c r="LNX67" s="382"/>
      <c r="LNY67" s="382"/>
      <c r="LNZ67" s="382"/>
      <c r="LOA67" s="382"/>
      <c r="LOB67" s="382"/>
      <c r="LOC67" s="382"/>
      <c r="LOD67" s="382"/>
      <c r="LOE67" s="382"/>
      <c r="LOF67" s="382"/>
      <c r="LOG67" s="382"/>
      <c r="LOH67" s="382"/>
      <c r="LOI67" s="382"/>
      <c r="LOJ67" s="382"/>
      <c r="LOK67" s="382"/>
      <c r="LOL67" s="382"/>
      <c r="LOM67" s="382"/>
      <c r="LON67" s="382"/>
      <c r="LOO67" s="382"/>
      <c r="LOP67" s="382"/>
      <c r="LOQ67" s="382"/>
      <c r="LOR67" s="382"/>
      <c r="LOS67" s="382"/>
      <c r="LOT67" s="382"/>
      <c r="LOU67" s="382"/>
      <c r="LOV67" s="382"/>
      <c r="LOW67" s="382"/>
      <c r="LOX67" s="382"/>
      <c r="LOY67" s="382"/>
      <c r="LOZ67" s="382"/>
      <c r="LPA67" s="382"/>
      <c r="LPB67" s="382"/>
      <c r="LPC67" s="382"/>
      <c r="LPD67" s="382"/>
      <c r="LPE67" s="382"/>
      <c r="LPF67" s="382"/>
      <c r="LPG67" s="382"/>
      <c r="LPH67" s="382"/>
      <c r="LPI67" s="382"/>
      <c r="LPJ67" s="382"/>
      <c r="LPK67" s="382"/>
      <c r="LPL67" s="382"/>
      <c r="LPM67" s="382"/>
      <c r="LPN67" s="382"/>
      <c r="LPO67" s="382"/>
      <c r="LPP67" s="382"/>
      <c r="LPQ67" s="382"/>
      <c r="LPR67" s="382"/>
      <c r="LPS67" s="382"/>
      <c r="LPT67" s="382"/>
      <c r="LPU67" s="382"/>
      <c r="LPV67" s="382"/>
      <c r="LPW67" s="382"/>
      <c r="LPX67" s="382"/>
      <c r="LPY67" s="382"/>
      <c r="LPZ67" s="382"/>
      <c r="LQA67" s="382"/>
      <c r="LQB67" s="382"/>
      <c r="LQC67" s="382"/>
      <c r="LQD67" s="382"/>
      <c r="LQE67" s="382"/>
      <c r="LQF67" s="382"/>
      <c r="LQG67" s="382"/>
      <c r="LQH67" s="382"/>
      <c r="LQI67" s="382"/>
      <c r="LQJ67" s="382"/>
      <c r="LQK67" s="382"/>
      <c r="LQL67" s="382"/>
      <c r="LQM67" s="382"/>
      <c r="LQN67" s="382"/>
      <c r="LQO67" s="382"/>
      <c r="LQP67" s="382"/>
      <c r="LQQ67" s="382"/>
      <c r="LQR67" s="382"/>
      <c r="LQS67" s="382"/>
      <c r="LQT67" s="382"/>
      <c r="LQU67" s="382"/>
      <c r="LQV67" s="382"/>
      <c r="LQW67" s="382"/>
      <c r="LQX67" s="382"/>
      <c r="LQY67" s="382"/>
      <c r="LQZ67" s="382"/>
      <c r="LRA67" s="382"/>
      <c r="LRB67" s="382"/>
      <c r="LRC67" s="382"/>
      <c r="LRD67" s="382"/>
      <c r="LRE67" s="382"/>
      <c r="LRF67" s="382"/>
      <c r="LRG67" s="382"/>
      <c r="LRH67" s="382"/>
      <c r="LRI67" s="382"/>
      <c r="LRJ67" s="382"/>
      <c r="LRK67" s="382"/>
      <c r="LRL67" s="382"/>
      <c r="LRM67" s="382"/>
      <c r="LRN67" s="382"/>
      <c r="LRO67" s="382"/>
      <c r="LRP67" s="382"/>
      <c r="LRQ67" s="382"/>
      <c r="LRR67" s="382"/>
      <c r="LRS67" s="382"/>
      <c r="LRT67" s="382"/>
      <c r="LRU67" s="382"/>
      <c r="LRV67" s="382"/>
      <c r="LRW67" s="382"/>
      <c r="LRX67" s="382"/>
      <c r="LRY67" s="382"/>
      <c r="LRZ67" s="382"/>
      <c r="LSA67" s="382"/>
      <c r="LSB67" s="382"/>
      <c r="LSC67" s="382"/>
      <c r="LSD67" s="382"/>
      <c r="LSE67" s="382"/>
      <c r="LSF67" s="382"/>
      <c r="LSG67" s="382"/>
      <c r="LSH67" s="382"/>
      <c r="LSI67" s="382"/>
      <c r="LSJ67" s="382"/>
      <c r="LSK67" s="382"/>
      <c r="LSL67" s="382"/>
      <c r="LSM67" s="382"/>
      <c r="LSN67" s="382"/>
      <c r="LSO67" s="382"/>
      <c r="LSP67" s="382"/>
      <c r="LSQ67" s="382"/>
      <c r="LSR67" s="382"/>
      <c r="LSS67" s="382"/>
      <c r="LST67" s="382"/>
      <c r="LSU67" s="382"/>
      <c r="LSV67" s="382"/>
      <c r="LSW67" s="382"/>
      <c r="LSX67" s="382"/>
      <c r="LSY67" s="382"/>
      <c r="LSZ67" s="382"/>
      <c r="LTA67" s="382"/>
      <c r="LTB67" s="382"/>
      <c r="LTC67" s="382"/>
      <c r="LTD67" s="382"/>
      <c r="LTE67" s="382"/>
      <c r="LTF67" s="382"/>
      <c r="LTG67" s="382"/>
      <c r="LTH67" s="382"/>
      <c r="LTI67" s="382"/>
      <c r="LTJ67" s="382"/>
      <c r="LTK67" s="382"/>
      <c r="LTL67" s="382"/>
      <c r="LTM67" s="382"/>
      <c r="LTN67" s="382"/>
      <c r="LTO67" s="382"/>
      <c r="LTP67" s="382"/>
      <c r="LTQ67" s="382"/>
      <c r="LTR67" s="382"/>
      <c r="LTS67" s="382"/>
      <c r="LTT67" s="382"/>
      <c r="LTU67" s="382"/>
      <c r="LTV67" s="382"/>
      <c r="LTW67" s="382"/>
      <c r="LTX67" s="382"/>
      <c r="LTY67" s="382"/>
      <c r="LTZ67" s="382"/>
      <c r="LUA67" s="382"/>
      <c r="LUB67" s="382"/>
      <c r="LUC67" s="382"/>
      <c r="LUD67" s="382"/>
      <c r="LUE67" s="382"/>
      <c r="LUF67" s="382"/>
      <c r="LUG67" s="382"/>
      <c r="LUH67" s="382"/>
      <c r="LUI67" s="382"/>
      <c r="LUJ67" s="382"/>
      <c r="LUK67" s="382"/>
      <c r="LUL67" s="382"/>
      <c r="LUM67" s="382"/>
      <c r="LUN67" s="382"/>
      <c r="LUO67" s="382"/>
      <c r="LUP67" s="382"/>
      <c r="LUQ67" s="382"/>
      <c r="LUR67" s="382"/>
      <c r="LUS67" s="382"/>
      <c r="LUT67" s="382"/>
      <c r="LUU67" s="382"/>
      <c r="LUV67" s="382"/>
      <c r="LUW67" s="382"/>
      <c r="LUX67" s="382"/>
      <c r="LUY67" s="382"/>
      <c r="LUZ67" s="382"/>
      <c r="LVA67" s="382"/>
      <c r="LVB67" s="382"/>
      <c r="LVC67" s="382"/>
      <c r="LVD67" s="382"/>
      <c r="LVE67" s="382"/>
      <c r="LVF67" s="382"/>
      <c r="LVG67" s="382"/>
      <c r="LVH67" s="382"/>
      <c r="LVI67" s="382"/>
      <c r="LVJ67" s="382"/>
      <c r="LVK67" s="382"/>
      <c r="LVL67" s="382"/>
      <c r="LVM67" s="382"/>
      <c r="LVN67" s="382"/>
      <c r="LVO67" s="382"/>
      <c r="LVP67" s="382"/>
      <c r="LVQ67" s="382"/>
      <c r="LVR67" s="382"/>
      <c r="LVS67" s="382"/>
      <c r="LVT67" s="382"/>
      <c r="LVU67" s="382"/>
      <c r="LVV67" s="382"/>
      <c r="LVW67" s="382"/>
      <c r="LVX67" s="382"/>
      <c r="LVY67" s="382"/>
      <c r="LVZ67" s="382"/>
      <c r="LWA67" s="382"/>
      <c r="LWB67" s="382"/>
      <c r="LWC67" s="382"/>
      <c r="LWD67" s="382"/>
      <c r="LWE67" s="382"/>
      <c r="LWF67" s="382"/>
      <c r="LWG67" s="382"/>
      <c r="LWH67" s="382"/>
      <c r="LWI67" s="382"/>
      <c r="LWJ67" s="382"/>
      <c r="LWK67" s="382"/>
      <c r="LWL67" s="382"/>
      <c r="LWM67" s="382"/>
      <c r="LWN67" s="382"/>
      <c r="LWO67" s="382"/>
      <c r="LWP67" s="382"/>
      <c r="LWQ67" s="382"/>
      <c r="LWR67" s="382"/>
      <c r="LWS67" s="382"/>
      <c r="LWT67" s="382"/>
      <c r="LWU67" s="382"/>
      <c r="LWV67" s="382"/>
      <c r="LWW67" s="382"/>
      <c r="LWX67" s="382"/>
      <c r="LWY67" s="382"/>
      <c r="LWZ67" s="382"/>
      <c r="LXA67" s="382"/>
      <c r="LXB67" s="382"/>
      <c r="LXC67" s="382"/>
      <c r="LXD67" s="382"/>
      <c r="LXE67" s="382"/>
      <c r="LXF67" s="382"/>
      <c r="LXG67" s="382"/>
      <c r="LXH67" s="382"/>
      <c r="LXI67" s="382"/>
      <c r="LXJ67" s="382"/>
      <c r="LXK67" s="382"/>
      <c r="LXL67" s="382"/>
      <c r="LXM67" s="382"/>
      <c r="LXN67" s="382"/>
      <c r="LXO67" s="382"/>
      <c r="LXP67" s="382"/>
      <c r="LXQ67" s="382"/>
      <c r="LXR67" s="382"/>
      <c r="LXS67" s="382"/>
      <c r="LXT67" s="382"/>
      <c r="LXU67" s="382"/>
      <c r="LXV67" s="382"/>
      <c r="LXW67" s="382"/>
      <c r="LXX67" s="382"/>
      <c r="LXY67" s="382"/>
      <c r="LXZ67" s="382"/>
      <c r="LYA67" s="382"/>
      <c r="LYB67" s="382"/>
      <c r="LYC67" s="382"/>
      <c r="LYD67" s="382"/>
      <c r="LYE67" s="382"/>
      <c r="LYF67" s="382"/>
      <c r="LYG67" s="382"/>
      <c r="LYH67" s="382"/>
      <c r="LYI67" s="382"/>
      <c r="LYJ67" s="382"/>
      <c r="LYK67" s="382"/>
      <c r="LYL67" s="382"/>
      <c r="LYM67" s="382"/>
      <c r="LYN67" s="382"/>
      <c r="LYO67" s="382"/>
      <c r="LYP67" s="382"/>
      <c r="LYQ67" s="382"/>
      <c r="LYR67" s="382"/>
      <c r="LYS67" s="382"/>
      <c r="LYT67" s="382"/>
      <c r="LYU67" s="382"/>
      <c r="LYV67" s="382"/>
      <c r="LYW67" s="382"/>
      <c r="LYX67" s="382"/>
      <c r="LYY67" s="382"/>
      <c r="LYZ67" s="382"/>
      <c r="LZA67" s="382"/>
      <c r="LZB67" s="382"/>
      <c r="LZC67" s="382"/>
      <c r="LZD67" s="382"/>
      <c r="LZE67" s="382"/>
      <c r="LZF67" s="382"/>
      <c r="LZG67" s="382"/>
      <c r="LZH67" s="382"/>
      <c r="LZI67" s="382"/>
      <c r="LZJ67" s="382"/>
      <c r="LZK67" s="382"/>
      <c r="LZL67" s="382"/>
      <c r="LZM67" s="382"/>
      <c r="LZN67" s="382"/>
      <c r="LZO67" s="382"/>
      <c r="LZP67" s="382"/>
      <c r="LZQ67" s="382"/>
      <c r="LZR67" s="382"/>
      <c r="LZS67" s="382"/>
      <c r="LZT67" s="382"/>
      <c r="LZU67" s="382"/>
      <c r="LZV67" s="382"/>
      <c r="LZW67" s="382"/>
      <c r="LZX67" s="382"/>
      <c r="LZY67" s="382"/>
      <c r="LZZ67" s="382"/>
      <c r="MAA67" s="382"/>
      <c r="MAB67" s="382"/>
      <c r="MAC67" s="382"/>
      <c r="MAD67" s="382"/>
      <c r="MAE67" s="382"/>
      <c r="MAF67" s="382"/>
      <c r="MAG67" s="382"/>
      <c r="MAH67" s="382"/>
      <c r="MAI67" s="382"/>
      <c r="MAJ67" s="382"/>
      <c r="MAK67" s="382"/>
      <c r="MAL67" s="382"/>
      <c r="MAM67" s="382"/>
      <c r="MAN67" s="382"/>
      <c r="MAO67" s="382"/>
      <c r="MAP67" s="382"/>
      <c r="MAQ67" s="382"/>
      <c r="MAR67" s="382"/>
      <c r="MAS67" s="382"/>
      <c r="MAT67" s="382"/>
      <c r="MAU67" s="382"/>
      <c r="MAV67" s="382"/>
      <c r="MAW67" s="382"/>
      <c r="MAX67" s="382"/>
      <c r="MAY67" s="382"/>
      <c r="MAZ67" s="382"/>
      <c r="MBA67" s="382"/>
      <c r="MBB67" s="382"/>
      <c r="MBC67" s="382"/>
      <c r="MBD67" s="382"/>
      <c r="MBE67" s="382"/>
      <c r="MBF67" s="382"/>
      <c r="MBG67" s="382"/>
      <c r="MBH67" s="382"/>
      <c r="MBI67" s="382"/>
      <c r="MBJ67" s="382"/>
      <c r="MBK67" s="382"/>
      <c r="MBL67" s="382"/>
      <c r="MBM67" s="382"/>
      <c r="MBN67" s="382"/>
      <c r="MBO67" s="382"/>
      <c r="MBP67" s="382"/>
      <c r="MBQ67" s="382"/>
      <c r="MBR67" s="382"/>
      <c r="MBS67" s="382"/>
      <c r="MBT67" s="382"/>
      <c r="MBU67" s="382"/>
      <c r="MBV67" s="382"/>
      <c r="MBW67" s="382"/>
      <c r="MBX67" s="382"/>
      <c r="MBY67" s="382"/>
      <c r="MBZ67" s="382"/>
      <c r="MCA67" s="382"/>
      <c r="MCB67" s="382"/>
      <c r="MCC67" s="382"/>
      <c r="MCD67" s="382"/>
      <c r="MCE67" s="382"/>
      <c r="MCF67" s="382"/>
      <c r="MCG67" s="382"/>
      <c r="MCH67" s="382"/>
      <c r="MCI67" s="382"/>
      <c r="MCJ67" s="382"/>
      <c r="MCK67" s="382"/>
      <c r="MCL67" s="382"/>
      <c r="MCM67" s="382"/>
      <c r="MCN67" s="382"/>
      <c r="MCO67" s="382"/>
      <c r="MCP67" s="382"/>
      <c r="MCQ67" s="382"/>
      <c r="MCR67" s="382"/>
      <c r="MCS67" s="382"/>
      <c r="MCT67" s="382"/>
      <c r="MCU67" s="382"/>
      <c r="MCV67" s="382"/>
      <c r="MCW67" s="382"/>
      <c r="MCX67" s="382"/>
      <c r="MCY67" s="382"/>
      <c r="MCZ67" s="382"/>
      <c r="MDA67" s="382"/>
      <c r="MDB67" s="382"/>
      <c r="MDC67" s="382"/>
      <c r="MDD67" s="382"/>
      <c r="MDE67" s="382"/>
      <c r="MDF67" s="382"/>
      <c r="MDG67" s="382"/>
      <c r="MDH67" s="382"/>
      <c r="MDI67" s="382"/>
      <c r="MDJ67" s="382"/>
      <c r="MDK67" s="382"/>
      <c r="MDL67" s="382"/>
      <c r="MDM67" s="382"/>
      <c r="MDN67" s="382"/>
      <c r="MDO67" s="382"/>
      <c r="MDP67" s="382"/>
      <c r="MDQ67" s="382"/>
      <c r="MDR67" s="382"/>
      <c r="MDS67" s="382"/>
      <c r="MDT67" s="382"/>
      <c r="MDU67" s="382"/>
      <c r="MDV67" s="382"/>
      <c r="MDW67" s="382"/>
      <c r="MDX67" s="382"/>
      <c r="MDY67" s="382"/>
      <c r="MDZ67" s="382"/>
      <c r="MEA67" s="382"/>
      <c r="MEB67" s="382"/>
      <c r="MEC67" s="382"/>
      <c r="MED67" s="382"/>
      <c r="MEE67" s="382"/>
      <c r="MEF67" s="382"/>
      <c r="MEG67" s="382"/>
      <c r="MEH67" s="382"/>
      <c r="MEI67" s="382"/>
      <c r="MEJ67" s="382"/>
      <c r="MEK67" s="382"/>
      <c r="MEL67" s="382"/>
      <c r="MEM67" s="382"/>
      <c r="MEN67" s="382"/>
      <c r="MEO67" s="382"/>
      <c r="MEP67" s="382"/>
      <c r="MEQ67" s="382"/>
      <c r="MER67" s="382"/>
      <c r="MES67" s="382"/>
      <c r="MET67" s="382"/>
      <c r="MEU67" s="382"/>
      <c r="MEV67" s="382"/>
      <c r="MEW67" s="382"/>
      <c r="MEX67" s="382"/>
      <c r="MEY67" s="382"/>
      <c r="MEZ67" s="382"/>
      <c r="MFA67" s="382"/>
      <c r="MFB67" s="382"/>
      <c r="MFC67" s="382"/>
      <c r="MFD67" s="382"/>
      <c r="MFE67" s="382"/>
      <c r="MFF67" s="382"/>
      <c r="MFG67" s="382"/>
      <c r="MFH67" s="382"/>
      <c r="MFI67" s="382"/>
      <c r="MFJ67" s="382"/>
      <c r="MFK67" s="382"/>
      <c r="MFL67" s="382"/>
      <c r="MFM67" s="382"/>
      <c r="MFN67" s="382"/>
      <c r="MFO67" s="382"/>
      <c r="MFP67" s="382"/>
      <c r="MFQ67" s="382"/>
      <c r="MFR67" s="382"/>
      <c r="MFS67" s="382"/>
      <c r="MFT67" s="382"/>
      <c r="MFU67" s="382"/>
      <c r="MFV67" s="382"/>
      <c r="MFW67" s="382"/>
      <c r="MFX67" s="382"/>
      <c r="MFY67" s="382"/>
      <c r="MFZ67" s="382"/>
      <c r="MGA67" s="382"/>
      <c r="MGB67" s="382"/>
      <c r="MGC67" s="382"/>
      <c r="MGD67" s="382"/>
      <c r="MGE67" s="382"/>
      <c r="MGF67" s="382"/>
      <c r="MGG67" s="382"/>
      <c r="MGH67" s="382"/>
      <c r="MGI67" s="382"/>
      <c r="MGJ67" s="382"/>
      <c r="MGK67" s="382"/>
      <c r="MGL67" s="382"/>
      <c r="MGM67" s="382"/>
      <c r="MGN67" s="382"/>
      <c r="MGO67" s="382"/>
      <c r="MGP67" s="382"/>
      <c r="MGQ67" s="382"/>
      <c r="MGR67" s="382"/>
      <c r="MGS67" s="382"/>
      <c r="MGT67" s="382"/>
      <c r="MGU67" s="382"/>
      <c r="MGV67" s="382"/>
      <c r="MGW67" s="382"/>
      <c r="MGX67" s="382"/>
      <c r="MGY67" s="382"/>
      <c r="MGZ67" s="382"/>
      <c r="MHA67" s="382"/>
      <c r="MHB67" s="382"/>
      <c r="MHC67" s="382"/>
      <c r="MHD67" s="382"/>
      <c r="MHE67" s="382"/>
      <c r="MHF67" s="382"/>
      <c r="MHG67" s="382"/>
      <c r="MHH67" s="382"/>
      <c r="MHI67" s="382"/>
      <c r="MHJ67" s="382"/>
      <c r="MHK67" s="382"/>
      <c r="MHL67" s="382"/>
      <c r="MHM67" s="382"/>
      <c r="MHN67" s="382"/>
      <c r="MHO67" s="382"/>
      <c r="MHP67" s="382"/>
      <c r="MHQ67" s="382"/>
      <c r="MHR67" s="382"/>
      <c r="MHS67" s="382"/>
      <c r="MHT67" s="382"/>
      <c r="MHU67" s="382"/>
      <c r="MHV67" s="382"/>
      <c r="MHW67" s="382"/>
      <c r="MHX67" s="382"/>
      <c r="MHY67" s="382"/>
      <c r="MHZ67" s="382"/>
      <c r="MIA67" s="382"/>
      <c r="MIB67" s="382"/>
      <c r="MIC67" s="382"/>
      <c r="MID67" s="382"/>
      <c r="MIE67" s="382"/>
      <c r="MIF67" s="382"/>
      <c r="MIG67" s="382"/>
      <c r="MIH67" s="382"/>
      <c r="MII67" s="382"/>
      <c r="MIJ67" s="382"/>
      <c r="MIK67" s="382"/>
      <c r="MIL67" s="382"/>
      <c r="MIM67" s="382"/>
      <c r="MIN67" s="382"/>
      <c r="MIO67" s="382"/>
      <c r="MIP67" s="382"/>
      <c r="MIQ67" s="382"/>
      <c r="MIR67" s="382"/>
      <c r="MIS67" s="382"/>
      <c r="MIT67" s="382"/>
      <c r="MIU67" s="382"/>
      <c r="MIV67" s="382"/>
      <c r="MIW67" s="382"/>
      <c r="MIX67" s="382"/>
      <c r="MIY67" s="382"/>
      <c r="MIZ67" s="382"/>
      <c r="MJA67" s="382"/>
      <c r="MJB67" s="382"/>
      <c r="MJC67" s="382"/>
      <c r="MJD67" s="382"/>
      <c r="MJE67" s="382"/>
      <c r="MJF67" s="382"/>
      <c r="MJG67" s="382"/>
      <c r="MJH67" s="382"/>
      <c r="MJI67" s="382"/>
      <c r="MJJ67" s="382"/>
      <c r="MJK67" s="382"/>
      <c r="MJL67" s="382"/>
      <c r="MJM67" s="382"/>
      <c r="MJN67" s="382"/>
      <c r="MJO67" s="382"/>
      <c r="MJP67" s="382"/>
      <c r="MJQ67" s="382"/>
      <c r="MJR67" s="382"/>
      <c r="MJS67" s="382"/>
      <c r="MJT67" s="382"/>
      <c r="MJU67" s="382"/>
      <c r="MJV67" s="382"/>
      <c r="MJW67" s="382"/>
      <c r="MJX67" s="382"/>
      <c r="MJY67" s="382"/>
      <c r="MJZ67" s="382"/>
      <c r="MKA67" s="382"/>
      <c r="MKB67" s="382"/>
      <c r="MKC67" s="382"/>
      <c r="MKD67" s="382"/>
      <c r="MKE67" s="382"/>
      <c r="MKF67" s="382"/>
      <c r="MKG67" s="382"/>
      <c r="MKH67" s="382"/>
      <c r="MKI67" s="382"/>
      <c r="MKJ67" s="382"/>
      <c r="MKK67" s="382"/>
      <c r="MKL67" s="382"/>
      <c r="MKM67" s="382"/>
      <c r="MKN67" s="382"/>
      <c r="MKO67" s="382"/>
      <c r="MKP67" s="382"/>
      <c r="MKQ67" s="382"/>
      <c r="MKR67" s="382"/>
      <c r="MKS67" s="382"/>
      <c r="MKT67" s="382"/>
      <c r="MKU67" s="382"/>
      <c r="MKV67" s="382"/>
      <c r="MKW67" s="382"/>
      <c r="MKX67" s="382"/>
      <c r="MKY67" s="382"/>
      <c r="MKZ67" s="382"/>
      <c r="MLA67" s="382"/>
      <c r="MLB67" s="382"/>
      <c r="MLC67" s="382"/>
      <c r="MLD67" s="382"/>
      <c r="MLE67" s="382"/>
      <c r="MLF67" s="382"/>
      <c r="MLG67" s="382"/>
      <c r="MLH67" s="382"/>
      <c r="MLI67" s="382"/>
      <c r="MLJ67" s="382"/>
      <c r="MLK67" s="382"/>
      <c r="MLL67" s="382"/>
      <c r="MLM67" s="382"/>
      <c r="MLN67" s="382"/>
      <c r="MLO67" s="382"/>
      <c r="MLP67" s="382"/>
      <c r="MLQ67" s="382"/>
      <c r="MLR67" s="382"/>
      <c r="MLS67" s="382"/>
      <c r="MLT67" s="382"/>
      <c r="MLU67" s="382"/>
      <c r="MLV67" s="382"/>
      <c r="MLW67" s="382"/>
      <c r="MLX67" s="382"/>
      <c r="MLY67" s="382"/>
      <c r="MLZ67" s="382"/>
      <c r="MMA67" s="382"/>
      <c r="MMB67" s="382"/>
      <c r="MMC67" s="382"/>
      <c r="MMD67" s="382"/>
      <c r="MME67" s="382"/>
      <c r="MMF67" s="382"/>
      <c r="MMG67" s="382"/>
      <c r="MMH67" s="382"/>
      <c r="MMI67" s="382"/>
      <c r="MMJ67" s="382"/>
      <c r="MMK67" s="382"/>
      <c r="MML67" s="382"/>
      <c r="MMM67" s="382"/>
      <c r="MMN67" s="382"/>
      <c r="MMO67" s="382"/>
      <c r="MMP67" s="382"/>
      <c r="MMQ67" s="382"/>
      <c r="MMR67" s="382"/>
      <c r="MMS67" s="382"/>
      <c r="MMT67" s="382"/>
      <c r="MMU67" s="382"/>
      <c r="MMV67" s="382"/>
      <c r="MMW67" s="382"/>
      <c r="MMX67" s="382"/>
      <c r="MMY67" s="382"/>
      <c r="MMZ67" s="382"/>
      <c r="MNA67" s="382"/>
      <c r="MNB67" s="382"/>
      <c r="MNC67" s="382"/>
      <c r="MND67" s="382"/>
      <c r="MNE67" s="382"/>
      <c r="MNF67" s="382"/>
      <c r="MNG67" s="382"/>
      <c r="MNH67" s="382"/>
      <c r="MNI67" s="382"/>
      <c r="MNJ67" s="382"/>
      <c r="MNK67" s="382"/>
      <c r="MNL67" s="382"/>
      <c r="MNM67" s="382"/>
      <c r="MNN67" s="382"/>
      <c r="MNO67" s="382"/>
      <c r="MNP67" s="382"/>
      <c r="MNQ67" s="382"/>
      <c r="MNR67" s="382"/>
      <c r="MNS67" s="382"/>
      <c r="MNT67" s="382"/>
      <c r="MNU67" s="382"/>
      <c r="MNV67" s="382"/>
      <c r="MNW67" s="382"/>
      <c r="MNX67" s="382"/>
      <c r="MNY67" s="382"/>
      <c r="MNZ67" s="382"/>
      <c r="MOA67" s="382"/>
      <c r="MOB67" s="382"/>
      <c r="MOC67" s="382"/>
      <c r="MOD67" s="382"/>
      <c r="MOE67" s="382"/>
      <c r="MOF67" s="382"/>
      <c r="MOG67" s="382"/>
      <c r="MOH67" s="382"/>
      <c r="MOI67" s="382"/>
      <c r="MOJ67" s="382"/>
      <c r="MOK67" s="382"/>
      <c r="MOL67" s="382"/>
      <c r="MOM67" s="382"/>
      <c r="MON67" s="382"/>
      <c r="MOO67" s="382"/>
      <c r="MOP67" s="382"/>
      <c r="MOQ67" s="382"/>
      <c r="MOR67" s="382"/>
      <c r="MOS67" s="382"/>
      <c r="MOT67" s="382"/>
      <c r="MOU67" s="382"/>
      <c r="MOV67" s="382"/>
      <c r="MOW67" s="382"/>
      <c r="MOX67" s="382"/>
      <c r="MOY67" s="382"/>
      <c r="MOZ67" s="382"/>
      <c r="MPA67" s="382"/>
      <c r="MPB67" s="382"/>
      <c r="MPC67" s="382"/>
      <c r="MPD67" s="382"/>
      <c r="MPE67" s="382"/>
      <c r="MPF67" s="382"/>
      <c r="MPG67" s="382"/>
      <c r="MPH67" s="382"/>
      <c r="MPI67" s="382"/>
      <c r="MPJ67" s="382"/>
      <c r="MPK67" s="382"/>
      <c r="MPL67" s="382"/>
      <c r="MPM67" s="382"/>
      <c r="MPN67" s="382"/>
      <c r="MPO67" s="382"/>
      <c r="MPP67" s="382"/>
      <c r="MPQ67" s="382"/>
      <c r="MPR67" s="382"/>
      <c r="MPS67" s="382"/>
      <c r="MPT67" s="382"/>
      <c r="MPU67" s="382"/>
      <c r="MPV67" s="382"/>
      <c r="MPW67" s="382"/>
      <c r="MPX67" s="382"/>
      <c r="MPY67" s="382"/>
      <c r="MPZ67" s="382"/>
      <c r="MQA67" s="382"/>
      <c r="MQB67" s="382"/>
      <c r="MQC67" s="382"/>
      <c r="MQD67" s="382"/>
      <c r="MQE67" s="382"/>
      <c r="MQF67" s="382"/>
      <c r="MQG67" s="382"/>
      <c r="MQH67" s="382"/>
      <c r="MQI67" s="382"/>
      <c r="MQJ67" s="382"/>
      <c r="MQK67" s="382"/>
      <c r="MQL67" s="382"/>
      <c r="MQM67" s="382"/>
      <c r="MQN67" s="382"/>
      <c r="MQO67" s="382"/>
      <c r="MQP67" s="382"/>
      <c r="MQQ67" s="382"/>
      <c r="MQR67" s="382"/>
      <c r="MQS67" s="382"/>
      <c r="MQT67" s="382"/>
      <c r="MQU67" s="382"/>
      <c r="MQV67" s="382"/>
      <c r="MQW67" s="382"/>
      <c r="MQX67" s="382"/>
      <c r="MQY67" s="382"/>
      <c r="MQZ67" s="382"/>
      <c r="MRA67" s="382"/>
      <c r="MRB67" s="382"/>
      <c r="MRC67" s="382"/>
      <c r="MRD67" s="382"/>
      <c r="MRE67" s="382"/>
      <c r="MRF67" s="382"/>
      <c r="MRG67" s="382"/>
      <c r="MRH67" s="382"/>
      <c r="MRI67" s="382"/>
      <c r="MRJ67" s="382"/>
      <c r="MRK67" s="382"/>
      <c r="MRL67" s="382"/>
      <c r="MRM67" s="382"/>
      <c r="MRN67" s="382"/>
      <c r="MRO67" s="382"/>
      <c r="MRP67" s="382"/>
      <c r="MRQ67" s="382"/>
      <c r="MRR67" s="382"/>
      <c r="MRS67" s="382"/>
      <c r="MRT67" s="382"/>
      <c r="MRU67" s="382"/>
      <c r="MRV67" s="382"/>
      <c r="MRW67" s="382"/>
      <c r="MRX67" s="382"/>
      <c r="MRY67" s="382"/>
      <c r="MRZ67" s="382"/>
      <c r="MSA67" s="382"/>
      <c r="MSB67" s="382"/>
      <c r="MSC67" s="382"/>
      <c r="MSD67" s="382"/>
      <c r="MSE67" s="382"/>
      <c r="MSF67" s="382"/>
      <c r="MSG67" s="382"/>
      <c r="MSH67" s="382"/>
      <c r="MSI67" s="382"/>
      <c r="MSJ67" s="382"/>
      <c r="MSK67" s="382"/>
      <c r="MSL67" s="382"/>
      <c r="MSM67" s="382"/>
      <c r="MSN67" s="382"/>
      <c r="MSO67" s="382"/>
      <c r="MSP67" s="382"/>
      <c r="MSQ67" s="382"/>
      <c r="MSR67" s="382"/>
      <c r="MSS67" s="382"/>
      <c r="MST67" s="382"/>
      <c r="MSU67" s="382"/>
      <c r="MSV67" s="382"/>
      <c r="MSW67" s="382"/>
      <c r="MSX67" s="382"/>
      <c r="MSY67" s="382"/>
      <c r="MSZ67" s="382"/>
      <c r="MTA67" s="382"/>
      <c r="MTB67" s="382"/>
      <c r="MTC67" s="382"/>
      <c r="MTD67" s="382"/>
      <c r="MTE67" s="382"/>
      <c r="MTF67" s="382"/>
      <c r="MTG67" s="382"/>
      <c r="MTH67" s="382"/>
      <c r="MTI67" s="382"/>
      <c r="MTJ67" s="382"/>
      <c r="MTK67" s="382"/>
      <c r="MTL67" s="382"/>
      <c r="MTM67" s="382"/>
      <c r="MTN67" s="382"/>
      <c r="MTO67" s="382"/>
      <c r="MTP67" s="382"/>
      <c r="MTQ67" s="382"/>
      <c r="MTR67" s="382"/>
      <c r="MTS67" s="382"/>
      <c r="MTT67" s="382"/>
      <c r="MTU67" s="382"/>
      <c r="MTV67" s="382"/>
      <c r="MTW67" s="382"/>
      <c r="MTX67" s="382"/>
      <c r="MTY67" s="382"/>
      <c r="MTZ67" s="382"/>
      <c r="MUA67" s="382"/>
      <c r="MUB67" s="382"/>
      <c r="MUC67" s="382"/>
      <c r="MUD67" s="382"/>
      <c r="MUE67" s="382"/>
      <c r="MUF67" s="382"/>
      <c r="MUG67" s="382"/>
      <c r="MUH67" s="382"/>
      <c r="MUI67" s="382"/>
      <c r="MUJ67" s="382"/>
      <c r="MUK67" s="382"/>
      <c r="MUL67" s="382"/>
      <c r="MUM67" s="382"/>
      <c r="MUN67" s="382"/>
      <c r="MUO67" s="382"/>
      <c r="MUP67" s="382"/>
      <c r="MUQ67" s="382"/>
      <c r="MUR67" s="382"/>
      <c r="MUS67" s="382"/>
      <c r="MUT67" s="382"/>
      <c r="MUU67" s="382"/>
      <c r="MUV67" s="382"/>
      <c r="MUW67" s="382"/>
      <c r="MUX67" s="382"/>
      <c r="MUY67" s="382"/>
      <c r="MUZ67" s="382"/>
      <c r="MVA67" s="382"/>
      <c r="MVB67" s="382"/>
      <c r="MVC67" s="382"/>
      <c r="MVD67" s="382"/>
      <c r="MVE67" s="382"/>
      <c r="MVF67" s="382"/>
      <c r="MVG67" s="382"/>
      <c r="MVH67" s="382"/>
      <c r="MVI67" s="382"/>
      <c r="MVJ67" s="382"/>
      <c r="MVK67" s="382"/>
      <c r="MVL67" s="382"/>
      <c r="MVM67" s="382"/>
      <c r="MVN67" s="382"/>
      <c r="MVO67" s="382"/>
      <c r="MVP67" s="382"/>
      <c r="MVQ67" s="382"/>
      <c r="MVR67" s="382"/>
      <c r="MVS67" s="382"/>
      <c r="MVT67" s="382"/>
      <c r="MVU67" s="382"/>
      <c r="MVV67" s="382"/>
      <c r="MVW67" s="382"/>
      <c r="MVX67" s="382"/>
      <c r="MVY67" s="382"/>
      <c r="MVZ67" s="382"/>
      <c r="MWA67" s="382"/>
      <c r="MWB67" s="382"/>
      <c r="MWC67" s="382"/>
      <c r="MWD67" s="382"/>
      <c r="MWE67" s="382"/>
      <c r="MWF67" s="382"/>
      <c r="MWG67" s="382"/>
      <c r="MWH67" s="382"/>
      <c r="MWI67" s="382"/>
      <c r="MWJ67" s="382"/>
      <c r="MWK67" s="382"/>
      <c r="MWL67" s="382"/>
      <c r="MWM67" s="382"/>
      <c r="MWN67" s="382"/>
      <c r="MWO67" s="382"/>
      <c r="MWP67" s="382"/>
      <c r="MWQ67" s="382"/>
      <c r="MWR67" s="382"/>
      <c r="MWS67" s="382"/>
      <c r="MWT67" s="382"/>
      <c r="MWU67" s="382"/>
      <c r="MWV67" s="382"/>
      <c r="MWW67" s="382"/>
      <c r="MWX67" s="382"/>
      <c r="MWY67" s="382"/>
      <c r="MWZ67" s="382"/>
      <c r="MXA67" s="382"/>
      <c r="MXB67" s="382"/>
      <c r="MXC67" s="382"/>
      <c r="MXD67" s="382"/>
      <c r="MXE67" s="382"/>
      <c r="MXF67" s="382"/>
      <c r="MXG67" s="382"/>
      <c r="MXH67" s="382"/>
      <c r="MXI67" s="382"/>
      <c r="MXJ67" s="382"/>
      <c r="MXK67" s="382"/>
      <c r="MXL67" s="382"/>
      <c r="MXM67" s="382"/>
      <c r="MXN67" s="382"/>
      <c r="MXO67" s="382"/>
      <c r="MXP67" s="382"/>
      <c r="MXQ67" s="382"/>
      <c r="MXR67" s="382"/>
      <c r="MXS67" s="382"/>
      <c r="MXT67" s="382"/>
      <c r="MXU67" s="382"/>
      <c r="MXV67" s="382"/>
      <c r="MXW67" s="382"/>
      <c r="MXX67" s="382"/>
      <c r="MXY67" s="382"/>
      <c r="MXZ67" s="382"/>
      <c r="MYA67" s="382"/>
      <c r="MYB67" s="382"/>
      <c r="MYC67" s="382"/>
      <c r="MYD67" s="382"/>
      <c r="MYE67" s="382"/>
      <c r="MYF67" s="382"/>
      <c r="MYG67" s="382"/>
      <c r="MYH67" s="382"/>
      <c r="MYI67" s="382"/>
      <c r="MYJ67" s="382"/>
      <c r="MYK67" s="382"/>
      <c r="MYL67" s="382"/>
      <c r="MYM67" s="382"/>
      <c r="MYN67" s="382"/>
      <c r="MYO67" s="382"/>
      <c r="MYP67" s="382"/>
      <c r="MYQ67" s="382"/>
      <c r="MYR67" s="382"/>
      <c r="MYS67" s="382"/>
      <c r="MYT67" s="382"/>
      <c r="MYU67" s="382"/>
      <c r="MYV67" s="382"/>
      <c r="MYW67" s="382"/>
      <c r="MYX67" s="382"/>
      <c r="MYY67" s="382"/>
      <c r="MYZ67" s="382"/>
      <c r="MZA67" s="382"/>
      <c r="MZB67" s="382"/>
      <c r="MZC67" s="382"/>
      <c r="MZD67" s="382"/>
      <c r="MZE67" s="382"/>
      <c r="MZF67" s="382"/>
      <c r="MZG67" s="382"/>
      <c r="MZH67" s="382"/>
      <c r="MZI67" s="382"/>
      <c r="MZJ67" s="382"/>
      <c r="MZK67" s="382"/>
      <c r="MZL67" s="382"/>
      <c r="MZM67" s="382"/>
      <c r="MZN67" s="382"/>
      <c r="MZO67" s="382"/>
      <c r="MZP67" s="382"/>
      <c r="MZQ67" s="382"/>
      <c r="MZR67" s="382"/>
      <c r="MZS67" s="382"/>
      <c r="MZT67" s="382"/>
      <c r="MZU67" s="382"/>
      <c r="MZV67" s="382"/>
      <c r="MZW67" s="382"/>
      <c r="MZX67" s="382"/>
      <c r="MZY67" s="382"/>
      <c r="MZZ67" s="382"/>
      <c r="NAA67" s="382"/>
      <c r="NAB67" s="382"/>
      <c r="NAC67" s="382"/>
      <c r="NAD67" s="382"/>
      <c r="NAE67" s="382"/>
      <c r="NAF67" s="382"/>
      <c r="NAG67" s="382"/>
      <c r="NAH67" s="382"/>
      <c r="NAI67" s="382"/>
      <c r="NAJ67" s="382"/>
      <c r="NAK67" s="382"/>
      <c r="NAL67" s="382"/>
      <c r="NAM67" s="382"/>
      <c r="NAN67" s="382"/>
      <c r="NAO67" s="382"/>
      <c r="NAP67" s="382"/>
      <c r="NAQ67" s="382"/>
      <c r="NAR67" s="382"/>
      <c r="NAS67" s="382"/>
      <c r="NAT67" s="382"/>
      <c r="NAU67" s="382"/>
      <c r="NAV67" s="382"/>
      <c r="NAW67" s="382"/>
      <c r="NAX67" s="382"/>
      <c r="NAY67" s="382"/>
      <c r="NAZ67" s="382"/>
      <c r="NBA67" s="382"/>
      <c r="NBB67" s="382"/>
      <c r="NBC67" s="382"/>
      <c r="NBD67" s="382"/>
      <c r="NBE67" s="382"/>
      <c r="NBF67" s="382"/>
      <c r="NBG67" s="382"/>
      <c r="NBH67" s="382"/>
      <c r="NBI67" s="382"/>
      <c r="NBJ67" s="382"/>
      <c r="NBK67" s="382"/>
      <c r="NBL67" s="382"/>
      <c r="NBM67" s="382"/>
      <c r="NBN67" s="382"/>
      <c r="NBO67" s="382"/>
      <c r="NBP67" s="382"/>
      <c r="NBQ67" s="382"/>
      <c r="NBR67" s="382"/>
      <c r="NBS67" s="382"/>
      <c r="NBT67" s="382"/>
      <c r="NBU67" s="382"/>
      <c r="NBV67" s="382"/>
      <c r="NBW67" s="382"/>
      <c r="NBX67" s="382"/>
      <c r="NBY67" s="382"/>
      <c r="NBZ67" s="382"/>
      <c r="NCA67" s="382"/>
      <c r="NCB67" s="382"/>
      <c r="NCC67" s="382"/>
      <c r="NCD67" s="382"/>
      <c r="NCE67" s="382"/>
      <c r="NCF67" s="382"/>
      <c r="NCG67" s="382"/>
      <c r="NCH67" s="382"/>
      <c r="NCI67" s="382"/>
      <c r="NCJ67" s="382"/>
      <c r="NCK67" s="382"/>
      <c r="NCL67" s="382"/>
      <c r="NCM67" s="382"/>
      <c r="NCN67" s="382"/>
      <c r="NCO67" s="382"/>
      <c r="NCP67" s="382"/>
      <c r="NCQ67" s="382"/>
      <c r="NCR67" s="382"/>
      <c r="NCS67" s="382"/>
      <c r="NCT67" s="382"/>
      <c r="NCU67" s="382"/>
      <c r="NCV67" s="382"/>
      <c r="NCW67" s="382"/>
      <c r="NCX67" s="382"/>
      <c r="NCY67" s="382"/>
      <c r="NCZ67" s="382"/>
      <c r="NDA67" s="382"/>
      <c r="NDB67" s="382"/>
      <c r="NDC67" s="382"/>
      <c r="NDD67" s="382"/>
      <c r="NDE67" s="382"/>
      <c r="NDF67" s="382"/>
      <c r="NDG67" s="382"/>
      <c r="NDH67" s="382"/>
      <c r="NDI67" s="382"/>
      <c r="NDJ67" s="382"/>
      <c r="NDK67" s="382"/>
      <c r="NDL67" s="382"/>
      <c r="NDM67" s="382"/>
      <c r="NDN67" s="382"/>
      <c r="NDO67" s="382"/>
      <c r="NDP67" s="382"/>
      <c r="NDQ67" s="382"/>
      <c r="NDR67" s="382"/>
      <c r="NDS67" s="382"/>
      <c r="NDT67" s="382"/>
      <c r="NDU67" s="382"/>
      <c r="NDV67" s="382"/>
      <c r="NDW67" s="382"/>
      <c r="NDX67" s="382"/>
      <c r="NDY67" s="382"/>
      <c r="NDZ67" s="382"/>
      <c r="NEA67" s="382"/>
      <c r="NEB67" s="382"/>
      <c r="NEC67" s="382"/>
      <c r="NED67" s="382"/>
      <c r="NEE67" s="382"/>
      <c r="NEF67" s="382"/>
      <c r="NEG67" s="382"/>
      <c r="NEH67" s="382"/>
      <c r="NEI67" s="382"/>
      <c r="NEJ67" s="382"/>
      <c r="NEK67" s="382"/>
      <c r="NEL67" s="382"/>
      <c r="NEM67" s="382"/>
      <c r="NEN67" s="382"/>
      <c r="NEO67" s="382"/>
      <c r="NEP67" s="382"/>
      <c r="NEQ67" s="382"/>
      <c r="NER67" s="382"/>
      <c r="NES67" s="382"/>
      <c r="NET67" s="382"/>
      <c r="NEU67" s="382"/>
      <c r="NEV67" s="382"/>
      <c r="NEW67" s="382"/>
      <c r="NEX67" s="382"/>
      <c r="NEY67" s="382"/>
      <c r="NEZ67" s="382"/>
      <c r="NFA67" s="382"/>
      <c r="NFB67" s="382"/>
      <c r="NFC67" s="382"/>
      <c r="NFD67" s="382"/>
      <c r="NFE67" s="382"/>
      <c r="NFF67" s="382"/>
      <c r="NFG67" s="382"/>
      <c r="NFH67" s="382"/>
      <c r="NFI67" s="382"/>
      <c r="NFJ67" s="382"/>
      <c r="NFK67" s="382"/>
      <c r="NFL67" s="382"/>
      <c r="NFM67" s="382"/>
      <c r="NFN67" s="382"/>
      <c r="NFO67" s="382"/>
      <c r="NFP67" s="382"/>
      <c r="NFQ67" s="382"/>
      <c r="NFR67" s="382"/>
      <c r="NFS67" s="382"/>
      <c r="NFT67" s="382"/>
      <c r="NFU67" s="382"/>
      <c r="NFV67" s="382"/>
      <c r="NFW67" s="382"/>
      <c r="NFX67" s="382"/>
      <c r="NFY67" s="382"/>
      <c r="NFZ67" s="382"/>
      <c r="NGA67" s="382"/>
      <c r="NGB67" s="382"/>
      <c r="NGC67" s="382"/>
      <c r="NGD67" s="382"/>
      <c r="NGE67" s="382"/>
      <c r="NGF67" s="382"/>
      <c r="NGG67" s="382"/>
      <c r="NGH67" s="382"/>
      <c r="NGI67" s="382"/>
      <c r="NGJ67" s="382"/>
      <c r="NGK67" s="382"/>
      <c r="NGL67" s="382"/>
      <c r="NGM67" s="382"/>
      <c r="NGN67" s="382"/>
      <c r="NGO67" s="382"/>
      <c r="NGP67" s="382"/>
      <c r="NGQ67" s="382"/>
      <c r="NGR67" s="382"/>
      <c r="NGS67" s="382"/>
      <c r="NGT67" s="382"/>
      <c r="NGU67" s="382"/>
      <c r="NGV67" s="382"/>
      <c r="NGW67" s="382"/>
      <c r="NGX67" s="382"/>
      <c r="NGY67" s="382"/>
      <c r="NGZ67" s="382"/>
      <c r="NHA67" s="382"/>
      <c r="NHB67" s="382"/>
      <c r="NHC67" s="382"/>
      <c r="NHD67" s="382"/>
      <c r="NHE67" s="382"/>
      <c r="NHF67" s="382"/>
      <c r="NHG67" s="382"/>
      <c r="NHH67" s="382"/>
      <c r="NHI67" s="382"/>
      <c r="NHJ67" s="382"/>
      <c r="NHK67" s="382"/>
      <c r="NHL67" s="382"/>
      <c r="NHM67" s="382"/>
      <c r="NHN67" s="382"/>
      <c r="NHO67" s="382"/>
      <c r="NHP67" s="382"/>
      <c r="NHQ67" s="382"/>
      <c r="NHR67" s="382"/>
      <c r="NHS67" s="382"/>
      <c r="NHT67" s="382"/>
      <c r="NHU67" s="382"/>
      <c r="NHV67" s="382"/>
      <c r="NHW67" s="382"/>
      <c r="NHX67" s="382"/>
      <c r="NHY67" s="382"/>
      <c r="NHZ67" s="382"/>
      <c r="NIA67" s="382"/>
      <c r="NIB67" s="382"/>
      <c r="NIC67" s="382"/>
      <c r="NID67" s="382"/>
      <c r="NIE67" s="382"/>
      <c r="NIF67" s="382"/>
      <c r="NIG67" s="382"/>
      <c r="NIH67" s="382"/>
      <c r="NII67" s="382"/>
      <c r="NIJ67" s="382"/>
      <c r="NIK67" s="382"/>
      <c r="NIL67" s="382"/>
      <c r="NIM67" s="382"/>
      <c r="NIN67" s="382"/>
      <c r="NIO67" s="382"/>
      <c r="NIP67" s="382"/>
      <c r="NIQ67" s="382"/>
      <c r="NIR67" s="382"/>
      <c r="NIS67" s="382"/>
      <c r="NIT67" s="382"/>
      <c r="NIU67" s="382"/>
      <c r="NIV67" s="382"/>
      <c r="NIW67" s="382"/>
      <c r="NIX67" s="382"/>
      <c r="NIY67" s="382"/>
      <c r="NIZ67" s="382"/>
      <c r="NJA67" s="382"/>
      <c r="NJB67" s="382"/>
      <c r="NJC67" s="382"/>
      <c r="NJD67" s="382"/>
      <c r="NJE67" s="382"/>
      <c r="NJF67" s="382"/>
      <c r="NJG67" s="382"/>
      <c r="NJH67" s="382"/>
      <c r="NJI67" s="382"/>
      <c r="NJJ67" s="382"/>
      <c r="NJK67" s="382"/>
      <c r="NJL67" s="382"/>
      <c r="NJM67" s="382"/>
      <c r="NJN67" s="382"/>
      <c r="NJO67" s="382"/>
      <c r="NJP67" s="382"/>
      <c r="NJQ67" s="382"/>
      <c r="NJR67" s="382"/>
      <c r="NJS67" s="382"/>
      <c r="NJT67" s="382"/>
      <c r="NJU67" s="382"/>
      <c r="NJV67" s="382"/>
      <c r="NJW67" s="382"/>
      <c r="NJX67" s="382"/>
      <c r="NJY67" s="382"/>
      <c r="NJZ67" s="382"/>
      <c r="NKA67" s="382"/>
      <c r="NKB67" s="382"/>
      <c r="NKC67" s="382"/>
      <c r="NKD67" s="382"/>
      <c r="NKE67" s="382"/>
      <c r="NKF67" s="382"/>
      <c r="NKG67" s="382"/>
      <c r="NKH67" s="382"/>
      <c r="NKI67" s="382"/>
      <c r="NKJ67" s="382"/>
      <c r="NKK67" s="382"/>
      <c r="NKL67" s="382"/>
      <c r="NKM67" s="382"/>
      <c r="NKN67" s="382"/>
      <c r="NKO67" s="382"/>
      <c r="NKP67" s="382"/>
      <c r="NKQ67" s="382"/>
      <c r="NKR67" s="382"/>
      <c r="NKS67" s="382"/>
      <c r="NKT67" s="382"/>
      <c r="NKU67" s="382"/>
      <c r="NKV67" s="382"/>
      <c r="NKW67" s="382"/>
      <c r="NKX67" s="382"/>
      <c r="NKY67" s="382"/>
      <c r="NKZ67" s="382"/>
      <c r="NLA67" s="382"/>
      <c r="NLB67" s="382"/>
      <c r="NLC67" s="382"/>
      <c r="NLD67" s="382"/>
      <c r="NLE67" s="382"/>
      <c r="NLF67" s="382"/>
      <c r="NLG67" s="382"/>
      <c r="NLH67" s="382"/>
      <c r="NLI67" s="382"/>
      <c r="NLJ67" s="382"/>
      <c r="NLK67" s="382"/>
      <c r="NLL67" s="382"/>
      <c r="NLM67" s="382"/>
      <c r="NLN67" s="382"/>
      <c r="NLO67" s="382"/>
      <c r="NLP67" s="382"/>
      <c r="NLQ67" s="382"/>
      <c r="NLR67" s="382"/>
      <c r="NLS67" s="382"/>
      <c r="NLT67" s="382"/>
      <c r="NLU67" s="382"/>
      <c r="NLV67" s="382"/>
      <c r="NLW67" s="382"/>
      <c r="NLX67" s="382"/>
      <c r="NLY67" s="382"/>
      <c r="NLZ67" s="382"/>
      <c r="NMA67" s="382"/>
      <c r="NMB67" s="382"/>
      <c r="NMC67" s="382"/>
      <c r="NMD67" s="382"/>
      <c r="NME67" s="382"/>
      <c r="NMF67" s="382"/>
      <c r="NMG67" s="382"/>
      <c r="NMH67" s="382"/>
      <c r="NMI67" s="382"/>
      <c r="NMJ67" s="382"/>
      <c r="NMK67" s="382"/>
      <c r="NML67" s="382"/>
      <c r="NMM67" s="382"/>
      <c r="NMN67" s="382"/>
      <c r="NMO67" s="382"/>
      <c r="NMP67" s="382"/>
      <c r="NMQ67" s="382"/>
      <c r="NMR67" s="382"/>
      <c r="NMS67" s="382"/>
      <c r="NMT67" s="382"/>
      <c r="NMU67" s="382"/>
      <c r="NMV67" s="382"/>
      <c r="NMW67" s="382"/>
      <c r="NMX67" s="382"/>
      <c r="NMY67" s="382"/>
      <c r="NMZ67" s="382"/>
      <c r="NNA67" s="382"/>
      <c r="NNB67" s="382"/>
      <c r="NNC67" s="382"/>
      <c r="NND67" s="382"/>
      <c r="NNE67" s="382"/>
      <c r="NNF67" s="382"/>
      <c r="NNG67" s="382"/>
      <c r="NNH67" s="382"/>
      <c r="NNI67" s="382"/>
      <c r="NNJ67" s="382"/>
      <c r="NNK67" s="382"/>
      <c r="NNL67" s="382"/>
      <c r="NNM67" s="382"/>
      <c r="NNN67" s="382"/>
      <c r="NNO67" s="382"/>
      <c r="NNP67" s="382"/>
      <c r="NNQ67" s="382"/>
      <c r="NNR67" s="382"/>
      <c r="NNS67" s="382"/>
      <c r="NNT67" s="382"/>
      <c r="NNU67" s="382"/>
      <c r="NNV67" s="382"/>
      <c r="NNW67" s="382"/>
      <c r="NNX67" s="382"/>
      <c r="NNY67" s="382"/>
      <c r="NNZ67" s="382"/>
      <c r="NOA67" s="382"/>
      <c r="NOB67" s="382"/>
      <c r="NOC67" s="382"/>
      <c r="NOD67" s="382"/>
      <c r="NOE67" s="382"/>
      <c r="NOF67" s="382"/>
      <c r="NOG67" s="382"/>
      <c r="NOH67" s="382"/>
      <c r="NOI67" s="382"/>
      <c r="NOJ67" s="382"/>
      <c r="NOK67" s="382"/>
      <c r="NOL67" s="382"/>
      <c r="NOM67" s="382"/>
      <c r="NON67" s="382"/>
      <c r="NOO67" s="382"/>
      <c r="NOP67" s="382"/>
      <c r="NOQ67" s="382"/>
      <c r="NOR67" s="382"/>
      <c r="NOS67" s="382"/>
      <c r="NOT67" s="382"/>
      <c r="NOU67" s="382"/>
      <c r="NOV67" s="382"/>
      <c r="NOW67" s="382"/>
      <c r="NOX67" s="382"/>
      <c r="NOY67" s="382"/>
      <c r="NOZ67" s="382"/>
      <c r="NPA67" s="382"/>
      <c r="NPB67" s="382"/>
      <c r="NPC67" s="382"/>
      <c r="NPD67" s="382"/>
      <c r="NPE67" s="382"/>
      <c r="NPF67" s="382"/>
      <c r="NPG67" s="382"/>
      <c r="NPH67" s="382"/>
      <c r="NPI67" s="382"/>
      <c r="NPJ67" s="382"/>
      <c r="NPK67" s="382"/>
      <c r="NPL67" s="382"/>
      <c r="NPM67" s="382"/>
      <c r="NPN67" s="382"/>
      <c r="NPO67" s="382"/>
      <c r="NPP67" s="382"/>
      <c r="NPQ67" s="382"/>
      <c r="NPR67" s="382"/>
      <c r="NPS67" s="382"/>
      <c r="NPT67" s="382"/>
      <c r="NPU67" s="382"/>
      <c r="NPV67" s="382"/>
      <c r="NPW67" s="382"/>
      <c r="NPX67" s="382"/>
      <c r="NPY67" s="382"/>
      <c r="NPZ67" s="382"/>
      <c r="NQA67" s="382"/>
      <c r="NQB67" s="382"/>
      <c r="NQC67" s="382"/>
      <c r="NQD67" s="382"/>
      <c r="NQE67" s="382"/>
      <c r="NQF67" s="382"/>
      <c r="NQG67" s="382"/>
      <c r="NQH67" s="382"/>
      <c r="NQI67" s="382"/>
      <c r="NQJ67" s="382"/>
      <c r="NQK67" s="382"/>
      <c r="NQL67" s="382"/>
      <c r="NQM67" s="382"/>
      <c r="NQN67" s="382"/>
      <c r="NQO67" s="382"/>
      <c r="NQP67" s="382"/>
      <c r="NQQ67" s="382"/>
      <c r="NQR67" s="382"/>
      <c r="NQS67" s="382"/>
      <c r="NQT67" s="382"/>
      <c r="NQU67" s="382"/>
      <c r="NQV67" s="382"/>
      <c r="NQW67" s="382"/>
      <c r="NQX67" s="382"/>
      <c r="NQY67" s="382"/>
      <c r="NQZ67" s="382"/>
      <c r="NRA67" s="382"/>
      <c r="NRB67" s="382"/>
      <c r="NRC67" s="382"/>
      <c r="NRD67" s="382"/>
      <c r="NRE67" s="382"/>
      <c r="NRF67" s="382"/>
      <c r="NRG67" s="382"/>
      <c r="NRH67" s="382"/>
      <c r="NRI67" s="382"/>
      <c r="NRJ67" s="382"/>
      <c r="NRK67" s="382"/>
      <c r="NRL67" s="382"/>
      <c r="NRM67" s="382"/>
      <c r="NRN67" s="382"/>
      <c r="NRO67" s="382"/>
      <c r="NRP67" s="382"/>
      <c r="NRQ67" s="382"/>
      <c r="NRR67" s="382"/>
      <c r="NRS67" s="382"/>
      <c r="NRT67" s="382"/>
      <c r="NRU67" s="382"/>
      <c r="NRV67" s="382"/>
      <c r="NRW67" s="382"/>
      <c r="NRX67" s="382"/>
      <c r="NRY67" s="382"/>
      <c r="NRZ67" s="382"/>
      <c r="NSA67" s="382"/>
      <c r="NSB67" s="382"/>
      <c r="NSC67" s="382"/>
      <c r="NSD67" s="382"/>
      <c r="NSE67" s="382"/>
      <c r="NSF67" s="382"/>
      <c r="NSG67" s="382"/>
      <c r="NSH67" s="382"/>
      <c r="NSI67" s="382"/>
      <c r="NSJ67" s="382"/>
      <c r="NSK67" s="382"/>
      <c r="NSL67" s="382"/>
      <c r="NSM67" s="382"/>
      <c r="NSN67" s="382"/>
      <c r="NSO67" s="382"/>
      <c r="NSP67" s="382"/>
      <c r="NSQ67" s="382"/>
      <c r="NSR67" s="382"/>
      <c r="NSS67" s="382"/>
      <c r="NST67" s="382"/>
      <c r="NSU67" s="382"/>
      <c r="NSV67" s="382"/>
      <c r="NSW67" s="382"/>
      <c r="NSX67" s="382"/>
      <c r="NSY67" s="382"/>
      <c r="NSZ67" s="382"/>
      <c r="NTA67" s="382"/>
      <c r="NTB67" s="382"/>
      <c r="NTC67" s="382"/>
      <c r="NTD67" s="382"/>
      <c r="NTE67" s="382"/>
      <c r="NTF67" s="382"/>
      <c r="NTG67" s="382"/>
      <c r="NTH67" s="382"/>
      <c r="NTI67" s="382"/>
      <c r="NTJ67" s="382"/>
      <c r="NTK67" s="382"/>
      <c r="NTL67" s="382"/>
      <c r="NTM67" s="382"/>
      <c r="NTN67" s="382"/>
      <c r="NTO67" s="382"/>
      <c r="NTP67" s="382"/>
      <c r="NTQ67" s="382"/>
      <c r="NTR67" s="382"/>
      <c r="NTS67" s="382"/>
      <c r="NTT67" s="382"/>
      <c r="NTU67" s="382"/>
      <c r="NTV67" s="382"/>
      <c r="NTW67" s="382"/>
      <c r="NTX67" s="382"/>
      <c r="NTY67" s="382"/>
      <c r="NTZ67" s="382"/>
      <c r="NUA67" s="382"/>
      <c r="NUB67" s="382"/>
      <c r="NUC67" s="382"/>
      <c r="NUD67" s="382"/>
      <c r="NUE67" s="382"/>
      <c r="NUF67" s="382"/>
      <c r="NUG67" s="382"/>
      <c r="NUH67" s="382"/>
      <c r="NUI67" s="382"/>
      <c r="NUJ67" s="382"/>
      <c r="NUK67" s="382"/>
      <c r="NUL67" s="382"/>
      <c r="NUM67" s="382"/>
      <c r="NUN67" s="382"/>
      <c r="NUO67" s="382"/>
      <c r="NUP67" s="382"/>
      <c r="NUQ67" s="382"/>
      <c r="NUR67" s="382"/>
      <c r="NUS67" s="382"/>
      <c r="NUT67" s="382"/>
      <c r="NUU67" s="382"/>
      <c r="NUV67" s="382"/>
      <c r="NUW67" s="382"/>
      <c r="NUX67" s="382"/>
      <c r="NUY67" s="382"/>
      <c r="NUZ67" s="382"/>
      <c r="NVA67" s="382"/>
      <c r="NVB67" s="382"/>
      <c r="NVC67" s="382"/>
      <c r="NVD67" s="382"/>
      <c r="NVE67" s="382"/>
      <c r="NVF67" s="382"/>
      <c r="NVG67" s="382"/>
      <c r="NVH67" s="382"/>
      <c r="NVI67" s="382"/>
      <c r="NVJ67" s="382"/>
      <c r="NVK67" s="382"/>
      <c r="NVL67" s="382"/>
      <c r="NVM67" s="382"/>
      <c r="NVN67" s="382"/>
      <c r="NVO67" s="382"/>
      <c r="NVP67" s="382"/>
      <c r="NVQ67" s="382"/>
      <c r="NVR67" s="382"/>
      <c r="NVS67" s="382"/>
      <c r="NVT67" s="382"/>
      <c r="NVU67" s="382"/>
      <c r="NVV67" s="382"/>
      <c r="NVW67" s="382"/>
      <c r="NVX67" s="382"/>
      <c r="NVY67" s="382"/>
      <c r="NVZ67" s="382"/>
      <c r="NWA67" s="382"/>
      <c r="NWB67" s="382"/>
      <c r="NWC67" s="382"/>
      <c r="NWD67" s="382"/>
      <c r="NWE67" s="382"/>
      <c r="NWF67" s="382"/>
      <c r="NWG67" s="382"/>
      <c r="NWH67" s="382"/>
      <c r="NWI67" s="382"/>
      <c r="NWJ67" s="382"/>
      <c r="NWK67" s="382"/>
      <c r="NWL67" s="382"/>
      <c r="NWM67" s="382"/>
      <c r="NWN67" s="382"/>
      <c r="NWO67" s="382"/>
      <c r="NWP67" s="382"/>
      <c r="NWQ67" s="382"/>
      <c r="NWR67" s="382"/>
      <c r="NWS67" s="382"/>
      <c r="NWT67" s="382"/>
      <c r="NWU67" s="382"/>
      <c r="NWV67" s="382"/>
      <c r="NWW67" s="382"/>
      <c r="NWX67" s="382"/>
      <c r="NWY67" s="382"/>
      <c r="NWZ67" s="382"/>
      <c r="NXA67" s="382"/>
      <c r="NXB67" s="382"/>
      <c r="NXC67" s="382"/>
      <c r="NXD67" s="382"/>
      <c r="NXE67" s="382"/>
      <c r="NXF67" s="382"/>
      <c r="NXG67" s="382"/>
      <c r="NXH67" s="382"/>
      <c r="NXI67" s="382"/>
      <c r="NXJ67" s="382"/>
      <c r="NXK67" s="382"/>
      <c r="NXL67" s="382"/>
      <c r="NXM67" s="382"/>
      <c r="NXN67" s="382"/>
      <c r="NXO67" s="382"/>
      <c r="NXP67" s="382"/>
      <c r="NXQ67" s="382"/>
      <c r="NXR67" s="382"/>
      <c r="NXS67" s="382"/>
      <c r="NXT67" s="382"/>
      <c r="NXU67" s="382"/>
      <c r="NXV67" s="382"/>
      <c r="NXW67" s="382"/>
      <c r="NXX67" s="382"/>
      <c r="NXY67" s="382"/>
      <c r="NXZ67" s="382"/>
      <c r="NYA67" s="382"/>
      <c r="NYB67" s="382"/>
      <c r="NYC67" s="382"/>
      <c r="NYD67" s="382"/>
      <c r="NYE67" s="382"/>
      <c r="NYF67" s="382"/>
      <c r="NYG67" s="382"/>
      <c r="NYH67" s="382"/>
      <c r="NYI67" s="382"/>
      <c r="NYJ67" s="382"/>
      <c r="NYK67" s="382"/>
      <c r="NYL67" s="382"/>
      <c r="NYM67" s="382"/>
      <c r="NYN67" s="382"/>
      <c r="NYO67" s="382"/>
      <c r="NYP67" s="382"/>
      <c r="NYQ67" s="382"/>
      <c r="NYR67" s="382"/>
      <c r="NYS67" s="382"/>
      <c r="NYT67" s="382"/>
      <c r="NYU67" s="382"/>
      <c r="NYV67" s="382"/>
      <c r="NYW67" s="382"/>
      <c r="NYX67" s="382"/>
      <c r="NYY67" s="382"/>
      <c r="NYZ67" s="382"/>
      <c r="NZA67" s="382"/>
      <c r="NZB67" s="382"/>
      <c r="NZC67" s="382"/>
      <c r="NZD67" s="382"/>
      <c r="NZE67" s="382"/>
      <c r="NZF67" s="382"/>
      <c r="NZG67" s="382"/>
      <c r="NZH67" s="382"/>
      <c r="NZI67" s="382"/>
      <c r="NZJ67" s="382"/>
      <c r="NZK67" s="382"/>
      <c r="NZL67" s="382"/>
      <c r="NZM67" s="382"/>
      <c r="NZN67" s="382"/>
      <c r="NZO67" s="382"/>
      <c r="NZP67" s="382"/>
      <c r="NZQ67" s="382"/>
      <c r="NZR67" s="382"/>
      <c r="NZS67" s="382"/>
      <c r="NZT67" s="382"/>
      <c r="NZU67" s="382"/>
      <c r="NZV67" s="382"/>
      <c r="NZW67" s="382"/>
      <c r="NZX67" s="382"/>
      <c r="NZY67" s="382"/>
      <c r="NZZ67" s="382"/>
      <c r="OAA67" s="382"/>
      <c r="OAB67" s="382"/>
      <c r="OAC67" s="382"/>
      <c r="OAD67" s="382"/>
      <c r="OAE67" s="382"/>
      <c r="OAF67" s="382"/>
      <c r="OAG67" s="382"/>
      <c r="OAH67" s="382"/>
      <c r="OAI67" s="382"/>
      <c r="OAJ67" s="382"/>
      <c r="OAK67" s="382"/>
      <c r="OAL67" s="382"/>
      <c r="OAM67" s="382"/>
      <c r="OAN67" s="382"/>
      <c r="OAO67" s="382"/>
      <c r="OAP67" s="382"/>
      <c r="OAQ67" s="382"/>
      <c r="OAR67" s="382"/>
      <c r="OAS67" s="382"/>
      <c r="OAT67" s="382"/>
      <c r="OAU67" s="382"/>
      <c r="OAV67" s="382"/>
      <c r="OAW67" s="382"/>
      <c r="OAX67" s="382"/>
      <c r="OAY67" s="382"/>
      <c r="OAZ67" s="382"/>
      <c r="OBA67" s="382"/>
      <c r="OBB67" s="382"/>
      <c r="OBC67" s="382"/>
      <c r="OBD67" s="382"/>
      <c r="OBE67" s="382"/>
      <c r="OBF67" s="382"/>
      <c r="OBG67" s="382"/>
      <c r="OBH67" s="382"/>
      <c r="OBI67" s="382"/>
      <c r="OBJ67" s="382"/>
      <c r="OBK67" s="382"/>
      <c r="OBL67" s="382"/>
      <c r="OBM67" s="382"/>
      <c r="OBN67" s="382"/>
      <c r="OBO67" s="382"/>
      <c r="OBP67" s="382"/>
      <c r="OBQ67" s="382"/>
      <c r="OBR67" s="382"/>
      <c r="OBS67" s="382"/>
      <c r="OBT67" s="382"/>
      <c r="OBU67" s="382"/>
      <c r="OBV67" s="382"/>
      <c r="OBW67" s="382"/>
      <c r="OBX67" s="382"/>
      <c r="OBY67" s="382"/>
      <c r="OBZ67" s="382"/>
      <c r="OCA67" s="382"/>
      <c r="OCB67" s="382"/>
      <c r="OCC67" s="382"/>
      <c r="OCD67" s="382"/>
      <c r="OCE67" s="382"/>
      <c r="OCF67" s="382"/>
      <c r="OCG67" s="382"/>
      <c r="OCH67" s="382"/>
      <c r="OCI67" s="382"/>
      <c r="OCJ67" s="382"/>
      <c r="OCK67" s="382"/>
      <c r="OCL67" s="382"/>
      <c r="OCM67" s="382"/>
      <c r="OCN67" s="382"/>
      <c r="OCO67" s="382"/>
      <c r="OCP67" s="382"/>
      <c r="OCQ67" s="382"/>
      <c r="OCR67" s="382"/>
      <c r="OCS67" s="382"/>
      <c r="OCT67" s="382"/>
      <c r="OCU67" s="382"/>
      <c r="OCV67" s="382"/>
      <c r="OCW67" s="382"/>
      <c r="OCX67" s="382"/>
      <c r="OCY67" s="382"/>
      <c r="OCZ67" s="382"/>
      <c r="ODA67" s="382"/>
      <c r="ODB67" s="382"/>
      <c r="ODC67" s="382"/>
      <c r="ODD67" s="382"/>
      <c r="ODE67" s="382"/>
      <c r="ODF67" s="382"/>
      <c r="ODG67" s="382"/>
      <c r="ODH67" s="382"/>
      <c r="ODI67" s="382"/>
      <c r="ODJ67" s="382"/>
      <c r="ODK67" s="382"/>
      <c r="ODL67" s="382"/>
      <c r="ODM67" s="382"/>
      <c r="ODN67" s="382"/>
      <c r="ODO67" s="382"/>
      <c r="ODP67" s="382"/>
      <c r="ODQ67" s="382"/>
      <c r="ODR67" s="382"/>
      <c r="ODS67" s="382"/>
      <c r="ODT67" s="382"/>
      <c r="ODU67" s="382"/>
      <c r="ODV67" s="382"/>
      <c r="ODW67" s="382"/>
      <c r="ODX67" s="382"/>
      <c r="ODY67" s="382"/>
      <c r="ODZ67" s="382"/>
      <c r="OEA67" s="382"/>
      <c r="OEB67" s="382"/>
      <c r="OEC67" s="382"/>
      <c r="OED67" s="382"/>
      <c r="OEE67" s="382"/>
      <c r="OEF67" s="382"/>
      <c r="OEG67" s="382"/>
      <c r="OEH67" s="382"/>
      <c r="OEI67" s="382"/>
      <c r="OEJ67" s="382"/>
      <c r="OEK67" s="382"/>
      <c r="OEL67" s="382"/>
      <c r="OEM67" s="382"/>
      <c r="OEN67" s="382"/>
      <c r="OEO67" s="382"/>
      <c r="OEP67" s="382"/>
      <c r="OEQ67" s="382"/>
      <c r="OER67" s="382"/>
      <c r="OES67" s="382"/>
      <c r="OET67" s="382"/>
      <c r="OEU67" s="382"/>
      <c r="OEV67" s="382"/>
      <c r="OEW67" s="382"/>
      <c r="OEX67" s="382"/>
      <c r="OEY67" s="382"/>
      <c r="OEZ67" s="382"/>
      <c r="OFA67" s="382"/>
      <c r="OFB67" s="382"/>
      <c r="OFC67" s="382"/>
      <c r="OFD67" s="382"/>
      <c r="OFE67" s="382"/>
      <c r="OFF67" s="382"/>
      <c r="OFG67" s="382"/>
      <c r="OFH67" s="382"/>
      <c r="OFI67" s="382"/>
      <c r="OFJ67" s="382"/>
      <c r="OFK67" s="382"/>
      <c r="OFL67" s="382"/>
      <c r="OFM67" s="382"/>
      <c r="OFN67" s="382"/>
      <c r="OFO67" s="382"/>
      <c r="OFP67" s="382"/>
      <c r="OFQ67" s="382"/>
      <c r="OFR67" s="382"/>
      <c r="OFS67" s="382"/>
      <c r="OFT67" s="382"/>
      <c r="OFU67" s="382"/>
      <c r="OFV67" s="382"/>
      <c r="OFW67" s="382"/>
      <c r="OFX67" s="382"/>
      <c r="OFY67" s="382"/>
      <c r="OFZ67" s="382"/>
      <c r="OGA67" s="382"/>
      <c r="OGB67" s="382"/>
      <c r="OGC67" s="382"/>
      <c r="OGD67" s="382"/>
      <c r="OGE67" s="382"/>
      <c r="OGF67" s="382"/>
      <c r="OGG67" s="382"/>
      <c r="OGH67" s="382"/>
      <c r="OGI67" s="382"/>
      <c r="OGJ67" s="382"/>
      <c r="OGK67" s="382"/>
      <c r="OGL67" s="382"/>
      <c r="OGM67" s="382"/>
      <c r="OGN67" s="382"/>
      <c r="OGO67" s="382"/>
      <c r="OGP67" s="382"/>
      <c r="OGQ67" s="382"/>
      <c r="OGR67" s="382"/>
      <c r="OGS67" s="382"/>
      <c r="OGT67" s="382"/>
      <c r="OGU67" s="382"/>
      <c r="OGV67" s="382"/>
      <c r="OGW67" s="382"/>
      <c r="OGX67" s="382"/>
      <c r="OGY67" s="382"/>
      <c r="OGZ67" s="382"/>
      <c r="OHA67" s="382"/>
      <c r="OHB67" s="382"/>
      <c r="OHC67" s="382"/>
      <c r="OHD67" s="382"/>
      <c r="OHE67" s="382"/>
      <c r="OHF67" s="382"/>
      <c r="OHG67" s="382"/>
      <c r="OHH67" s="382"/>
      <c r="OHI67" s="382"/>
      <c r="OHJ67" s="382"/>
      <c r="OHK67" s="382"/>
      <c r="OHL67" s="382"/>
      <c r="OHM67" s="382"/>
      <c r="OHN67" s="382"/>
      <c r="OHO67" s="382"/>
      <c r="OHP67" s="382"/>
      <c r="OHQ67" s="382"/>
      <c r="OHR67" s="382"/>
      <c r="OHS67" s="382"/>
      <c r="OHT67" s="382"/>
      <c r="OHU67" s="382"/>
      <c r="OHV67" s="382"/>
      <c r="OHW67" s="382"/>
      <c r="OHX67" s="382"/>
      <c r="OHY67" s="382"/>
      <c r="OHZ67" s="382"/>
      <c r="OIA67" s="382"/>
      <c r="OIB67" s="382"/>
      <c r="OIC67" s="382"/>
      <c r="OID67" s="382"/>
      <c r="OIE67" s="382"/>
      <c r="OIF67" s="382"/>
      <c r="OIG67" s="382"/>
      <c r="OIH67" s="382"/>
      <c r="OII67" s="382"/>
      <c r="OIJ67" s="382"/>
      <c r="OIK67" s="382"/>
      <c r="OIL67" s="382"/>
      <c r="OIM67" s="382"/>
      <c r="OIN67" s="382"/>
      <c r="OIO67" s="382"/>
      <c r="OIP67" s="382"/>
      <c r="OIQ67" s="382"/>
      <c r="OIR67" s="382"/>
      <c r="OIS67" s="382"/>
      <c r="OIT67" s="382"/>
      <c r="OIU67" s="382"/>
      <c r="OIV67" s="382"/>
      <c r="OIW67" s="382"/>
      <c r="OIX67" s="382"/>
      <c r="OIY67" s="382"/>
      <c r="OIZ67" s="382"/>
      <c r="OJA67" s="382"/>
      <c r="OJB67" s="382"/>
      <c r="OJC67" s="382"/>
      <c r="OJD67" s="382"/>
      <c r="OJE67" s="382"/>
      <c r="OJF67" s="382"/>
      <c r="OJG67" s="382"/>
      <c r="OJH67" s="382"/>
      <c r="OJI67" s="382"/>
      <c r="OJJ67" s="382"/>
      <c r="OJK67" s="382"/>
      <c r="OJL67" s="382"/>
      <c r="OJM67" s="382"/>
      <c r="OJN67" s="382"/>
      <c r="OJO67" s="382"/>
      <c r="OJP67" s="382"/>
      <c r="OJQ67" s="382"/>
      <c r="OJR67" s="382"/>
      <c r="OJS67" s="382"/>
      <c r="OJT67" s="382"/>
      <c r="OJU67" s="382"/>
      <c r="OJV67" s="382"/>
      <c r="OJW67" s="382"/>
      <c r="OJX67" s="382"/>
      <c r="OJY67" s="382"/>
      <c r="OJZ67" s="382"/>
      <c r="OKA67" s="382"/>
      <c r="OKB67" s="382"/>
      <c r="OKC67" s="382"/>
      <c r="OKD67" s="382"/>
      <c r="OKE67" s="382"/>
      <c r="OKF67" s="382"/>
      <c r="OKG67" s="382"/>
      <c r="OKH67" s="382"/>
      <c r="OKI67" s="382"/>
      <c r="OKJ67" s="382"/>
      <c r="OKK67" s="382"/>
      <c r="OKL67" s="382"/>
      <c r="OKM67" s="382"/>
      <c r="OKN67" s="382"/>
      <c r="OKO67" s="382"/>
      <c r="OKP67" s="382"/>
      <c r="OKQ67" s="382"/>
      <c r="OKR67" s="382"/>
      <c r="OKS67" s="382"/>
      <c r="OKT67" s="382"/>
      <c r="OKU67" s="382"/>
      <c r="OKV67" s="382"/>
      <c r="OKW67" s="382"/>
      <c r="OKX67" s="382"/>
      <c r="OKY67" s="382"/>
      <c r="OKZ67" s="382"/>
      <c r="OLA67" s="382"/>
      <c r="OLB67" s="382"/>
      <c r="OLC67" s="382"/>
      <c r="OLD67" s="382"/>
      <c r="OLE67" s="382"/>
      <c r="OLF67" s="382"/>
      <c r="OLG67" s="382"/>
      <c r="OLH67" s="382"/>
      <c r="OLI67" s="382"/>
      <c r="OLJ67" s="382"/>
      <c r="OLK67" s="382"/>
      <c r="OLL67" s="382"/>
      <c r="OLM67" s="382"/>
      <c r="OLN67" s="382"/>
      <c r="OLO67" s="382"/>
      <c r="OLP67" s="382"/>
      <c r="OLQ67" s="382"/>
      <c r="OLR67" s="382"/>
      <c r="OLS67" s="382"/>
      <c r="OLT67" s="382"/>
      <c r="OLU67" s="382"/>
      <c r="OLV67" s="382"/>
      <c r="OLW67" s="382"/>
      <c r="OLX67" s="382"/>
      <c r="OLY67" s="382"/>
      <c r="OLZ67" s="382"/>
      <c r="OMA67" s="382"/>
      <c r="OMB67" s="382"/>
      <c r="OMC67" s="382"/>
      <c r="OMD67" s="382"/>
      <c r="OME67" s="382"/>
      <c r="OMF67" s="382"/>
      <c r="OMG67" s="382"/>
      <c r="OMH67" s="382"/>
      <c r="OMI67" s="382"/>
      <c r="OMJ67" s="382"/>
      <c r="OMK67" s="382"/>
      <c r="OML67" s="382"/>
      <c r="OMM67" s="382"/>
      <c r="OMN67" s="382"/>
      <c r="OMO67" s="382"/>
      <c r="OMP67" s="382"/>
      <c r="OMQ67" s="382"/>
      <c r="OMR67" s="382"/>
      <c r="OMS67" s="382"/>
      <c r="OMT67" s="382"/>
      <c r="OMU67" s="382"/>
      <c r="OMV67" s="382"/>
      <c r="OMW67" s="382"/>
      <c r="OMX67" s="382"/>
      <c r="OMY67" s="382"/>
      <c r="OMZ67" s="382"/>
      <c r="ONA67" s="382"/>
      <c r="ONB67" s="382"/>
      <c r="ONC67" s="382"/>
      <c r="OND67" s="382"/>
      <c r="ONE67" s="382"/>
      <c r="ONF67" s="382"/>
      <c r="ONG67" s="382"/>
      <c r="ONH67" s="382"/>
      <c r="ONI67" s="382"/>
      <c r="ONJ67" s="382"/>
      <c r="ONK67" s="382"/>
      <c r="ONL67" s="382"/>
      <c r="ONM67" s="382"/>
      <c r="ONN67" s="382"/>
      <c r="ONO67" s="382"/>
      <c r="ONP67" s="382"/>
      <c r="ONQ67" s="382"/>
      <c r="ONR67" s="382"/>
      <c r="ONS67" s="382"/>
      <c r="ONT67" s="382"/>
      <c r="ONU67" s="382"/>
      <c r="ONV67" s="382"/>
      <c r="ONW67" s="382"/>
      <c r="ONX67" s="382"/>
      <c r="ONY67" s="382"/>
      <c r="ONZ67" s="382"/>
      <c r="OOA67" s="382"/>
      <c r="OOB67" s="382"/>
      <c r="OOC67" s="382"/>
      <c r="OOD67" s="382"/>
      <c r="OOE67" s="382"/>
      <c r="OOF67" s="382"/>
      <c r="OOG67" s="382"/>
      <c r="OOH67" s="382"/>
      <c r="OOI67" s="382"/>
      <c r="OOJ67" s="382"/>
      <c r="OOK67" s="382"/>
      <c r="OOL67" s="382"/>
      <c r="OOM67" s="382"/>
      <c r="OON67" s="382"/>
      <c r="OOO67" s="382"/>
      <c r="OOP67" s="382"/>
      <c r="OOQ67" s="382"/>
      <c r="OOR67" s="382"/>
      <c r="OOS67" s="382"/>
      <c r="OOT67" s="382"/>
      <c r="OOU67" s="382"/>
      <c r="OOV67" s="382"/>
      <c r="OOW67" s="382"/>
      <c r="OOX67" s="382"/>
      <c r="OOY67" s="382"/>
      <c r="OOZ67" s="382"/>
      <c r="OPA67" s="382"/>
      <c r="OPB67" s="382"/>
      <c r="OPC67" s="382"/>
      <c r="OPD67" s="382"/>
      <c r="OPE67" s="382"/>
      <c r="OPF67" s="382"/>
      <c r="OPG67" s="382"/>
      <c r="OPH67" s="382"/>
      <c r="OPI67" s="382"/>
      <c r="OPJ67" s="382"/>
      <c r="OPK67" s="382"/>
      <c r="OPL67" s="382"/>
      <c r="OPM67" s="382"/>
      <c r="OPN67" s="382"/>
      <c r="OPO67" s="382"/>
      <c r="OPP67" s="382"/>
      <c r="OPQ67" s="382"/>
      <c r="OPR67" s="382"/>
      <c r="OPS67" s="382"/>
      <c r="OPT67" s="382"/>
      <c r="OPU67" s="382"/>
      <c r="OPV67" s="382"/>
      <c r="OPW67" s="382"/>
      <c r="OPX67" s="382"/>
      <c r="OPY67" s="382"/>
      <c r="OPZ67" s="382"/>
      <c r="OQA67" s="382"/>
      <c r="OQB67" s="382"/>
      <c r="OQC67" s="382"/>
      <c r="OQD67" s="382"/>
      <c r="OQE67" s="382"/>
      <c r="OQF67" s="382"/>
      <c r="OQG67" s="382"/>
      <c r="OQH67" s="382"/>
      <c r="OQI67" s="382"/>
      <c r="OQJ67" s="382"/>
      <c r="OQK67" s="382"/>
      <c r="OQL67" s="382"/>
      <c r="OQM67" s="382"/>
      <c r="OQN67" s="382"/>
      <c r="OQO67" s="382"/>
      <c r="OQP67" s="382"/>
      <c r="OQQ67" s="382"/>
      <c r="OQR67" s="382"/>
      <c r="OQS67" s="382"/>
      <c r="OQT67" s="382"/>
      <c r="OQU67" s="382"/>
      <c r="OQV67" s="382"/>
      <c r="OQW67" s="382"/>
      <c r="OQX67" s="382"/>
      <c r="OQY67" s="382"/>
      <c r="OQZ67" s="382"/>
      <c r="ORA67" s="382"/>
      <c r="ORB67" s="382"/>
      <c r="ORC67" s="382"/>
      <c r="ORD67" s="382"/>
      <c r="ORE67" s="382"/>
      <c r="ORF67" s="382"/>
      <c r="ORG67" s="382"/>
      <c r="ORH67" s="382"/>
      <c r="ORI67" s="382"/>
      <c r="ORJ67" s="382"/>
      <c r="ORK67" s="382"/>
      <c r="ORL67" s="382"/>
      <c r="ORM67" s="382"/>
      <c r="ORN67" s="382"/>
      <c r="ORO67" s="382"/>
      <c r="ORP67" s="382"/>
      <c r="ORQ67" s="382"/>
      <c r="ORR67" s="382"/>
      <c r="ORS67" s="382"/>
      <c r="ORT67" s="382"/>
      <c r="ORU67" s="382"/>
      <c r="ORV67" s="382"/>
      <c r="ORW67" s="382"/>
      <c r="ORX67" s="382"/>
      <c r="ORY67" s="382"/>
      <c r="ORZ67" s="382"/>
      <c r="OSA67" s="382"/>
      <c r="OSB67" s="382"/>
      <c r="OSC67" s="382"/>
      <c r="OSD67" s="382"/>
      <c r="OSE67" s="382"/>
      <c r="OSF67" s="382"/>
      <c r="OSG67" s="382"/>
      <c r="OSH67" s="382"/>
      <c r="OSI67" s="382"/>
      <c r="OSJ67" s="382"/>
      <c r="OSK67" s="382"/>
      <c r="OSL67" s="382"/>
      <c r="OSM67" s="382"/>
      <c r="OSN67" s="382"/>
      <c r="OSO67" s="382"/>
      <c r="OSP67" s="382"/>
      <c r="OSQ67" s="382"/>
      <c r="OSR67" s="382"/>
      <c r="OSS67" s="382"/>
      <c r="OST67" s="382"/>
      <c r="OSU67" s="382"/>
      <c r="OSV67" s="382"/>
      <c r="OSW67" s="382"/>
      <c r="OSX67" s="382"/>
      <c r="OSY67" s="382"/>
      <c r="OSZ67" s="382"/>
      <c r="OTA67" s="382"/>
      <c r="OTB67" s="382"/>
      <c r="OTC67" s="382"/>
      <c r="OTD67" s="382"/>
      <c r="OTE67" s="382"/>
      <c r="OTF67" s="382"/>
      <c r="OTG67" s="382"/>
      <c r="OTH67" s="382"/>
      <c r="OTI67" s="382"/>
      <c r="OTJ67" s="382"/>
      <c r="OTK67" s="382"/>
      <c r="OTL67" s="382"/>
      <c r="OTM67" s="382"/>
      <c r="OTN67" s="382"/>
      <c r="OTO67" s="382"/>
      <c r="OTP67" s="382"/>
      <c r="OTQ67" s="382"/>
      <c r="OTR67" s="382"/>
      <c r="OTS67" s="382"/>
      <c r="OTT67" s="382"/>
      <c r="OTU67" s="382"/>
      <c r="OTV67" s="382"/>
      <c r="OTW67" s="382"/>
      <c r="OTX67" s="382"/>
      <c r="OTY67" s="382"/>
      <c r="OTZ67" s="382"/>
      <c r="OUA67" s="382"/>
      <c r="OUB67" s="382"/>
      <c r="OUC67" s="382"/>
      <c r="OUD67" s="382"/>
      <c r="OUE67" s="382"/>
      <c r="OUF67" s="382"/>
      <c r="OUG67" s="382"/>
      <c r="OUH67" s="382"/>
      <c r="OUI67" s="382"/>
      <c r="OUJ67" s="382"/>
      <c r="OUK67" s="382"/>
      <c r="OUL67" s="382"/>
      <c r="OUM67" s="382"/>
      <c r="OUN67" s="382"/>
      <c r="OUO67" s="382"/>
      <c r="OUP67" s="382"/>
      <c r="OUQ67" s="382"/>
      <c r="OUR67" s="382"/>
      <c r="OUS67" s="382"/>
      <c r="OUT67" s="382"/>
      <c r="OUU67" s="382"/>
      <c r="OUV67" s="382"/>
      <c r="OUW67" s="382"/>
      <c r="OUX67" s="382"/>
      <c r="OUY67" s="382"/>
      <c r="OUZ67" s="382"/>
      <c r="OVA67" s="382"/>
      <c r="OVB67" s="382"/>
      <c r="OVC67" s="382"/>
      <c r="OVD67" s="382"/>
      <c r="OVE67" s="382"/>
      <c r="OVF67" s="382"/>
      <c r="OVG67" s="382"/>
      <c r="OVH67" s="382"/>
      <c r="OVI67" s="382"/>
      <c r="OVJ67" s="382"/>
      <c r="OVK67" s="382"/>
      <c r="OVL67" s="382"/>
      <c r="OVM67" s="382"/>
      <c r="OVN67" s="382"/>
      <c r="OVO67" s="382"/>
      <c r="OVP67" s="382"/>
      <c r="OVQ67" s="382"/>
      <c r="OVR67" s="382"/>
      <c r="OVS67" s="382"/>
      <c r="OVT67" s="382"/>
      <c r="OVU67" s="382"/>
      <c r="OVV67" s="382"/>
      <c r="OVW67" s="382"/>
      <c r="OVX67" s="382"/>
      <c r="OVY67" s="382"/>
      <c r="OVZ67" s="382"/>
      <c r="OWA67" s="382"/>
      <c r="OWB67" s="382"/>
      <c r="OWC67" s="382"/>
      <c r="OWD67" s="382"/>
      <c r="OWE67" s="382"/>
      <c r="OWF67" s="382"/>
      <c r="OWG67" s="382"/>
      <c r="OWH67" s="382"/>
      <c r="OWI67" s="382"/>
      <c r="OWJ67" s="382"/>
      <c r="OWK67" s="382"/>
      <c r="OWL67" s="382"/>
      <c r="OWM67" s="382"/>
      <c r="OWN67" s="382"/>
      <c r="OWO67" s="382"/>
      <c r="OWP67" s="382"/>
      <c r="OWQ67" s="382"/>
      <c r="OWR67" s="382"/>
      <c r="OWS67" s="382"/>
      <c r="OWT67" s="382"/>
      <c r="OWU67" s="382"/>
      <c r="OWV67" s="382"/>
      <c r="OWW67" s="382"/>
      <c r="OWX67" s="382"/>
      <c r="OWY67" s="382"/>
      <c r="OWZ67" s="382"/>
      <c r="OXA67" s="382"/>
      <c r="OXB67" s="382"/>
      <c r="OXC67" s="382"/>
      <c r="OXD67" s="382"/>
      <c r="OXE67" s="382"/>
      <c r="OXF67" s="382"/>
      <c r="OXG67" s="382"/>
      <c r="OXH67" s="382"/>
      <c r="OXI67" s="382"/>
      <c r="OXJ67" s="382"/>
      <c r="OXK67" s="382"/>
      <c r="OXL67" s="382"/>
      <c r="OXM67" s="382"/>
      <c r="OXN67" s="382"/>
      <c r="OXO67" s="382"/>
      <c r="OXP67" s="382"/>
      <c r="OXQ67" s="382"/>
      <c r="OXR67" s="382"/>
      <c r="OXS67" s="382"/>
      <c r="OXT67" s="382"/>
      <c r="OXU67" s="382"/>
      <c r="OXV67" s="382"/>
      <c r="OXW67" s="382"/>
      <c r="OXX67" s="382"/>
      <c r="OXY67" s="382"/>
      <c r="OXZ67" s="382"/>
      <c r="OYA67" s="382"/>
      <c r="OYB67" s="382"/>
      <c r="OYC67" s="382"/>
      <c r="OYD67" s="382"/>
      <c r="OYE67" s="382"/>
      <c r="OYF67" s="382"/>
      <c r="OYG67" s="382"/>
      <c r="OYH67" s="382"/>
      <c r="OYI67" s="382"/>
      <c r="OYJ67" s="382"/>
      <c r="OYK67" s="382"/>
      <c r="OYL67" s="382"/>
      <c r="OYM67" s="382"/>
      <c r="OYN67" s="382"/>
      <c r="OYO67" s="382"/>
      <c r="OYP67" s="382"/>
      <c r="OYQ67" s="382"/>
      <c r="OYR67" s="382"/>
      <c r="OYS67" s="382"/>
      <c r="OYT67" s="382"/>
      <c r="OYU67" s="382"/>
      <c r="OYV67" s="382"/>
      <c r="OYW67" s="382"/>
      <c r="OYX67" s="382"/>
      <c r="OYY67" s="382"/>
      <c r="OYZ67" s="382"/>
      <c r="OZA67" s="382"/>
      <c r="OZB67" s="382"/>
      <c r="OZC67" s="382"/>
      <c r="OZD67" s="382"/>
      <c r="OZE67" s="382"/>
      <c r="OZF67" s="382"/>
      <c r="OZG67" s="382"/>
      <c r="OZH67" s="382"/>
      <c r="OZI67" s="382"/>
      <c r="OZJ67" s="382"/>
      <c r="OZK67" s="382"/>
      <c r="OZL67" s="382"/>
      <c r="OZM67" s="382"/>
      <c r="OZN67" s="382"/>
      <c r="OZO67" s="382"/>
      <c r="OZP67" s="382"/>
      <c r="OZQ67" s="382"/>
      <c r="OZR67" s="382"/>
      <c r="OZS67" s="382"/>
      <c r="OZT67" s="382"/>
      <c r="OZU67" s="382"/>
      <c r="OZV67" s="382"/>
      <c r="OZW67" s="382"/>
      <c r="OZX67" s="382"/>
      <c r="OZY67" s="382"/>
      <c r="OZZ67" s="382"/>
      <c r="PAA67" s="382"/>
      <c r="PAB67" s="382"/>
      <c r="PAC67" s="382"/>
      <c r="PAD67" s="382"/>
      <c r="PAE67" s="382"/>
      <c r="PAF67" s="382"/>
      <c r="PAG67" s="382"/>
      <c r="PAH67" s="382"/>
      <c r="PAI67" s="382"/>
      <c r="PAJ67" s="382"/>
      <c r="PAK67" s="382"/>
      <c r="PAL67" s="382"/>
      <c r="PAM67" s="382"/>
      <c r="PAN67" s="382"/>
      <c r="PAO67" s="382"/>
      <c r="PAP67" s="382"/>
      <c r="PAQ67" s="382"/>
      <c r="PAR67" s="382"/>
      <c r="PAS67" s="382"/>
      <c r="PAT67" s="382"/>
      <c r="PAU67" s="382"/>
      <c r="PAV67" s="382"/>
      <c r="PAW67" s="382"/>
      <c r="PAX67" s="382"/>
      <c r="PAY67" s="382"/>
      <c r="PAZ67" s="382"/>
      <c r="PBA67" s="382"/>
      <c r="PBB67" s="382"/>
      <c r="PBC67" s="382"/>
      <c r="PBD67" s="382"/>
      <c r="PBE67" s="382"/>
      <c r="PBF67" s="382"/>
      <c r="PBG67" s="382"/>
      <c r="PBH67" s="382"/>
      <c r="PBI67" s="382"/>
      <c r="PBJ67" s="382"/>
      <c r="PBK67" s="382"/>
      <c r="PBL67" s="382"/>
      <c r="PBM67" s="382"/>
      <c r="PBN67" s="382"/>
      <c r="PBO67" s="382"/>
      <c r="PBP67" s="382"/>
      <c r="PBQ67" s="382"/>
      <c r="PBR67" s="382"/>
      <c r="PBS67" s="382"/>
      <c r="PBT67" s="382"/>
      <c r="PBU67" s="382"/>
      <c r="PBV67" s="382"/>
      <c r="PBW67" s="382"/>
      <c r="PBX67" s="382"/>
      <c r="PBY67" s="382"/>
      <c r="PBZ67" s="382"/>
      <c r="PCA67" s="382"/>
      <c r="PCB67" s="382"/>
      <c r="PCC67" s="382"/>
      <c r="PCD67" s="382"/>
      <c r="PCE67" s="382"/>
      <c r="PCF67" s="382"/>
      <c r="PCG67" s="382"/>
      <c r="PCH67" s="382"/>
      <c r="PCI67" s="382"/>
      <c r="PCJ67" s="382"/>
      <c r="PCK67" s="382"/>
      <c r="PCL67" s="382"/>
      <c r="PCM67" s="382"/>
      <c r="PCN67" s="382"/>
      <c r="PCO67" s="382"/>
      <c r="PCP67" s="382"/>
      <c r="PCQ67" s="382"/>
      <c r="PCR67" s="382"/>
      <c r="PCS67" s="382"/>
      <c r="PCT67" s="382"/>
      <c r="PCU67" s="382"/>
      <c r="PCV67" s="382"/>
      <c r="PCW67" s="382"/>
      <c r="PCX67" s="382"/>
      <c r="PCY67" s="382"/>
      <c r="PCZ67" s="382"/>
      <c r="PDA67" s="382"/>
      <c r="PDB67" s="382"/>
      <c r="PDC67" s="382"/>
      <c r="PDD67" s="382"/>
      <c r="PDE67" s="382"/>
      <c r="PDF67" s="382"/>
      <c r="PDG67" s="382"/>
      <c r="PDH67" s="382"/>
      <c r="PDI67" s="382"/>
      <c r="PDJ67" s="382"/>
      <c r="PDK67" s="382"/>
      <c r="PDL67" s="382"/>
      <c r="PDM67" s="382"/>
      <c r="PDN67" s="382"/>
      <c r="PDO67" s="382"/>
      <c r="PDP67" s="382"/>
      <c r="PDQ67" s="382"/>
      <c r="PDR67" s="382"/>
      <c r="PDS67" s="382"/>
      <c r="PDT67" s="382"/>
      <c r="PDU67" s="382"/>
      <c r="PDV67" s="382"/>
      <c r="PDW67" s="382"/>
      <c r="PDX67" s="382"/>
      <c r="PDY67" s="382"/>
      <c r="PDZ67" s="382"/>
      <c r="PEA67" s="382"/>
      <c r="PEB67" s="382"/>
      <c r="PEC67" s="382"/>
      <c r="PED67" s="382"/>
      <c r="PEE67" s="382"/>
      <c r="PEF67" s="382"/>
      <c r="PEG67" s="382"/>
      <c r="PEH67" s="382"/>
      <c r="PEI67" s="382"/>
      <c r="PEJ67" s="382"/>
      <c r="PEK67" s="382"/>
      <c r="PEL67" s="382"/>
      <c r="PEM67" s="382"/>
      <c r="PEN67" s="382"/>
      <c r="PEO67" s="382"/>
      <c r="PEP67" s="382"/>
      <c r="PEQ67" s="382"/>
      <c r="PER67" s="382"/>
      <c r="PES67" s="382"/>
      <c r="PET67" s="382"/>
      <c r="PEU67" s="382"/>
      <c r="PEV67" s="382"/>
      <c r="PEW67" s="382"/>
      <c r="PEX67" s="382"/>
      <c r="PEY67" s="382"/>
      <c r="PEZ67" s="382"/>
      <c r="PFA67" s="382"/>
      <c r="PFB67" s="382"/>
      <c r="PFC67" s="382"/>
      <c r="PFD67" s="382"/>
      <c r="PFE67" s="382"/>
      <c r="PFF67" s="382"/>
      <c r="PFG67" s="382"/>
      <c r="PFH67" s="382"/>
      <c r="PFI67" s="382"/>
      <c r="PFJ67" s="382"/>
      <c r="PFK67" s="382"/>
      <c r="PFL67" s="382"/>
      <c r="PFM67" s="382"/>
      <c r="PFN67" s="382"/>
      <c r="PFO67" s="382"/>
      <c r="PFP67" s="382"/>
      <c r="PFQ67" s="382"/>
      <c r="PFR67" s="382"/>
      <c r="PFS67" s="382"/>
      <c r="PFT67" s="382"/>
      <c r="PFU67" s="382"/>
      <c r="PFV67" s="382"/>
      <c r="PFW67" s="382"/>
      <c r="PFX67" s="382"/>
      <c r="PFY67" s="382"/>
      <c r="PFZ67" s="382"/>
      <c r="PGA67" s="382"/>
      <c r="PGB67" s="382"/>
      <c r="PGC67" s="382"/>
      <c r="PGD67" s="382"/>
      <c r="PGE67" s="382"/>
      <c r="PGF67" s="382"/>
      <c r="PGG67" s="382"/>
      <c r="PGH67" s="382"/>
      <c r="PGI67" s="382"/>
      <c r="PGJ67" s="382"/>
      <c r="PGK67" s="382"/>
      <c r="PGL67" s="382"/>
      <c r="PGM67" s="382"/>
      <c r="PGN67" s="382"/>
      <c r="PGO67" s="382"/>
      <c r="PGP67" s="382"/>
      <c r="PGQ67" s="382"/>
      <c r="PGR67" s="382"/>
      <c r="PGS67" s="382"/>
      <c r="PGT67" s="382"/>
      <c r="PGU67" s="382"/>
      <c r="PGV67" s="382"/>
      <c r="PGW67" s="382"/>
      <c r="PGX67" s="382"/>
      <c r="PGY67" s="382"/>
      <c r="PGZ67" s="382"/>
      <c r="PHA67" s="382"/>
      <c r="PHB67" s="382"/>
      <c r="PHC67" s="382"/>
      <c r="PHD67" s="382"/>
      <c r="PHE67" s="382"/>
      <c r="PHF67" s="382"/>
      <c r="PHG67" s="382"/>
      <c r="PHH67" s="382"/>
      <c r="PHI67" s="382"/>
      <c r="PHJ67" s="382"/>
      <c r="PHK67" s="382"/>
      <c r="PHL67" s="382"/>
      <c r="PHM67" s="382"/>
      <c r="PHN67" s="382"/>
      <c r="PHO67" s="382"/>
      <c r="PHP67" s="382"/>
      <c r="PHQ67" s="382"/>
      <c r="PHR67" s="382"/>
      <c r="PHS67" s="382"/>
      <c r="PHT67" s="382"/>
      <c r="PHU67" s="382"/>
      <c r="PHV67" s="382"/>
      <c r="PHW67" s="382"/>
      <c r="PHX67" s="382"/>
      <c r="PHY67" s="382"/>
      <c r="PHZ67" s="382"/>
      <c r="PIA67" s="382"/>
      <c r="PIB67" s="382"/>
      <c r="PIC67" s="382"/>
      <c r="PID67" s="382"/>
      <c r="PIE67" s="382"/>
      <c r="PIF67" s="382"/>
      <c r="PIG67" s="382"/>
      <c r="PIH67" s="382"/>
      <c r="PII67" s="382"/>
      <c r="PIJ67" s="382"/>
      <c r="PIK67" s="382"/>
      <c r="PIL67" s="382"/>
      <c r="PIM67" s="382"/>
      <c r="PIN67" s="382"/>
      <c r="PIO67" s="382"/>
      <c r="PIP67" s="382"/>
      <c r="PIQ67" s="382"/>
      <c r="PIR67" s="382"/>
      <c r="PIS67" s="382"/>
      <c r="PIT67" s="382"/>
      <c r="PIU67" s="382"/>
      <c r="PIV67" s="382"/>
      <c r="PIW67" s="382"/>
      <c r="PIX67" s="382"/>
      <c r="PIY67" s="382"/>
      <c r="PIZ67" s="382"/>
      <c r="PJA67" s="382"/>
      <c r="PJB67" s="382"/>
      <c r="PJC67" s="382"/>
      <c r="PJD67" s="382"/>
      <c r="PJE67" s="382"/>
      <c r="PJF67" s="382"/>
      <c r="PJG67" s="382"/>
      <c r="PJH67" s="382"/>
      <c r="PJI67" s="382"/>
      <c r="PJJ67" s="382"/>
      <c r="PJK67" s="382"/>
      <c r="PJL67" s="382"/>
      <c r="PJM67" s="382"/>
      <c r="PJN67" s="382"/>
      <c r="PJO67" s="382"/>
      <c r="PJP67" s="382"/>
      <c r="PJQ67" s="382"/>
      <c r="PJR67" s="382"/>
      <c r="PJS67" s="382"/>
      <c r="PJT67" s="382"/>
      <c r="PJU67" s="382"/>
      <c r="PJV67" s="382"/>
      <c r="PJW67" s="382"/>
      <c r="PJX67" s="382"/>
      <c r="PJY67" s="382"/>
      <c r="PJZ67" s="382"/>
      <c r="PKA67" s="382"/>
      <c r="PKB67" s="382"/>
      <c r="PKC67" s="382"/>
      <c r="PKD67" s="382"/>
      <c r="PKE67" s="382"/>
      <c r="PKF67" s="382"/>
      <c r="PKG67" s="382"/>
      <c r="PKH67" s="382"/>
      <c r="PKI67" s="382"/>
      <c r="PKJ67" s="382"/>
      <c r="PKK67" s="382"/>
      <c r="PKL67" s="382"/>
      <c r="PKM67" s="382"/>
      <c r="PKN67" s="382"/>
      <c r="PKO67" s="382"/>
      <c r="PKP67" s="382"/>
      <c r="PKQ67" s="382"/>
      <c r="PKR67" s="382"/>
      <c r="PKS67" s="382"/>
      <c r="PKT67" s="382"/>
      <c r="PKU67" s="382"/>
      <c r="PKV67" s="382"/>
      <c r="PKW67" s="382"/>
      <c r="PKX67" s="382"/>
      <c r="PKY67" s="382"/>
      <c r="PKZ67" s="382"/>
      <c r="PLA67" s="382"/>
      <c r="PLB67" s="382"/>
      <c r="PLC67" s="382"/>
      <c r="PLD67" s="382"/>
      <c r="PLE67" s="382"/>
      <c r="PLF67" s="382"/>
      <c r="PLG67" s="382"/>
      <c r="PLH67" s="382"/>
      <c r="PLI67" s="382"/>
      <c r="PLJ67" s="382"/>
      <c r="PLK67" s="382"/>
      <c r="PLL67" s="382"/>
      <c r="PLM67" s="382"/>
      <c r="PLN67" s="382"/>
      <c r="PLO67" s="382"/>
      <c r="PLP67" s="382"/>
      <c r="PLQ67" s="382"/>
      <c r="PLR67" s="382"/>
      <c r="PLS67" s="382"/>
      <c r="PLT67" s="382"/>
      <c r="PLU67" s="382"/>
      <c r="PLV67" s="382"/>
      <c r="PLW67" s="382"/>
      <c r="PLX67" s="382"/>
      <c r="PLY67" s="382"/>
      <c r="PLZ67" s="382"/>
      <c r="PMA67" s="382"/>
      <c r="PMB67" s="382"/>
      <c r="PMC67" s="382"/>
      <c r="PMD67" s="382"/>
      <c r="PME67" s="382"/>
      <c r="PMF67" s="382"/>
      <c r="PMG67" s="382"/>
      <c r="PMH67" s="382"/>
      <c r="PMI67" s="382"/>
      <c r="PMJ67" s="382"/>
      <c r="PMK67" s="382"/>
      <c r="PML67" s="382"/>
      <c r="PMM67" s="382"/>
      <c r="PMN67" s="382"/>
      <c r="PMO67" s="382"/>
      <c r="PMP67" s="382"/>
      <c r="PMQ67" s="382"/>
      <c r="PMR67" s="382"/>
      <c r="PMS67" s="382"/>
      <c r="PMT67" s="382"/>
      <c r="PMU67" s="382"/>
      <c r="PMV67" s="382"/>
      <c r="PMW67" s="382"/>
      <c r="PMX67" s="382"/>
      <c r="PMY67" s="382"/>
      <c r="PMZ67" s="382"/>
      <c r="PNA67" s="382"/>
      <c r="PNB67" s="382"/>
      <c r="PNC67" s="382"/>
      <c r="PND67" s="382"/>
      <c r="PNE67" s="382"/>
      <c r="PNF67" s="382"/>
      <c r="PNG67" s="382"/>
      <c r="PNH67" s="382"/>
      <c r="PNI67" s="382"/>
      <c r="PNJ67" s="382"/>
      <c r="PNK67" s="382"/>
      <c r="PNL67" s="382"/>
      <c r="PNM67" s="382"/>
      <c r="PNN67" s="382"/>
      <c r="PNO67" s="382"/>
      <c r="PNP67" s="382"/>
      <c r="PNQ67" s="382"/>
      <c r="PNR67" s="382"/>
      <c r="PNS67" s="382"/>
      <c r="PNT67" s="382"/>
      <c r="PNU67" s="382"/>
      <c r="PNV67" s="382"/>
      <c r="PNW67" s="382"/>
      <c r="PNX67" s="382"/>
      <c r="PNY67" s="382"/>
      <c r="PNZ67" s="382"/>
      <c r="POA67" s="382"/>
      <c r="POB67" s="382"/>
      <c r="POC67" s="382"/>
      <c r="POD67" s="382"/>
      <c r="POE67" s="382"/>
      <c r="POF67" s="382"/>
      <c r="POG67" s="382"/>
      <c r="POH67" s="382"/>
      <c r="POI67" s="382"/>
      <c r="POJ67" s="382"/>
      <c r="POK67" s="382"/>
      <c r="POL67" s="382"/>
      <c r="POM67" s="382"/>
      <c r="PON67" s="382"/>
      <c r="POO67" s="382"/>
      <c r="POP67" s="382"/>
      <c r="POQ67" s="382"/>
      <c r="POR67" s="382"/>
      <c r="POS67" s="382"/>
      <c r="POT67" s="382"/>
      <c r="POU67" s="382"/>
      <c r="POV67" s="382"/>
      <c r="POW67" s="382"/>
      <c r="POX67" s="382"/>
      <c r="POY67" s="382"/>
      <c r="POZ67" s="382"/>
      <c r="PPA67" s="382"/>
      <c r="PPB67" s="382"/>
      <c r="PPC67" s="382"/>
      <c r="PPD67" s="382"/>
      <c r="PPE67" s="382"/>
      <c r="PPF67" s="382"/>
      <c r="PPG67" s="382"/>
      <c r="PPH67" s="382"/>
      <c r="PPI67" s="382"/>
      <c r="PPJ67" s="382"/>
      <c r="PPK67" s="382"/>
      <c r="PPL67" s="382"/>
      <c r="PPM67" s="382"/>
      <c r="PPN67" s="382"/>
      <c r="PPO67" s="382"/>
      <c r="PPP67" s="382"/>
      <c r="PPQ67" s="382"/>
      <c r="PPR67" s="382"/>
      <c r="PPS67" s="382"/>
      <c r="PPT67" s="382"/>
      <c r="PPU67" s="382"/>
      <c r="PPV67" s="382"/>
      <c r="PPW67" s="382"/>
      <c r="PPX67" s="382"/>
      <c r="PPY67" s="382"/>
      <c r="PPZ67" s="382"/>
      <c r="PQA67" s="382"/>
      <c r="PQB67" s="382"/>
      <c r="PQC67" s="382"/>
      <c r="PQD67" s="382"/>
      <c r="PQE67" s="382"/>
      <c r="PQF67" s="382"/>
      <c r="PQG67" s="382"/>
      <c r="PQH67" s="382"/>
      <c r="PQI67" s="382"/>
      <c r="PQJ67" s="382"/>
      <c r="PQK67" s="382"/>
      <c r="PQL67" s="382"/>
      <c r="PQM67" s="382"/>
      <c r="PQN67" s="382"/>
      <c r="PQO67" s="382"/>
      <c r="PQP67" s="382"/>
      <c r="PQQ67" s="382"/>
      <c r="PQR67" s="382"/>
      <c r="PQS67" s="382"/>
      <c r="PQT67" s="382"/>
      <c r="PQU67" s="382"/>
      <c r="PQV67" s="382"/>
      <c r="PQW67" s="382"/>
      <c r="PQX67" s="382"/>
      <c r="PQY67" s="382"/>
      <c r="PQZ67" s="382"/>
      <c r="PRA67" s="382"/>
      <c r="PRB67" s="382"/>
      <c r="PRC67" s="382"/>
      <c r="PRD67" s="382"/>
      <c r="PRE67" s="382"/>
      <c r="PRF67" s="382"/>
      <c r="PRG67" s="382"/>
      <c r="PRH67" s="382"/>
      <c r="PRI67" s="382"/>
      <c r="PRJ67" s="382"/>
      <c r="PRK67" s="382"/>
      <c r="PRL67" s="382"/>
      <c r="PRM67" s="382"/>
      <c r="PRN67" s="382"/>
      <c r="PRO67" s="382"/>
      <c r="PRP67" s="382"/>
      <c r="PRQ67" s="382"/>
      <c r="PRR67" s="382"/>
      <c r="PRS67" s="382"/>
      <c r="PRT67" s="382"/>
      <c r="PRU67" s="382"/>
      <c r="PRV67" s="382"/>
      <c r="PRW67" s="382"/>
      <c r="PRX67" s="382"/>
      <c r="PRY67" s="382"/>
      <c r="PRZ67" s="382"/>
      <c r="PSA67" s="382"/>
      <c r="PSB67" s="382"/>
      <c r="PSC67" s="382"/>
      <c r="PSD67" s="382"/>
      <c r="PSE67" s="382"/>
      <c r="PSF67" s="382"/>
      <c r="PSG67" s="382"/>
      <c r="PSH67" s="382"/>
      <c r="PSI67" s="382"/>
      <c r="PSJ67" s="382"/>
      <c r="PSK67" s="382"/>
      <c r="PSL67" s="382"/>
      <c r="PSM67" s="382"/>
      <c r="PSN67" s="382"/>
      <c r="PSO67" s="382"/>
      <c r="PSP67" s="382"/>
      <c r="PSQ67" s="382"/>
      <c r="PSR67" s="382"/>
      <c r="PSS67" s="382"/>
      <c r="PST67" s="382"/>
      <c r="PSU67" s="382"/>
      <c r="PSV67" s="382"/>
      <c r="PSW67" s="382"/>
      <c r="PSX67" s="382"/>
      <c r="PSY67" s="382"/>
      <c r="PSZ67" s="382"/>
      <c r="PTA67" s="382"/>
      <c r="PTB67" s="382"/>
      <c r="PTC67" s="382"/>
      <c r="PTD67" s="382"/>
      <c r="PTE67" s="382"/>
      <c r="PTF67" s="382"/>
      <c r="PTG67" s="382"/>
      <c r="PTH67" s="382"/>
      <c r="PTI67" s="382"/>
      <c r="PTJ67" s="382"/>
      <c r="PTK67" s="382"/>
      <c r="PTL67" s="382"/>
      <c r="PTM67" s="382"/>
      <c r="PTN67" s="382"/>
      <c r="PTO67" s="382"/>
      <c r="PTP67" s="382"/>
      <c r="PTQ67" s="382"/>
      <c r="PTR67" s="382"/>
      <c r="PTS67" s="382"/>
      <c r="PTT67" s="382"/>
      <c r="PTU67" s="382"/>
      <c r="PTV67" s="382"/>
      <c r="PTW67" s="382"/>
      <c r="PTX67" s="382"/>
      <c r="PTY67" s="382"/>
      <c r="PTZ67" s="382"/>
      <c r="PUA67" s="382"/>
      <c r="PUB67" s="382"/>
      <c r="PUC67" s="382"/>
      <c r="PUD67" s="382"/>
      <c r="PUE67" s="382"/>
      <c r="PUF67" s="382"/>
      <c r="PUG67" s="382"/>
      <c r="PUH67" s="382"/>
      <c r="PUI67" s="382"/>
      <c r="PUJ67" s="382"/>
      <c r="PUK67" s="382"/>
      <c r="PUL67" s="382"/>
      <c r="PUM67" s="382"/>
      <c r="PUN67" s="382"/>
      <c r="PUO67" s="382"/>
      <c r="PUP67" s="382"/>
      <c r="PUQ67" s="382"/>
      <c r="PUR67" s="382"/>
      <c r="PUS67" s="382"/>
      <c r="PUT67" s="382"/>
      <c r="PUU67" s="382"/>
      <c r="PUV67" s="382"/>
      <c r="PUW67" s="382"/>
      <c r="PUX67" s="382"/>
      <c r="PUY67" s="382"/>
      <c r="PUZ67" s="382"/>
      <c r="PVA67" s="382"/>
      <c r="PVB67" s="382"/>
      <c r="PVC67" s="382"/>
      <c r="PVD67" s="382"/>
      <c r="PVE67" s="382"/>
      <c r="PVF67" s="382"/>
      <c r="PVG67" s="382"/>
      <c r="PVH67" s="382"/>
      <c r="PVI67" s="382"/>
      <c r="PVJ67" s="382"/>
      <c r="PVK67" s="382"/>
      <c r="PVL67" s="382"/>
      <c r="PVM67" s="382"/>
      <c r="PVN67" s="382"/>
      <c r="PVO67" s="382"/>
      <c r="PVP67" s="382"/>
      <c r="PVQ67" s="382"/>
      <c r="PVR67" s="382"/>
      <c r="PVS67" s="382"/>
      <c r="PVT67" s="382"/>
      <c r="PVU67" s="382"/>
      <c r="PVV67" s="382"/>
      <c r="PVW67" s="382"/>
      <c r="PVX67" s="382"/>
      <c r="PVY67" s="382"/>
      <c r="PVZ67" s="382"/>
      <c r="PWA67" s="382"/>
      <c r="PWB67" s="382"/>
      <c r="PWC67" s="382"/>
      <c r="PWD67" s="382"/>
      <c r="PWE67" s="382"/>
      <c r="PWF67" s="382"/>
      <c r="PWG67" s="382"/>
      <c r="PWH67" s="382"/>
      <c r="PWI67" s="382"/>
      <c r="PWJ67" s="382"/>
      <c r="PWK67" s="382"/>
      <c r="PWL67" s="382"/>
      <c r="PWM67" s="382"/>
      <c r="PWN67" s="382"/>
      <c r="PWO67" s="382"/>
      <c r="PWP67" s="382"/>
      <c r="PWQ67" s="382"/>
      <c r="PWR67" s="382"/>
      <c r="PWS67" s="382"/>
      <c r="PWT67" s="382"/>
      <c r="PWU67" s="382"/>
      <c r="PWV67" s="382"/>
      <c r="PWW67" s="382"/>
      <c r="PWX67" s="382"/>
      <c r="PWY67" s="382"/>
      <c r="PWZ67" s="382"/>
      <c r="PXA67" s="382"/>
      <c r="PXB67" s="382"/>
      <c r="PXC67" s="382"/>
      <c r="PXD67" s="382"/>
      <c r="PXE67" s="382"/>
      <c r="PXF67" s="382"/>
      <c r="PXG67" s="382"/>
      <c r="PXH67" s="382"/>
      <c r="PXI67" s="382"/>
      <c r="PXJ67" s="382"/>
      <c r="PXK67" s="382"/>
      <c r="PXL67" s="382"/>
      <c r="PXM67" s="382"/>
      <c r="PXN67" s="382"/>
      <c r="PXO67" s="382"/>
      <c r="PXP67" s="382"/>
      <c r="PXQ67" s="382"/>
      <c r="PXR67" s="382"/>
      <c r="PXS67" s="382"/>
      <c r="PXT67" s="382"/>
      <c r="PXU67" s="382"/>
      <c r="PXV67" s="382"/>
      <c r="PXW67" s="382"/>
      <c r="PXX67" s="382"/>
      <c r="PXY67" s="382"/>
      <c r="PXZ67" s="382"/>
      <c r="PYA67" s="382"/>
      <c r="PYB67" s="382"/>
      <c r="PYC67" s="382"/>
      <c r="PYD67" s="382"/>
      <c r="PYE67" s="382"/>
      <c r="PYF67" s="382"/>
      <c r="PYG67" s="382"/>
      <c r="PYH67" s="382"/>
      <c r="PYI67" s="382"/>
      <c r="PYJ67" s="382"/>
      <c r="PYK67" s="382"/>
      <c r="PYL67" s="382"/>
      <c r="PYM67" s="382"/>
      <c r="PYN67" s="382"/>
      <c r="PYO67" s="382"/>
      <c r="PYP67" s="382"/>
      <c r="PYQ67" s="382"/>
      <c r="PYR67" s="382"/>
      <c r="PYS67" s="382"/>
      <c r="PYT67" s="382"/>
      <c r="PYU67" s="382"/>
      <c r="PYV67" s="382"/>
      <c r="PYW67" s="382"/>
      <c r="PYX67" s="382"/>
      <c r="PYY67" s="382"/>
      <c r="PYZ67" s="382"/>
      <c r="PZA67" s="382"/>
      <c r="PZB67" s="382"/>
      <c r="PZC67" s="382"/>
      <c r="PZD67" s="382"/>
      <c r="PZE67" s="382"/>
      <c r="PZF67" s="382"/>
      <c r="PZG67" s="382"/>
      <c r="PZH67" s="382"/>
      <c r="PZI67" s="382"/>
      <c r="PZJ67" s="382"/>
      <c r="PZK67" s="382"/>
      <c r="PZL67" s="382"/>
      <c r="PZM67" s="382"/>
      <c r="PZN67" s="382"/>
      <c r="PZO67" s="382"/>
      <c r="PZP67" s="382"/>
      <c r="PZQ67" s="382"/>
      <c r="PZR67" s="382"/>
      <c r="PZS67" s="382"/>
      <c r="PZT67" s="382"/>
      <c r="PZU67" s="382"/>
      <c r="PZV67" s="382"/>
      <c r="PZW67" s="382"/>
      <c r="PZX67" s="382"/>
      <c r="PZY67" s="382"/>
      <c r="PZZ67" s="382"/>
      <c r="QAA67" s="382"/>
      <c r="QAB67" s="382"/>
      <c r="QAC67" s="382"/>
      <c r="QAD67" s="382"/>
      <c r="QAE67" s="382"/>
      <c r="QAF67" s="382"/>
      <c r="QAG67" s="382"/>
      <c r="QAH67" s="382"/>
      <c r="QAI67" s="382"/>
      <c r="QAJ67" s="382"/>
      <c r="QAK67" s="382"/>
      <c r="QAL67" s="382"/>
      <c r="QAM67" s="382"/>
      <c r="QAN67" s="382"/>
      <c r="QAO67" s="382"/>
      <c r="QAP67" s="382"/>
      <c r="QAQ67" s="382"/>
      <c r="QAR67" s="382"/>
      <c r="QAS67" s="382"/>
      <c r="QAT67" s="382"/>
      <c r="QAU67" s="382"/>
      <c r="QAV67" s="382"/>
      <c r="QAW67" s="382"/>
      <c r="QAX67" s="382"/>
      <c r="QAY67" s="382"/>
      <c r="QAZ67" s="382"/>
      <c r="QBA67" s="382"/>
      <c r="QBB67" s="382"/>
      <c r="QBC67" s="382"/>
      <c r="QBD67" s="382"/>
      <c r="QBE67" s="382"/>
      <c r="QBF67" s="382"/>
      <c r="QBG67" s="382"/>
      <c r="QBH67" s="382"/>
      <c r="QBI67" s="382"/>
      <c r="QBJ67" s="382"/>
      <c r="QBK67" s="382"/>
      <c r="QBL67" s="382"/>
      <c r="QBM67" s="382"/>
      <c r="QBN67" s="382"/>
      <c r="QBO67" s="382"/>
      <c r="QBP67" s="382"/>
      <c r="QBQ67" s="382"/>
      <c r="QBR67" s="382"/>
      <c r="QBS67" s="382"/>
      <c r="QBT67" s="382"/>
      <c r="QBU67" s="382"/>
      <c r="QBV67" s="382"/>
      <c r="QBW67" s="382"/>
      <c r="QBX67" s="382"/>
      <c r="QBY67" s="382"/>
      <c r="QBZ67" s="382"/>
      <c r="QCA67" s="382"/>
      <c r="QCB67" s="382"/>
      <c r="QCC67" s="382"/>
      <c r="QCD67" s="382"/>
      <c r="QCE67" s="382"/>
      <c r="QCF67" s="382"/>
      <c r="QCG67" s="382"/>
      <c r="QCH67" s="382"/>
      <c r="QCI67" s="382"/>
      <c r="QCJ67" s="382"/>
      <c r="QCK67" s="382"/>
      <c r="QCL67" s="382"/>
      <c r="QCM67" s="382"/>
      <c r="QCN67" s="382"/>
      <c r="QCO67" s="382"/>
      <c r="QCP67" s="382"/>
      <c r="QCQ67" s="382"/>
      <c r="QCR67" s="382"/>
      <c r="QCS67" s="382"/>
      <c r="QCT67" s="382"/>
      <c r="QCU67" s="382"/>
      <c r="QCV67" s="382"/>
      <c r="QCW67" s="382"/>
      <c r="QCX67" s="382"/>
      <c r="QCY67" s="382"/>
      <c r="QCZ67" s="382"/>
      <c r="QDA67" s="382"/>
      <c r="QDB67" s="382"/>
      <c r="QDC67" s="382"/>
      <c r="QDD67" s="382"/>
      <c r="QDE67" s="382"/>
      <c r="QDF67" s="382"/>
      <c r="QDG67" s="382"/>
      <c r="QDH67" s="382"/>
      <c r="QDI67" s="382"/>
      <c r="QDJ67" s="382"/>
      <c r="QDK67" s="382"/>
      <c r="QDL67" s="382"/>
      <c r="QDM67" s="382"/>
      <c r="QDN67" s="382"/>
      <c r="QDO67" s="382"/>
      <c r="QDP67" s="382"/>
      <c r="QDQ67" s="382"/>
      <c r="QDR67" s="382"/>
      <c r="QDS67" s="382"/>
      <c r="QDT67" s="382"/>
      <c r="QDU67" s="382"/>
      <c r="QDV67" s="382"/>
      <c r="QDW67" s="382"/>
      <c r="QDX67" s="382"/>
      <c r="QDY67" s="382"/>
      <c r="QDZ67" s="382"/>
      <c r="QEA67" s="382"/>
      <c r="QEB67" s="382"/>
      <c r="QEC67" s="382"/>
      <c r="QED67" s="382"/>
      <c r="QEE67" s="382"/>
      <c r="QEF67" s="382"/>
      <c r="QEG67" s="382"/>
      <c r="QEH67" s="382"/>
      <c r="QEI67" s="382"/>
      <c r="QEJ67" s="382"/>
      <c r="QEK67" s="382"/>
      <c r="QEL67" s="382"/>
      <c r="QEM67" s="382"/>
      <c r="QEN67" s="382"/>
      <c r="QEO67" s="382"/>
      <c r="QEP67" s="382"/>
      <c r="QEQ67" s="382"/>
      <c r="QER67" s="382"/>
      <c r="QES67" s="382"/>
      <c r="QET67" s="382"/>
      <c r="QEU67" s="382"/>
      <c r="QEV67" s="382"/>
      <c r="QEW67" s="382"/>
      <c r="QEX67" s="382"/>
      <c r="QEY67" s="382"/>
      <c r="QEZ67" s="382"/>
      <c r="QFA67" s="382"/>
      <c r="QFB67" s="382"/>
      <c r="QFC67" s="382"/>
      <c r="QFD67" s="382"/>
      <c r="QFE67" s="382"/>
      <c r="QFF67" s="382"/>
      <c r="QFG67" s="382"/>
      <c r="QFH67" s="382"/>
      <c r="QFI67" s="382"/>
      <c r="QFJ67" s="382"/>
      <c r="QFK67" s="382"/>
      <c r="QFL67" s="382"/>
      <c r="QFM67" s="382"/>
      <c r="QFN67" s="382"/>
      <c r="QFO67" s="382"/>
      <c r="QFP67" s="382"/>
      <c r="QFQ67" s="382"/>
      <c r="QFR67" s="382"/>
      <c r="QFS67" s="382"/>
      <c r="QFT67" s="382"/>
      <c r="QFU67" s="382"/>
      <c r="QFV67" s="382"/>
      <c r="QFW67" s="382"/>
      <c r="QFX67" s="382"/>
      <c r="QFY67" s="382"/>
      <c r="QFZ67" s="382"/>
      <c r="QGA67" s="382"/>
      <c r="QGB67" s="382"/>
      <c r="QGC67" s="382"/>
      <c r="QGD67" s="382"/>
      <c r="QGE67" s="382"/>
      <c r="QGF67" s="382"/>
      <c r="QGG67" s="382"/>
      <c r="QGH67" s="382"/>
      <c r="QGI67" s="382"/>
      <c r="QGJ67" s="382"/>
      <c r="QGK67" s="382"/>
      <c r="QGL67" s="382"/>
      <c r="QGM67" s="382"/>
      <c r="QGN67" s="382"/>
      <c r="QGO67" s="382"/>
      <c r="QGP67" s="382"/>
      <c r="QGQ67" s="382"/>
      <c r="QGR67" s="382"/>
      <c r="QGS67" s="382"/>
      <c r="QGT67" s="382"/>
      <c r="QGU67" s="382"/>
      <c r="QGV67" s="382"/>
      <c r="QGW67" s="382"/>
      <c r="QGX67" s="382"/>
      <c r="QGY67" s="382"/>
      <c r="QGZ67" s="382"/>
      <c r="QHA67" s="382"/>
      <c r="QHB67" s="382"/>
      <c r="QHC67" s="382"/>
      <c r="QHD67" s="382"/>
      <c r="QHE67" s="382"/>
      <c r="QHF67" s="382"/>
      <c r="QHG67" s="382"/>
      <c r="QHH67" s="382"/>
      <c r="QHI67" s="382"/>
      <c r="QHJ67" s="382"/>
      <c r="QHK67" s="382"/>
      <c r="QHL67" s="382"/>
      <c r="QHM67" s="382"/>
      <c r="QHN67" s="382"/>
      <c r="QHO67" s="382"/>
      <c r="QHP67" s="382"/>
      <c r="QHQ67" s="382"/>
      <c r="QHR67" s="382"/>
      <c r="QHS67" s="382"/>
      <c r="QHT67" s="382"/>
      <c r="QHU67" s="382"/>
      <c r="QHV67" s="382"/>
      <c r="QHW67" s="382"/>
      <c r="QHX67" s="382"/>
      <c r="QHY67" s="382"/>
      <c r="QHZ67" s="382"/>
      <c r="QIA67" s="382"/>
      <c r="QIB67" s="382"/>
      <c r="QIC67" s="382"/>
      <c r="QID67" s="382"/>
      <c r="QIE67" s="382"/>
      <c r="QIF67" s="382"/>
      <c r="QIG67" s="382"/>
      <c r="QIH67" s="382"/>
      <c r="QII67" s="382"/>
      <c r="QIJ67" s="382"/>
      <c r="QIK67" s="382"/>
      <c r="QIL67" s="382"/>
      <c r="QIM67" s="382"/>
      <c r="QIN67" s="382"/>
      <c r="QIO67" s="382"/>
      <c r="QIP67" s="382"/>
      <c r="QIQ67" s="382"/>
      <c r="QIR67" s="382"/>
      <c r="QIS67" s="382"/>
      <c r="QIT67" s="382"/>
      <c r="QIU67" s="382"/>
      <c r="QIV67" s="382"/>
      <c r="QIW67" s="382"/>
      <c r="QIX67" s="382"/>
      <c r="QIY67" s="382"/>
      <c r="QIZ67" s="382"/>
      <c r="QJA67" s="382"/>
      <c r="QJB67" s="382"/>
      <c r="QJC67" s="382"/>
      <c r="QJD67" s="382"/>
      <c r="QJE67" s="382"/>
      <c r="QJF67" s="382"/>
      <c r="QJG67" s="382"/>
      <c r="QJH67" s="382"/>
      <c r="QJI67" s="382"/>
      <c r="QJJ67" s="382"/>
      <c r="QJK67" s="382"/>
      <c r="QJL67" s="382"/>
      <c r="QJM67" s="382"/>
      <c r="QJN67" s="382"/>
      <c r="QJO67" s="382"/>
      <c r="QJP67" s="382"/>
      <c r="QJQ67" s="382"/>
      <c r="QJR67" s="382"/>
      <c r="QJS67" s="382"/>
      <c r="QJT67" s="382"/>
      <c r="QJU67" s="382"/>
      <c r="QJV67" s="382"/>
      <c r="QJW67" s="382"/>
      <c r="QJX67" s="382"/>
      <c r="QJY67" s="382"/>
      <c r="QJZ67" s="382"/>
      <c r="QKA67" s="382"/>
      <c r="QKB67" s="382"/>
      <c r="QKC67" s="382"/>
      <c r="QKD67" s="382"/>
      <c r="QKE67" s="382"/>
      <c r="QKF67" s="382"/>
      <c r="QKG67" s="382"/>
      <c r="QKH67" s="382"/>
      <c r="QKI67" s="382"/>
      <c r="QKJ67" s="382"/>
      <c r="QKK67" s="382"/>
      <c r="QKL67" s="382"/>
      <c r="QKM67" s="382"/>
      <c r="QKN67" s="382"/>
      <c r="QKO67" s="382"/>
      <c r="QKP67" s="382"/>
      <c r="QKQ67" s="382"/>
      <c r="QKR67" s="382"/>
      <c r="QKS67" s="382"/>
      <c r="QKT67" s="382"/>
      <c r="QKU67" s="382"/>
      <c r="QKV67" s="382"/>
      <c r="QKW67" s="382"/>
      <c r="QKX67" s="382"/>
      <c r="QKY67" s="382"/>
      <c r="QKZ67" s="382"/>
      <c r="QLA67" s="382"/>
      <c r="QLB67" s="382"/>
      <c r="QLC67" s="382"/>
      <c r="QLD67" s="382"/>
      <c r="QLE67" s="382"/>
      <c r="QLF67" s="382"/>
      <c r="QLG67" s="382"/>
      <c r="QLH67" s="382"/>
      <c r="QLI67" s="382"/>
      <c r="QLJ67" s="382"/>
      <c r="QLK67" s="382"/>
      <c r="QLL67" s="382"/>
      <c r="QLM67" s="382"/>
      <c r="QLN67" s="382"/>
      <c r="QLO67" s="382"/>
      <c r="QLP67" s="382"/>
      <c r="QLQ67" s="382"/>
      <c r="QLR67" s="382"/>
      <c r="QLS67" s="382"/>
      <c r="QLT67" s="382"/>
      <c r="QLU67" s="382"/>
      <c r="QLV67" s="382"/>
      <c r="QLW67" s="382"/>
      <c r="QLX67" s="382"/>
      <c r="QLY67" s="382"/>
      <c r="QLZ67" s="382"/>
      <c r="QMA67" s="382"/>
      <c r="QMB67" s="382"/>
      <c r="QMC67" s="382"/>
      <c r="QMD67" s="382"/>
      <c r="QME67" s="382"/>
      <c r="QMF67" s="382"/>
      <c r="QMG67" s="382"/>
      <c r="QMH67" s="382"/>
      <c r="QMI67" s="382"/>
      <c r="QMJ67" s="382"/>
      <c r="QMK67" s="382"/>
      <c r="QML67" s="382"/>
      <c r="QMM67" s="382"/>
      <c r="QMN67" s="382"/>
      <c r="QMO67" s="382"/>
      <c r="QMP67" s="382"/>
      <c r="QMQ67" s="382"/>
      <c r="QMR67" s="382"/>
      <c r="QMS67" s="382"/>
      <c r="QMT67" s="382"/>
      <c r="QMU67" s="382"/>
      <c r="QMV67" s="382"/>
      <c r="QMW67" s="382"/>
      <c r="QMX67" s="382"/>
      <c r="QMY67" s="382"/>
      <c r="QMZ67" s="382"/>
      <c r="QNA67" s="382"/>
      <c r="QNB67" s="382"/>
      <c r="QNC67" s="382"/>
      <c r="QND67" s="382"/>
      <c r="QNE67" s="382"/>
      <c r="QNF67" s="382"/>
      <c r="QNG67" s="382"/>
      <c r="QNH67" s="382"/>
      <c r="QNI67" s="382"/>
      <c r="QNJ67" s="382"/>
      <c r="QNK67" s="382"/>
      <c r="QNL67" s="382"/>
      <c r="QNM67" s="382"/>
      <c r="QNN67" s="382"/>
      <c r="QNO67" s="382"/>
      <c r="QNP67" s="382"/>
      <c r="QNQ67" s="382"/>
      <c r="QNR67" s="382"/>
      <c r="QNS67" s="382"/>
      <c r="QNT67" s="382"/>
      <c r="QNU67" s="382"/>
      <c r="QNV67" s="382"/>
      <c r="QNW67" s="382"/>
      <c r="QNX67" s="382"/>
      <c r="QNY67" s="382"/>
      <c r="QNZ67" s="382"/>
      <c r="QOA67" s="382"/>
      <c r="QOB67" s="382"/>
      <c r="QOC67" s="382"/>
      <c r="QOD67" s="382"/>
      <c r="QOE67" s="382"/>
      <c r="QOF67" s="382"/>
      <c r="QOG67" s="382"/>
      <c r="QOH67" s="382"/>
      <c r="QOI67" s="382"/>
      <c r="QOJ67" s="382"/>
      <c r="QOK67" s="382"/>
      <c r="QOL67" s="382"/>
      <c r="QOM67" s="382"/>
      <c r="QON67" s="382"/>
      <c r="QOO67" s="382"/>
      <c r="QOP67" s="382"/>
      <c r="QOQ67" s="382"/>
      <c r="QOR67" s="382"/>
      <c r="QOS67" s="382"/>
      <c r="QOT67" s="382"/>
      <c r="QOU67" s="382"/>
      <c r="QOV67" s="382"/>
      <c r="QOW67" s="382"/>
      <c r="QOX67" s="382"/>
      <c r="QOY67" s="382"/>
      <c r="QOZ67" s="382"/>
      <c r="QPA67" s="382"/>
      <c r="QPB67" s="382"/>
      <c r="QPC67" s="382"/>
      <c r="QPD67" s="382"/>
      <c r="QPE67" s="382"/>
      <c r="QPF67" s="382"/>
      <c r="QPG67" s="382"/>
      <c r="QPH67" s="382"/>
      <c r="QPI67" s="382"/>
      <c r="QPJ67" s="382"/>
      <c r="QPK67" s="382"/>
      <c r="QPL67" s="382"/>
      <c r="QPM67" s="382"/>
      <c r="QPN67" s="382"/>
      <c r="QPO67" s="382"/>
      <c r="QPP67" s="382"/>
      <c r="QPQ67" s="382"/>
      <c r="QPR67" s="382"/>
      <c r="QPS67" s="382"/>
      <c r="QPT67" s="382"/>
      <c r="QPU67" s="382"/>
      <c r="QPV67" s="382"/>
      <c r="QPW67" s="382"/>
      <c r="QPX67" s="382"/>
      <c r="QPY67" s="382"/>
      <c r="QPZ67" s="382"/>
      <c r="QQA67" s="382"/>
      <c r="QQB67" s="382"/>
      <c r="QQC67" s="382"/>
      <c r="QQD67" s="382"/>
      <c r="QQE67" s="382"/>
      <c r="QQF67" s="382"/>
      <c r="QQG67" s="382"/>
      <c r="QQH67" s="382"/>
      <c r="QQI67" s="382"/>
      <c r="QQJ67" s="382"/>
      <c r="QQK67" s="382"/>
      <c r="QQL67" s="382"/>
      <c r="QQM67" s="382"/>
      <c r="QQN67" s="382"/>
      <c r="QQO67" s="382"/>
      <c r="QQP67" s="382"/>
      <c r="QQQ67" s="382"/>
      <c r="QQR67" s="382"/>
      <c r="QQS67" s="382"/>
      <c r="QQT67" s="382"/>
      <c r="QQU67" s="382"/>
      <c r="QQV67" s="382"/>
      <c r="QQW67" s="382"/>
      <c r="QQX67" s="382"/>
      <c r="QQY67" s="382"/>
      <c r="QQZ67" s="382"/>
      <c r="QRA67" s="382"/>
      <c r="QRB67" s="382"/>
      <c r="QRC67" s="382"/>
      <c r="QRD67" s="382"/>
      <c r="QRE67" s="382"/>
      <c r="QRF67" s="382"/>
      <c r="QRG67" s="382"/>
      <c r="QRH67" s="382"/>
      <c r="QRI67" s="382"/>
      <c r="QRJ67" s="382"/>
      <c r="QRK67" s="382"/>
      <c r="QRL67" s="382"/>
      <c r="QRM67" s="382"/>
      <c r="QRN67" s="382"/>
      <c r="QRO67" s="382"/>
      <c r="QRP67" s="382"/>
      <c r="QRQ67" s="382"/>
      <c r="QRR67" s="382"/>
      <c r="QRS67" s="382"/>
      <c r="QRT67" s="382"/>
      <c r="QRU67" s="382"/>
      <c r="QRV67" s="382"/>
      <c r="QRW67" s="382"/>
      <c r="QRX67" s="382"/>
      <c r="QRY67" s="382"/>
      <c r="QRZ67" s="382"/>
      <c r="QSA67" s="382"/>
      <c r="QSB67" s="382"/>
      <c r="QSC67" s="382"/>
      <c r="QSD67" s="382"/>
      <c r="QSE67" s="382"/>
      <c r="QSF67" s="382"/>
      <c r="QSG67" s="382"/>
      <c r="QSH67" s="382"/>
      <c r="QSI67" s="382"/>
      <c r="QSJ67" s="382"/>
      <c r="QSK67" s="382"/>
      <c r="QSL67" s="382"/>
      <c r="QSM67" s="382"/>
      <c r="QSN67" s="382"/>
      <c r="QSO67" s="382"/>
      <c r="QSP67" s="382"/>
      <c r="QSQ67" s="382"/>
      <c r="QSR67" s="382"/>
      <c r="QSS67" s="382"/>
      <c r="QST67" s="382"/>
      <c r="QSU67" s="382"/>
      <c r="QSV67" s="382"/>
      <c r="QSW67" s="382"/>
      <c r="QSX67" s="382"/>
      <c r="QSY67" s="382"/>
      <c r="QSZ67" s="382"/>
      <c r="QTA67" s="382"/>
      <c r="QTB67" s="382"/>
      <c r="QTC67" s="382"/>
      <c r="QTD67" s="382"/>
      <c r="QTE67" s="382"/>
      <c r="QTF67" s="382"/>
      <c r="QTG67" s="382"/>
      <c r="QTH67" s="382"/>
      <c r="QTI67" s="382"/>
      <c r="QTJ67" s="382"/>
      <c r="QTK67" s="382"/>
      <c r="QTL67" s="382"/>
      <c r="QTM67" s="382"/>
      <c r="QTN67" s="382"/>
      <c r="QTO67" s="382"/>
      <c r="QTP67" s="382"/>
      <c r="QTQ67" s="382"/>
      <c r="QTR67" s="382"/>
      <c r="QTS67" s="382"/>
      <c r="QTT67" s="382"/>
      <c r="QTU67" s="382"/>
      <c r="QTV67" s="382"/>
      <c r="QTW67" s="382"/>
      <c r="QTX67" s="382"/>
      <c r="QTY67" s="382"/>
      <c r="QTZ67" s="382"/>
      <c r="QUA67" s="382"/>
      <c r="QUB67" s="382"/>
      <c r="QUC67" s="382"/>
      <c r="QUD67" s="382"/>
      <c r="QUE67" s="382"/>
      <c r="QUF67" s="382"/>
      <c r="QUG67" s="382"/>
      <c r="QUH67" s="382"/>
      <c r="QUI67" s="382"/>
      <c r="QUJ67" s="382"/>
      <c r="QUK67" s="382"/>
      <c r="QUL67" s="382"/>
      <c r="QUM67" s="382"/>
      <c r="QUN67" s="382"/>
      <c r="QUO67" s="382"/>
      <c r="QUP67" s="382"/>
      <c r="QUQ67" s="382"/>
      <c r="QUR67" s="382"/>
      <c r="QUS67" s="382"/>
      <c r="QUT67" s="382"/>
      <c r="QUU67" s="382"/>
      <c r="QUV67" s="382"/>
      <c r="QUW67" s="382"/>
      <c r="QUX67" s="382"/>
      <c r="QUY67" s="382"/>
      <c r="QUZ67" s="382"/>
      <c r="QVA67" s="382"/>
      <c r="QVB67" s="382"/>
      <c r="QVC67" s="382"/>
      <c r="QVD67" s="382"/>
      <c r="QVE67" s="382"/>
      <c r="QVF67" s="382"/>
      <c r="QVG67" s="382"/>
      <c r="QVH67" s="382"/>
      <c r="QVI67" s="382"/>
      <c r="QVJ67" s="382"/>
      <c r="QVK67" s="382"/>
      <c r="QVL67" s="382"/>
      <c r="QVM67" s="382"/>
      <c r="QVN67" s="382"/>
      <c r="QVO67" s="382"/>
      <c r="QVP67" s="382"/>
      <c r="QVQ67" s="382"/>
      <c r="QVR67" s="382"/>
      <c r="QVS67" s="382"/>
      <c r="QVT67" s="382"/>
      <c r="QVU67" s="382"/>
      <c r="QVV67" s="382"/>
      <c r="QVW67" s="382"/>
      <c r="QVX67" s="382"/>
      <c r="QVY67" s="382"/>
      <c r="QVZ67" s="382"/>
      <c r="QWA67" s="382"/>
      <c r="QWB67" s="382"/>
      <c r="QWC67" s="382"/>
      <c r="QWD67" s="382"/>
      <c r="QWE67" s="382"/>
      <c r="QWF67" s="382"/>
      <c r="QWG67" s="382"/>
      <c r="QWH67" s="382"/>
      <c r="QWI67" s="382"/>
      <c r="QWJ67" s="382"/>
      <c r="QWK67" s="382"/>
      <c r="QWL67" s="382"/>
      <c r="QWM67" s="382"/>
      <c r="QWN67" s="382"/>
      <c r="QWO67" s="382"/>
      <c r="QWP67" s="382"/>
      <c r="QWQ67" s="382"/>
      <c r="QWR67" s="382"/>
      <c r="QWS67" s="382"/>
      <c r="QWT67" s="382"/>
      <c r="QWU67" s="382"/>
      <c r="QWV67" s="382"/>
      <c r="QWW67" s="382"/>
      <c r="QWX67" s="382"/>
      <c r="QWY67" s="382"/>
      <c r="QWZ67" s="382"/>
      <c r="QXA67" s="382"/>
      <c r="QXB67" s="382"/>
      <c r="QXC67" s="382"/>
      <c r="QXD67" s="382"/>
      <c r="QXE67" s="382"/>
      <c r="QXF67" s="382"/>
      <c r="QXG67" s="382"/>
      <c r="QXH67" s="382"/>
      <c r="QXI67" s="382"/>
      <c r="QXJ67" s="382"/>
      <c r="QXK67" s="382"/>
      <c r="QXL67" s="382"/>
      <c r="QXM67" s="382"/>
      <c r="QXN67" s="382"/>
      <c r="QXO67" s="382"/>
      <c r="QXP67" s="382"/>
      <c r="QXQ67" s="382"/>
      <c r="QXR67" s="382"/>
      <c r="QXS67" s="382"/>
      <c r="QXT67" s="382"/>
      <c r="QXU67" s="382"/>
      <c r="QXV67" s="382"/>
      <c r="QXW67" s="382"/>
      <c r="QXX67" s="382"/>
      <c r="QXY67" s="382"/>
      <c r="QXZ67" s="382"/>
      <c r="QYA67" s="382"/>
      <c r="QYB67" s="382"/>
      <c r="QYC67" s="382"/>
      <c r="QYD67" s="382"/>
      <c r="QYE67" s="382"/>
      <c r="QYF67" s="382"/>
      <c r="QYG67" s="382"/>
      <c r="QYH67" s="382"/>
      <c r="QYI67" s="382"/>
      <c r="QYJ67" s="382"/>
      <c r="QYK67" s="382"/>
      <c r="QYL67" s="382"/>
      <c r="QYM67" s="382"/>
      <c r="QYN67" s="382"/>
      <c r="QYO67" s="382"/>
      <c r="QYP67" s="382"/>
      <c r="QYQ67" s="382"/>
      <c r="QYR67" s="382"/>
      <c r="QYS67" s="382"/>
      <c r="QYT67" s="382"/>
      <c r="QYU67" s="382"/>
      <c r="QYV67" s="382"/>
      <c r="QYW67" s="382"/>
      <c r="QYX67" s="382"/>
      <c r="QYY67" s="382"/>
      <c r="QYZ67" s="382"/>
      <c r="QZA67" s="382"/>
      <c r="QZB67" s="382"/>
      <c r="QZC67" s="382"/>
      <c r="QZD67" s="382"/>
      <c r="QZE67" s="382"/>
      <c r="QZF67" s="382"/>
      <c r="QZG67" s="382"/>
      <c r="QZH67" s="382"/>
      <c r="QZI67" s="382"/>
      <c r="QZJ67" s="382"/>
      <c r="QZK67" s="382"/>
      <c r="QZL67" s="382"/>
      <c r="QZM67" s="382"/>
      <c r="QZN67" s="382"/>
      <c r="QZO67" s="382"/>
      <c r="QZP67" s="382"/>
      <c r="QZQ67" s="382"/>
      <c r="QZR67" s="382"/>
      <c r="QZS67" s="382"/>
      <c r="QZT67" s="382"/>
      <c r="QZU67" s="382"/>
      <c r="QZV67" s="382"/>
      <c r="QZW67" s="382"/>
      <c r="QZX67" s="382"/>
      <c r="QZY67" s="382"/>
      <c r="QZZ67" s="382"/>
      <c r="RAA67" s="382"/>
      <c r="RAB67" s="382"/>
      <c r="RAC67" s="382"/>
      <c r="RAD67" s="382"/>
      <c r="RAE67" s="382"/>
      <c r="RAF67" s="382"/>
      <c r="RAG67" s="382"/>
      <c r="RAH67" s="382"/>
      <c r="RAI67" s="382"/>
      <c r="RAJ67" s="382"/>
      <c r="RAK67" s="382"/>
      <c r="RAL67" s="382"/>
      <c r="RAM67" s="382"/>
      <c r="RAN67" s="382"/>
      <c r="RAO67" s="382"/>
      <c r="RAP67" s="382"/>
      <c r="RAQ67" s="382"/>
      <c r="RAR67" s="382"/>
      <c r="RAS67" s="382"/>
      <c r="RAT67" s="382"/>
      <c r="RAU67" s="382"/>
      <c r="RAV67" s="382"/>
      <c r="RAW67" s="382"/>
      <c r="RAX67" s="382"/>
      <c r="RAY67" s="382"/>
      <c r="RAZ67" s="382"/>
      <c r="RBA67" s="382"/>
      <c r="RBB67" s="382"/>
      <c r="RBC67" s="382"/>
      <c r="RBD67" s="382"/>
      <c r="RBE67" s="382"/>
      <c r="RBF67" s="382"/>
      <c r="RBG67" s="382"/>
      <c r="RBH67" s="382"/>
      <c r="RBI67" s="382"/>
      <c r="RBJ67" s="382"/>
      <c r="RBK67" s="382"/>
      <c r="RBL67" s="382"/>
      <c r="RBM67" s="382"/>
      <c r="RBN67" s="382"/>
      <c r="RBO67" s="382"/>
      <c r="RBP67" s="382"/>
      <c r="RBQ67" s="382"/>
      <c r="RBR67" s="382"/>
      <c r="RBS67" s="382"/>
      <c r="RBT67" s="382"/>
      <c r="RBU67" s="382"/>
      <c r="RBV67" s="382"/>
      <c r="RBW67" s="382"/>
      <c r="RBX67" s="382"/>
      <c r="RBY67" s="382"/>
      <c r="RBZ67" s="382"/>
      <c r="RCA67" s="382"/>
      <c r="RCB67" s="382"/>
      <c r="RCC67" s="382"/>
      <c r="RCD67" s="382"/>
      <c r="RCE67" s="382"/>
      <c r="RCF67" s="382"/>
      <c r="RCG67" s="382"/>
      <c r="RCH67" s="382"/>
      <c r="RCI67" s="382"/>
      <c r="RCJ67" s="382"/>
      <c r="RCK67" s="382"/>
      <c r="RCL67" s="382"/>
      <c r="RCM67" s="382"/>
      <c r="RCN67" s="382"/>
      <c r="RCO67" s="382"/>
      <c r="RCP67" s="382"/>
      <c r="RCQ67" s="382"/>
      <c r="RCR67" s="382"/>
      <c r="RCS67" s="382"/>
      <c r="RCT67" s="382"/>
      <c r="RCU67" s="382"/>
      <c r="RCV67" s="382"/>
      <c r="RCW67" s="382"/>
      <c r="RCX67" s="382"/>
      <c r="RCY67" s="382"/>
      <c r="RCZ67" s="382"/>
      <c r="RDA67" s="382"/>
      <c r="RDB67" s="382"/>
      <c r="RDC67" s="382"/>
      <c r="RDD67" s="382"/>
      <c r="RDE67" s="382"/>
      <c r="RDF67" s="382"/>
      <c r="RDG67" s="382"/>
      <c r="RDH67" s="382"/>
      <c r="RDI67" s="382"/>
      <c r="RDJ67" s="382"/>
      <c r="RDK67" s="382"/>
      <c r="RDL67" s="382"/>
      <c r="RDM67" s="382"/>
      <c r="RDN67" s="382"/>
      <c r="RDO67" s="382"/>
      <c r="RDP67" s="382"/>
      <c r="RDQ67" s="382"/>
      <c r="RDR67" s="382"/>
      <c r="RDS67" s="382"/>
      <c r="RDT67" s="382"/>
      <c r="RDU67" s="382"/>
      <c r="RDV67" s="382"/>
      <c r="RDW67" s="382"/>
      <c r="RDX67" s="382"/>
      <c r="RDY67" s="382"/>
      <c r="RDZ67" s="382"/>
      <c r="REA67" s="382"/>
      <c r="REB67" s="382"/>
      <c r="REC67" s="382"/>
      <c r="RED67" s="382"/>
      <c r="REE67" s="382"/>
      <c r="REF67" s="382"/>
      <c r="REG67" s="382"/>
      <c r="REH67" s="382"/>
      <c r="REI67" s="382"/>
      <c r="REJ67" s="382"/>
      <c r="REK67" s="382"/>
      <c r="REL67" s="382"/>
      <c r="REM67" s="382"/>
      <c r="REN67" s="382"/>
      <c r="REO67" s="382"/>
      <c r="REP67" s="382"/>
      <c r="REQ67" s="382"/>
      <c r="RER67" s="382"/>
      <c r="RES67" s="382"/>
      <c r="RET67" s="382"/>
      <c r="REU67" s="382"/>
      <c r="REV67" s="382"/>
      <c r="REW67" s="382"/>
      <c r="REX67" s="382"/>
      <c r="REY67" s="382"/>
      <c r="REZ67" s="382"/>
      <c r="RFA67" s="382"/>
      <c r="RFB67" s="382"/>
      <c r="RFC67" s="382"/>
      <c r="RFD67" s="382"/>
      <c r="RFE67" s="382"/>
      <c r="RFF67" s="382"/>
      <c r="RFG67" s="382"/>
      <c r="RFH67" s="382"/>
      <c r="RFI67" s="382"/>
      <c r="RFJ67" s="382"/>
      <c r="RFK67" s="382"/>
      <c r="RFL67" s="382"/>
      <c r="RFM67" s="382"/>
      <c r="RFN67" s="382"/>
      <c r="RFO67" s="382"/>
      <c r="RFP67" s="382"/>
      <c r="RFQ67" s="382"/>
      <c r="RFR67" s="382"/>
      <c r="RFS67" s="382"/>
      <c r="RFT67" s="382"/>
      <c r="RFU67" s="382"/>
      <c r="RFV67" s="382"/>
      <c r="RFW67" s="382"/>
      <c r="RFX67" s="382"/>
      <c r="RFY67" s="382"/>
      <c r="RFZ67" s="382"/>
      <c r="RGA67" s="382"/>
      <c r="RGB67" s="382"/>
      <c r="RGC67" s="382"/>
      <c r="RGD67" s="382"/>
      <c r="RGE67" s="382"/>
      <c r="RGF67" s="382"/>
      <c r="RGG67" s="382"/>
      <c r="RGH67" s="382"/>
      <c r="RGI67" s="382"/>
      <c r="RGJ67" s="382"/>
      <c r="RGK67" s="382"/>
      <c r="RGL67" s="382"/>
      <c r="RGM67" s="382"/>
      <c r="RGN67" s="382"/>
      <c r="RGO67" s="382"/>
      <c r="RGP67" s="382"/>
      <c r="RGQ67" s="382"/>
      <c r="RGR67" s="382"/>
      <c r="RGS67" s="382"/>
      <c r="RGT67" s="382"/>
      <c r="RGU67" s="382"/>
      <c r="RGV67" s="382"/>
      <c r="RGW67" s="382"/>
      <c r="RGX67" s="382"/>
      <c r="RGY67" s="382"/>
      <c r="RGZ67" s="382"/>
      <c r="RHA67" s="382"/>
      <c r="RHB67" s="382"/>
      <c r="RHC67" s="382"/>
      <c r="RHD67" s="382"/>
      <c r="RHE67" s="382"/>
      <c r="RHF67" s="382"/>
      <c r="RHG67" s="382"/>
      <c r="RHH67" s="382"/>
      <c r="RHI67" s="382"/>
      <c r="RHJ67" s="382"/>
      <c r="RHK67" s="382"/>
      <c r="RHL67" s="382"/>
      <c r="RHM67" s="382"/>
      <c r="RHN67" s="382"/>
      <c r="RHO67" s="382"/>
      <c r="RHP67" s="382"/>
      <c r="RHQ67" s="382"/>
      <c r="RHR67" s="382"/>
      <c r="RHS67" s="382"/>
      <c r="RHT67" s="382"/>
      <c r="RHU67" s="382"/>
      <c r="RHV67" s="382"/>
      <c r="RHW67" s="382"/>
      <c r="RHX67" s="382"/>
      <c r="RHY67" s="382"/>
      <c r="RHZ67" s="382"/>
      <c r="RIA67" s="382"/>
      <c r="RIB67" s="382"/>
      <c r="RIC67" s="382"/>
      <c r="RID67" s="382"/>
      <c r="RIE67" s="382"/>
      <c r="RIF67" s="382"/>
      <c r="RIG67" s="382"/>
      <c r="RIH67" s="382"/>
      <c r="RII67" s="382"/>
      <c r="RIJ67" s="382"/>
      <c r="RIK67" s="382"/>
      <c r="RIL67" s="382"/>
      <c r="RIM67" s="382"/>
      <c r="RIN67" s="382"/>
      <c r="RIO67" s="382"/>
      <c r="RIP67" s="382"/>
      <c r="RIQ67" s="382"/>
      <c r="RIR67" s="382"/>
      <c r="RIS67" s="382"/>
      <c r="RIT67" s="382"/>
      <c r="RIU67" s="382"/>
      <c r="RIV67" s="382"/>
      <c r="RIW67" s="382"/>
      <c r="RIX67" s="382"/>
      <c r="RIY67" s="382"/>
      <c r="RIZ67" s="382"/>
      <c r="RJA67" s="382"/>
      <c r="RJB67" s="382"/>
      <c r="RJC67" s="382"/>
      <c r="RJD67" s="382"/>
      <c r="RJE67" s="382"/>
      <c r="RJF67" s="382"/>
      <c r="RJG67" s="382"/>
      <c r="RJH67" s="382"/>
      <c r="RJI67" s="382"/>
      <c r="RJJ67" s="382"/>
      <c r="RJK67" s="382"/>
      <c r="RJL67" s="382"/>
      <c r="RJM67" s="382"/>
      <c r="RJN67" s="382"/>
      <c r="RJO67" s="382"/>
      <c r="RJP67" s="382"/>
      <c r="RJQ67" s="382"/>
      <c r="RJR67" s="382"/>
      <c r="RJS67" s="382"/>
      <c r="RJT67" s="382"/>
      <c r="RJU67" s="382"/>
      <c r="RJV67" s="382"/>
      <c r="RJW67" s="382"/>
      <c r="RJX67" s="382"/>
      <c r="RJY67" s="382"/>
      <c r="RJZ67" s="382"/>
      <c r="RKA67" s="382"/>
      <c r="RKB67" s="382"/>
      <c r="RKC67" s="382"/>
      <c r="RKD67" s="382"/>
      <c r="RKE67" s="382"/>
      <c r="RKF67" s="382"/>
      <c r="RKG67" s="382"/>
      <c r="RKH67" s="382"/>
      <c r="RKI67" s="382"/>
      <c r="RKJ67" s="382"/>
      <c r="RKK67" s="382"/>
      <c r="RKL67" s="382"/>
      <c r="RKM67" s="382"/>
      <c r="RKN67" s="382"/>
      <c r="RKO67" s="382"/>
      <c r="RKP67" s="382"/>
      <c r="RKQ67" s="382"/>
      <c r="RKR67" s="382"/>
      <c r="RKS67" s="382"/>
      <c r="RKT67" s="382"/>
      <c r="RKU67" s="382"/>
      <c r="RKV67" s="382"/>
      <c r="RKW67" s="382"/>
      <c r="RKX67" s="382"/>
      <c r="RKY67" s="382"/>
      <c r="RKZ67" s="382"/>
      <c r="RLA67" s="382"/>
      <c r="RLB67" s="382"/>
      <c r="RLC67" s="382"/>
      <c r="RLD67" s="382"/>
      <c r="RLE67" s="382"/>
      <c r="RLF67" s="382"/>
      <c r="RLG67" s="382"/>
      <c r="RLH67" s="382"/>
      <c r="RLI67" s="382"/>
      <c r="RLJ67" s="382"/>
      <c r="RLK67" s="382"/>
      <c r="RLL67" s="382"/>
      <c r="RLM67" s="382"/>
      <c r="RLN67" s="382"/>
      <c r="RLO67" s="382"/>
      <c r="RLP67" s="382"/>
      <c r="RLQ67" s="382"/>
      <c r="RLR67" s="382"/>
      <c r="RLS67" s="382"/>
      <c r="RLT67" s="382"/>
      <c r="RLU67" s="382"/>
      <c r="RLV67" s="382"/>
      <c r="RLW67" s="382"/>
      <c r="RLX67" s="382"/>
      <c r="RLY67" s="382"/>
      <c r="RLZ67" s="382"/>
      <c r="RMA67" s="382"/>
      <c r="RMB67" s="382"/>
      <c r="RMC67" s="382"/>
      <c r="RMD67" s="382"/>
      <c r="RME67" s="382"/>
      <c r="RMF67" s="382"/>
      <c r="RMG67" s="382"/>
      <c r="RMH67" s="382"/>
      <c r="RMI67" s="382"/>
      <c r="RMJ67" s="382"/>
      <c r="RMK67" s="382"/>
      <c r="RML67" s="382"/>
      <c r="RMM67" s="382"/>
      <c r="RMN67" s="382"/>
      <c r="RMO67" s="382"/>
      <c r="RMP67" s="382"/>
      <c r="RMQ67" s="382"/>
      <c r="RMR67" s="382"/>
      <c r="RMS67" s="382"/>
      <c r="RMT67" s="382"/>
      <c r="RMU67" s="382"/>
      <c r="RMV67" s="382"/>
      <c r="RMW67" s="382"/>
      <c r="RMX67" s="382"/>
      <c r="RMY67" s="382"/>
      <c r="RMZ67" s="382"/>
      <c r="RNA67" s="382"/>
      <c r="RNB67" s="382"/>
      <c r="RNC67" s="382"/>
      <c r="RND67" s="382"/>
      <c r="RNE67" s="382"/>
      <c r="RNF67" s="382"/>
      <c r="RNG67" s="382"/>
      <c r="RNH67" s="382"/>
      <c r="RNI67" s="382"/>
      <c r="RNJ67" s="382"/>
      <c r="RNK67" s="382"/>
      <c r="RNL67" s="382"/>
      <c r="RNM67" s="382"/>
      <c r="RNN67" s="382"/>
      <c r="RNO67" s="382"/>
      <c r="RNP67" s="382"/>
      <c r="RNQ67" s="382"/>
      <c r="RNR67" s="382"/>
      <c r="RNS67" s="382"/>
      <c r="RNT67" s="382"/>
      <c r="RNU67" s="382"/>
      <c r="RNV67" s="382"/>
      <c r="RNW67" s="382"/>
      <c r="RNX67" s="382"/>
      <c r="RNY67" s="382"/>
      <c r="RNZ67" s="382"/>
      <c r="ROA67" s="382"/>
      <c r="ROB67" s="382"/>
      <c r="ROC67" s="382"/>
      <c r="ROD67" s="382"/>
      <c r="ROE67" s="382"/>
      <c r="ROF67" s="382"/>
      <c r="ROG67" s="382"/>
      <c r="ROH67" s="382"/>
      <c r="ROI67" s="382"/>
      <c r="ROJ67" s="382"/>
      <c r="ROK67" s="382"/>
      <c r="ROL67" s="382"/>
      <c r="ROM67" s="382"/>
      <c r="RON67" s="382"/>
      <c r="ROO67" s="382"/>
      <c r="ROP67" s="382"/>
      <c r="ROQ67" s="382"/>
      <c r="ROR67" s="382"/>
      <c r="ROS67" s="382"/>
      <c r="ROT67" s="382"/>
      <c r="ROU67" s="382"/>
      <c r="ROV67" s="382"/>
      <c r="ROW67" s="382"/>
      <c r="ROX67" s="382"/>
      <c r="ROY67" s="382"/>
      <c r="ROZ67" s="382"/>
      <c r="RPA67" s="382"/>
      <c r="RPB67" s="382"/>
      <c r="RPC67" s="382"/>
      <c r="RPD67" s="382"/>
      <c r="RPE67" s="382"/>
      <c r="RPF67" s="382"/>
      <c r="RPG67" s="382"/>
      <c r="RPH67" s="382"/>
      <c r="RPI67" s="382"/>
      <c r="RPJ67" s="382"/>
      <c r="RPK67" s="382"/>
      <c r="RPL67" s="382"/>
      <c r="RPM67" s="382"/>
      <c r="RPN67" s="382"/>
      <c r="RPO67" s="382"/>
      <c r="RPP67" s="382"/>
      <c r="RPQ67" s="382"/>
      <c r="RPR67" s="382"/>
      <c r="RPS67" s="382"/>
      <c r="RPT67" s="382"/>
      <c r="RPU67" s="382"/>
      <c r="RPV67" s="382"/>
      <c r="RPW67" s="382"/>
      <c r="RPX67" s="382"/>
      <c r="RPY67" s="382"/>
      <c r="RPZ67" s="382"/>
      <c r="RQA67" s="382"/>
      <c r="RQB67" s="382"/>
      <c r="RQC67" s="382"/>
      <c r="RQD67" s="382"/>
      <c r="RQE67" s="382"/>
      <c r="RQF67" s="382"/>
      <c r="RQG67" s="382"/>
      <c r="RQH67" s="382"/>
      <c r="RQI67" s="382"/>
      <c r="RQJ67" s="382"/>
      <c r="RQK67" s="382"/>
      <c r="RQL67" s="382"/>
      <c r="RQM67" s="382"/>
      <c r="RQN67" s="382"/>
      <c r="RQO67" s="382"/>
      <c r="RQP67" s="382"/>
      <c r="RQQ67" s="382"/>
      <c r="RQR67" s="382"/>
      <c r="RQS67" s="382"/>
      <c r="RQT67" s="382"/>
      <c r="RQU67" s="382"/>
      <c r="RQV67" s="382"/>
      <c r="RQW67" s="382"/>
      <c r="RQX67" s="382"/>
      <c r="RQY67" s="382"/>
      <c r="RQZ67" s="382"/>
      <c r="RRA67" s="382"/>
      <c r="RRB67" s="382"/>
      <c r="RRC67" s="382"/>
      <c r="RRD67" s="382"/>
      <c r="RRE67" s="382"/>
      <c r="RRF67" s="382"/>
      <c r="RRG67" s="382"/>
      <c r="RRH67" s="382"/>
      <c r="RRI67" s="382"/>
      <c r="RRJ67" s="382"/>
      <c r="RRK67" s="382"/>
      <c r="RRL67" s="382"/>
      <c r="RRM67" s="382"/>
      <c r="RRN67" s="382"/>
      <c r="RRO67" s="382"/>
      <c r="RRP67" s="382"/>
      <c r="RRQ67" s="382"/>
      <c r="RRR67" s="382"/>
      <c r="RRS67" s="382"/>
      <c r="RRT67" s="382"/>
      <c r="RRU67" s="382"/>
      <c r="RRV67" s="382"/>
      <c r="RRW67" s="382"/>
      <c r="RRX67" s="382"/>
      <c r="RRY67" s="382"/>
      <c r="RRZ67" s="382"/>
      <c r="RSA67" s="382"/>
      <c r="RSB67" s="382"/>
      <c r="RSC67" s="382"/>
      <c r="RSD67" s="382"/>
      <c r="RSE67" s="382"/>
      <c r="RSF67" s="382"/>
      <c r="RSG67" s="382"/>
      <c r="RSH67" s="382"/>
      <c r="RSI67" s="382"/>
      <c r="RSJ67" s="382"/>
      <c r="RSK67" s="382"/>
      <c r="RSL67" s="382"/>
      <c r="RSM67" s="382"/>
      <c r="RSN67" s="382"/>
      <c r="RSO67" s="382"/>
      <c r="RSP67" s="382"/>
      <c r="RSQ67" s="382"/>
      <c r="RSR67" s="382"/>
      <c r="RSS67" s="382"/>
      <c r="RST67" s="382"/>
      <c r="RSU67" s="382"/>
      <c r="RSV67" s="382"/>
      <c r="RSW67" s="382"/>
      <c r="RSX67" s="382"/>
      <c r="RSY67" s="382"/>
      <c r="RSZ67" s="382"/>
      <c r="RTA67" s="382"/>
      <c r="RTB67" s="382"/>
      <c r="RTC67" s="382"/>
      <c r="RTD67" s="382"/>
      <c r="RTE67" s="382"/>
      <c r="RTF67" s="382"/>
      <c r="RTG67" s="382"/>
      <c r="RTH67" s="382"/>
      <c r="RTI67" s="382"/>
      <c r="RTJ67" s="382"/>
      <c r="RTK67" s="382"/>
      <c r="RTL67" s="382"/>
      <c r="RTM67" s="382"/>
      <c r="RTN67" s="382"/>
      <c r="RTO67" s="382"/>
      <c r="RTP67" s="382"/>
      <c r="RTQ67" s="382"/>
      <c r="RTR67" s="382"/>
      <c r="RTS67" s="382"/>
      <c r="RTT67" s="382"/>
      <c r="RTU67" s="382"/>
      <c r="RTV67" s="382"/>
      <c r="RTW67" s="382"/>
      <c r="RTX67" s="382"/>
      <c r="RTY67" s="382"/>
      <c r="RTZ67" s="382"/>
      <c r="RUA67" s="382"/>
      <c r="RUB67" s="382"/>
      <c r="RUC67" s="382"/>
      <c r="RUD67" s="382"/>
      <c r="RUE67" s="382"/>
      <c r="RUF67" s="382"/>
      <c r="RUG67" s="382"/>
      <c r="RUH67" s="382"/>
      <c r="RUI67" s="382"/>
      <c r="RUJ67" s="382"/>
      <c r="RUK67" s="382"/>
      <c r="RUL67" s="382"/>
      <c r="RUM67" s="382"/>
      <c r="RUN67" s="382"/>
      <c r="RUO67" s="382"/>
      <c r="RUP67" s="382"/>
      <c r="RUQ67" s="382"/>
      <c r="RUR67" s="382"/>
      <c r="RUS67" s="382"/>
      <c r="RUT67" s="382"/>
      <c r="RUU67" s="382"/>
      <c r="RUV67" s="382"/>
      <c r="RUW67" s="382"/>
      <c r="RUX67" s="382"/>
      <c r="RUY67" s="382"/>
      <c r="RUZ67" s="382"/>
      <c r="RVA67" s="382"/>
      <c r="RVB67" s="382"/>
      <c r="RVC67" s="382"/>
      <c r="RVD67" s="382"/>
      <c r="RVE67" s="382"/>
      <c r="RVF67" s="382"/>
      <c r="RVG67" s="382"/>
      <c r="RVH67" s="382"/>
      <c r="RVI67" s="382"/>
      <c r="RVJ67" s="382"/>
      <c r="RVK67" s="382"/>
      <c r="RVL67" s="382"/>
      <c r="RVM67" s="382"/>
      <c r="RVN67" s="382"/>
      <c r="RVO67" s="382"/>
      <c r="RVP67" s="382"/>
      <c r="RVQ67" s="382"/>
      <c r="RVR67" s="382"/>
      <c r="RVS67" s="382"/>
      <c r="RVT67" s="382"/>
      <c r="RVU67" s="382"/>
      <c r="RVV67" s="382"/>
      <c r="RVW67" s="382"/>
      <c r="RVX67" s="382"/>
      <c r="RVY67" s="382"/>
      <c r="RVZ67" s="382"/>
      <c r="RWA67" s="382"/>
      <c r="RWB67" s="382"/>
      <c r="RWC67" s="382"/>
      <c r="RWD67" s="382"/>
      <c r="RWE67" s="382"/>
      <c r="RWF67" s="382"/>
      <c r="RWG67" s="382"/>
      <c r="RWH67" s="382"/>
      <c r="RWI67" s="382"/>
      <c r="RWJ67" s="382"/>
      <c r="RWK67" s="382"/>
      <c r="RWL67" s="382"/>
      <c r="RWM67" s="382"/>
      <c r="RWN67" s="382"/>
      <c r="RWO67" s="382"/>
      <c r="RWP67" s="382"/>
      <c r="RWQ67" s="382"/>
      <c r="RWR67" s="382"/>
      <c r="RWS67" s="382"/>
      <c r="RWT67" s="382"/>
      <c r="RWU67" s="382"/>
      <c r="RWV67" s="382"/>
      <c r="RWW67" s="382"/>
      <c r="RWX67" s="382"/>
      <c r="RWY67" s="382"/>
      <c r="RWZ67" s="382"/>
      <c r="RXA67" s="382"/>
      <c r="RXB67" s="382"/>
      <c r="RXC67" s="382"/>
      <c r="RXD67" s="382"/>
      <c r="RXE67" s="382"/>
      <c r="RXF67" s="382"/>
      <c r="RXG67" s="382"/>
      <c r="RXH67" s="382"/>
      <c r="RXI67" s="382"/>
      <c r="RXJ67" s="382"/>
      <c r="RXK67" s="382"/>
      <c r="RXL67" s="382"/>
      <c r="RXM67" s="382"/>
      <c r="RXN67" s="382"/>
      <c r="RXO67" s="382"/>
      <c r="RXP67" s="382"/>
      <c r="RXQ67" s="382"/>
      <c r="RXR67" s="382"/>
      <c r="RXS67" s="382"/>
      <c r="RXT67" s="382"/>
      <c r="RXU67" s="382"/>
      <c r="RXV67" s="382"/>
      <c r="RXW67" s="382"/>
      <c r="RXX67" s="382"/>
      <c r="RXY67" s="382"/>
      <c r="RXZ67" s="382"/>
      <c r="RYA67" s="382"/>
      <c r="RYB67" s="382"/>
      <c r="RYC67" s="382"/>
      <c r="RYD67" s="382"/>
      <c r="RYE67" s="382"/>
      <c r="RYF67" s="382"/>
      <c r="RYG67" s="382"/>
      <c r="RYH67" s="382"/>
      <c r="RYI67" s="382"/>
      <c r="RYJ67" s="382"/>
      <c r="RYK67" s="382"/>
      <c r="RYL67" s="382"/>
      <c r="RYM67" s="382"/>
      <c r="RYN67" s="382"/>
      <c r="RYO67" s="382"/>
      <c r="RYP67" s="382"/>
      <c r="RYQ67" s="382"/>
      <c r="RYR67" s="382"/>
      <c r="RYS67" s="382"/>
      <c r="RYT67" s="382"/>
      <c r="RYU67" s="382"/>
      <c r="RYV67" s="382"/>
      <c r="RYW67" s="382"/>
      <c r="RYX67" s="382"/>
      <c r="RYY67" s="382"/>
      <c r="RYZ67" s="382"/>
      <c r="RZA67" s="382"/>
      <c r="RZB67" s="382"/>
      <c r="RZC67" s="382"/>
      <c r="RZD67" s="382"/>
      <c r="RZE67" s="382"/>
      <c r="RZF67" s="382"/>
      <c r="RZG67" s="382"/>
      <c r="RZH67" s="382"/>
      <c r="RZI67" s="382"/>
      <c r="RZJ67" s="382"/>
      <c r="RZK67" s="382"/>
      <c r="RZL67" s="382"/>
      <c r="RZM67" s="382"/>
      <c r="RZN67" s="382"/>
      <c r="RZO67" s="382"/>
      <c r="RZP67" s="382"/>
      <c r="RZQ67" s="382"/>
      <c r="RZR67" s="382"/>
      <c r="RZS67" s="382"/>
      <c r="RZT67" s="382"/>
      <c r="RZU67" s="382"/>
      <c r="RZV67" s="382"/>
      <c r="RZW67" s="382"/>
      <c r="RZX67" s="382"/>
      <c r="RZY67" s="382"/>
      <c r="RZZ67" s="382"/>
      <c r="SAA67" s="382"/>
      <c r="SAB67" s="382"/>
      <c r="SAC67" s="382"/>
      <c r="SAD67" s="382"/>
      <c r="SAE67" s="382"/>
      <c r="SAF67" s="382"/>
      <c r="SAG67" s="382"/>
      <c r="SAH67" s="382"/>
      <c r="SAI67" s="382"/>
      <c r="SAJ67" s="382"/>
      <c r="SAK67" s="382"/>
      <c r="SAL67" s="382"/>
      <c r="SAM67" s="382"/>
      <c r="SAN67" s="382"/>
      <c r="SAO67" s="382"/>
      <c r="SAP67" s="382"/>
      <c r="SAQ67" s="382"/>
      <c r="SAR67" s="382"/>
      <c r="SAS67" s="382"/>
      <c r="SAT67" s="382"/>
      <c r="SAU67" s="382"/>
      <c r="SAV67" s="382"/>
      <c r="SAW67" s="382"/>
      <c r="SAX67" s="382"/>
      <c r="SAY67" s="382"/>
      <c r="SAZ67" s="382"/>
      <c r="SBA67" s="382"/>
      <c r="SBB67" s="382"/>
      <c r="SBC67" s="382"/>
      <c r="SBD67" s="382"/>
      <c r="SBE67" s="382"/>
      <c r="SBF67" s="382"/>
      <c r="SBG67" s="382"/>
      <c r="SBH67" s="382"/>
      <c r="SBI67" s="382"/>
      <c r="SBJ67" s="382"/>
      <c r="SBK67" s="382"/>
      <c r="SBL67" s="382"/>
      <c r="SBM67" s="382"/>
      <c r="SBN67" s="382"/>
      <c r="SBO67" s="382"/>
      <c r="SBP67" s="382"/>
      <c r="SBQ67" s="382"/>
      <c r="SBR67" s="382"/>
      <c r="SBS67" s="382"/>
      <c r="SBT67" s="382"/>
      <c r="SBU67" s="382"/>
      <c r="SBV67" s="382"/>
      <c r="SBW67" s="382"/>
      <c r="SBX67" s="382"/>
      <c r="SBY67" s="382"/>
      <c r="SBZ67" s="382"/>
      <c r="SCA67" s="382"/>
      <c r="SCB67" s="382"/>
      <c r="SCC67" s="382"/>
      <c r="SCD67" s="382"/>
      <c r="SCE67" s="382"/>
      <c r="SCF67" s="382"/>
      <c r="SCG67" s="382"/>
      <c r="SCH67" s="382"/>
      <c r="SCI67" s="382"/>
      <c r="SCJ67" s="382"/>
      <c r="SCK67" s="382"/>
      <c r="SCL67" s="382"/>
      <c r="SCM67" s="382"/>
      <c r="SCN67" s="382"/>
      <c r="SCO67" s="382"/>
      <c r="SCP67" s="382"/>
      <c r="SCQ67" s="382"/>
      <c r="SCR67" s="382"/>
      <c r="SCS67" s="382"/>
      <c r="SCT67" s="382"/>
      <c r="SCU67" s="382"/>
      <c r="SCV67" s="382"/>
      <c r="SCW67" s="382"/>
      <c r="SCX67" s="382"/>
      <c r="SCY67" s="382"/>
      <c r="SCZ67" s="382"/>
      <c r="SDA67" s="382"/>
      <c r="SDB67" s="382"/>
      <c r="SDC67" s="382"/>
      <c r="SDD67" s="382"/>
      <c r="SDE67" s="382"/>
      <c r="SDF67" s="382"/>
      <c r="SDG67" s="382"/>
      <c r="SDH67" s="382"/>
      <c r="SDI67" s="382"/>
      <c r="SDJ67" s="382"/>
      <c r="SDK67" s="382"/>
      <c r="SDL67" s="382"/>
      <c r="SDM67" s="382"/>
      <c r="SDN67" s="382"/>
      <c r="SDO67" s="382"/>
      <c r="SDP67" s="382"/>
      <c r="SDQ67" s="382"/>
      <c r="SDR67" s="382"/>
      <c r="SDS67" s="382"/>
      <c r="SDT67" s="382"/>
      <c r="SDU67" s="382"/>
      <c r="SDV67" s="382"/>
      <c r="SDW67" s="382"/>
      <c r="SDX67" s="382"/>
      <c r="SDY67" s="382"/>
      <c r="SDZ67" s="382"/>
      <c r="SEA67" s="382"/>
      <c r="SEB67" s="382"/>
      <c r="SEC67" s="382"/>
      <c r="SED67" s="382"/>
      <c r="SEE67" s="382"/>
      <c r="SEF67" s="382"/>
      <c r="SEG67" s="382"/>
      <c r="SEH67" s="382"/>
      <c r="SEI67" s="382"/>
      <c r="SEJ67" s="382"/>
      <c r="SEK67" s="382"/>
      <c r="SEL67" s="382"/>
      <c r="SEM67" s="382"/>
      <c r="SEN67" s="382"/>
      <c r="SEO67" s="382"/>
      <c r="SEP67" s="382"/>
      <c r="SEQ67" s="382"/>
      <c r="SER67" s="382"/>
      <c r="SES67" s="382"/>
      <c r="SET67" s="382"/>
      <c r="SEU67" s="382"/>
      <c r="SEV67" s="382"/>
      <c r="SEW67" s="382"/>
      <c r="SEX67" s="382"/>
      <c r="SEY67" s="382"/>
      <c r="SEZ67" s="382"/>
      <c r="SFA67" s="382"/>
      <c r="SFB67" s="382"/>
      <c r="SFC67" s="382"/>
      <c r="SFD67" s="382"/>
      <c r="SFE67" s="382"/>
      <c r="SFF67" s="382"/>
      <c r="SFG67" s="382"/>
      <c r="SFH67" s="382"/>
      <c r="SFI67" s="382"/>
      <c r="SFJ67" s="382"/>
      <c r="SFK67" s="382"/>
      <c r="SFL67" s="382"/>
      <c r="SFM67" s="382"/>
      <c r="SFN67" s="382"/>
      <c r="SFO67" s="382"/>
      <c r="SFP67" s="382"/>
      <c r="SFQ67" s="382"/>
      <c r="SFR67" s="382"/>
      <c r="SFS67" s="382"/>
      <c r="SFT67" s="382"/>
      <c r="SFU67" s="382"/>
      <c r="SFV67" s="382"/>
      <c r="SFW67" s="382"/>
      <c r="SFX67" s="382"/>
      <c r="SFY67" s="382"/>
      <c r="SFZ67" s="382"/>
      <c r="SGA67" s="382"/>
      <c r="SGB67" s="382"/>
      <c r="SGC67" s="382"/>
      <c r="SGD67" s="382"/>
      <c r="SGE67" s="382"/>
      <c r="SGF67" s="382"/>
      <c r="SGG67" s="382"/>
      <c r="SGH67" s="382"/>
      <c r="SGI67" s="382"/>
      <c r="SGJ67" s="382"/>
      <c r="SGK67" s="382"/>
      <c r="SGL67" s="382"/>
      <c r="SGM67" s="382"/>
      <c r="SGN67" s="382"/>
      <c r="SGO67" s="382"/>
      <c r="SGP67" s="382"/>
      <c r="SGQ67" s="382"/>
      <c r="SGR67" s="382"/>
      <c r="SGS67" s="382"/>
      <c r="SGT67" s="382"/>
      <c r="SGU67" s="382"/>
      <c r="SGV67" s="382"/>
      <c r="SGW67" s="382"/>
      <c r="SGX67" s="382"/>
      <c r="SGY67" s="382"/>
      <c r="SGZ67" s="382"/>
      <c r="SHA67" s="382"/>
      <c r="SHB67" s="382"/>
      <c r="SHC67" s="382"/>
      <c r="SHD67" s="382"/>
      <c r="SHE67" s="382"/>
      <c r="SHF67" s="382"/>
      <c r="SHG67" s="382"/>
      <c r="SHH67" s="382"/>
      <c r="SHI67" s="382"/>
      <c r="SHJ67" s="382"/>
      <c r="SHK67" s="382"/>
      <c r="SHL67" s="382"/>
      <c r="SHM67" s="382"/>
      <c r="SHN67" s="382"/>
      <c r="SHO67" s="382"/>
      <c r="SHP67" s="382"/>
      <c r="SHQ67" s="382"/>
      <c r="SHR67" s="382"/>
      <c r="SHS67" s="382"/>
      <c r="SHT67" s="382"/>
      <c r="SHU67" s="382"/>
      <c r="SHV67" s="382"/>
      <c r="SHW67" s="382"/>
      <c r="SHX67" s="382"/>
      <c r="SHY67" s="382"/>
      <c r="SHZ67" s="382"/>
      <c r="SIA67" s="382"/>
      <c r="SIB67" s="382"/>
      <c r="SIC67" s="382"/>
      <c r="SID67" s="382"/>
      <c r="SIE67" s="382"/>
      <c r="SIF67" s="382"/>
      <c r="SIG67" s="382"/>
      <c r="SIH67" s="382"/>
      <c r="SII67" s="382"/>
      <c r="SIJ67" s="382"/>
      <c r="SIK67" s="382"/>
      <c r="SIL67" s="382"/>
      <c r="SIM67" s="382"/>
      <c r="SIN67" s="382"/>
      <c r="SIO67" s="382"/>
      <c r="SIP67" s="382"/>
      <c r="SIQ67" s="382"/>
      <c r="SIR67" s="382"/>
      <c r="SIS67" s="382"/>
      <c r="SIT67" s="382"/>
      <c r="SIU67" s="382"/>
      <c r="SIV67" s="382"/>
      <c r="SIW67" s="382"/>
      <c r="SIX67" s="382"/>
      <c r="SIY67" s="382"/>
      <c r="SIZ67" s="382"/>
      <c r="SJA67" s="382"/>
      <c r="SJB67" s="382"/>
      <c r="SJC67" s="382"/>
      <c r="SJD67" s="382"/>
      <c r="SJE67" s="382"/>
      <c r="SJF67" s="382"/>
      <c r="SJG67" s="382"/>
      <c r="SJH67" s="382"/>
      <c r="SJI67" s="382"/>
      <c r="SJJ67" s="382"/>
      <c r="SJK67" s="382"/>
      <c r="SJL67" s="382"/>
      <c r="SJM67" s="382"/>
      <c r="SJN67" s="382"/>
      <c r="SJO67" s="382"/>
      <c r="SJP67" s="382"/>
      <c r="SJQ67" s="382"/>
      <c r="SJR67" s="382"/>
      <c r="SJS67" s="382"/>
      <c r="SJT67" s="382"/>
      <c r="SJU67" s="382"/>
      <c r="SJV67" s="382"/>
      <c r="SJW67" s="382"/>
      <c r="SJX67" s="382"/>
      <c r="SJY67" s="382"/>
      <c r="SJZ67" s="382"/>
      <c r="SKA67" s="382"/>
      <c r="SKB67" s="382"/>
      <c r="SKC67" s="382"/>
      <c r="SKD67" s="382"/>
      <c r="SKE67" s="382"/>
      <c r="SKF67" s="382"/>
      <c r="SKG67" s="382"/>
      <c r="SKH67" s="382"/>
      <c r="SKI67" s="382"/>
      <c r="SKJ67" s="382"/>
      <c r="SKK67" s="382"/>
      <c r="SKL67" s="382"/>
      <c r="SKM67" s="382"/>
      <c r="SKN67" s="382"/>
      <c r="SKO67" s="382"/>
      <c r="SKP67" s="382"/>
      <c r="SKQ67" s="382"/>
      <c r="SKR67" s="382"/>
      <c r="SKS67" s="382"/>
      <c r="SKT67" s="382"/>
      <c r="SKU67" s="382"/>
      <c r="SKV67" s="382"/>
      <c r="SKW67" s="382"/>
      <c r="SKX67" s="382"/>
      <c r="SKY67" s="382"/>
      <c r="SKZ67" s="382"/>
      <c r="SLA67" s="382"/>
      <c r="SLB67" s="382"/>
      <c r="SLC67" s="382"/>
      <c r="SLD67" s="382"/>
      <c r="SLE67" s="382"/>
      <c r="SLF67" s="382"/>
      <c r="SLG67" s="382"/>
      <c r="SLH67" s="382"/>
      <c r="SLI67" s="382"/>
      <c r="SLJ67" s="382"/>
      <c r="SLK67" s="382"/>
      <c r="SLL67" s="382"/>
      <c r="SLM67" s="382"/>
      <c r="SLN67" s="382"/>
      <c r="SLO67" s="382"/>
      <c r="SLP67" s="382"/>
      <c r="SLQ67" s="382"/>
      <c r="SLR67" s="382"/>
      <c r="SLS67" s="382"/>
      <c r="SLT67" s="382"/>
      <c r="SLU67" s="382"/>
      <c r="SLV67" s="382"/>
      <c r="SLW67" s="382"/>
      <c r="SLX67" s="382"/>
      <c r="SLY67" s="382"/>
      <c r="SLZ67" s="382"/>
      <c r="SMA67" s="382"/>
      <c r="SMB67" s="382"/>
      <c r="SMC67" s="382"/>
      <c r="SMD67" s="382"/>
      <c r="SME67" s="382"/>
      <c r="SMF67" s="382"/>
      <c r="SMG67" s="382"/>
      <c r="SMH67" s="382"/>
      <c r="SMI67" s="382"/>
      <c r="SMJ67" s="382"/>
      <c r="SMK67" s="382"/>
      <c r="SML67" s="382"/>
      <c r="SMM67" s="382"/>
      <c r="SMN67" s="382"/>
      <c r="SMO67" s="382"/>
      <c r="SMP67" s="382"/>
      <c r="SMQ67" s="382"/>
      <c r="SMR67" s="382"/>
      <c r="SMS67" s="382"/>
      <c r="SMT67" s="382"/>
      <c r="SMU67" s="382"/>
      <c r="SMV67" s="382"/>
      <c r="SMW67" s="382"/>
      <c r="SMX67" s="382"/>
      <c r="SMY67" s="382"/>
      <c r="SMZ67" s="382"/>
      <c r="SNA67" s="382"/>
      <c r="SNB67" s="382"/>
      <c r="SNC67" s="382"/>
      <c r="SND67" s="382"/>
      <c r="SNE67" s="382"/>
      <c r="SNF67" s="382"/>
      <c r="SNG67" s="382"/>
      <c r="SNH67" s="382"/>
      <c r="SNI67" s="382"/>
      <c r="SNJ67" s="382"/>
      <c r="SNK67" s="382"/>
      <c r="SNL67" s="382"/>
      <c r="SNM67" s="382"/>
      <c r="SNN67" s="382"/>
      <c r="SNO67" s="382"/>
      <c r="SNP67" s="382"/>
      <c r="SNQ67" s="382"/>
      <c r="SNR67" s="382"/>
      <c r="SNS67" s="382"/>
      <c r="SNT67" s="382"/>
      <c r="SNU67" s="382"/>
      <c r="SNV67" s="382"/>
      <c r="SNW67" s="382"/>
      <c r="SNX67" s="382"/>
      <c r="SNY67" s="382"/>
      <c r="SNZ67" s="382"/>
      <c r="SOA67" s="382"/>
      <c r="SOB67" s="382"/>
      <c r="SOC67" s="382"/>
      <c r="SOD67" s="382"/>
      <c r="SOE67" s="382"/>
      <c r="SOF67" s="382"/>
      <c r="SOG67" s="382"/>
      <c r="SOH67" s="382"/>
      <c r="SOI67" s="382"/>
      <c r="SOJ67" s="382"/>
      <c r="SOK67" s="382"/>
      <c r="SOL67" s="382"/>
      <c r="SOM67" s="382"/>
      <c r="SON67" s="382"/>
      <c r="SOO67" s="382"/>
      <c r="SOP67" s="382"/>
      <c r="SOQ67" s="382"/>
      <c r="SOR67" s="382"/>
      <c r="SOS67" s="382"/>
      <c r="SOT67" s="382"/>
      <c r="SOU67" s="382"/>
      <c r="SOV67" s="382"/>
      <c r="SOW67" s="382"/>
      <c r="SOX67" s="382"/>
      <c r="SOY67" s="382"/>
      <c r="SOZ67" s="382"/>
      <c r="SPA67" s="382"/>
      <c r="SPB67" s="382"/>
      <c r="SPC67" s="382"/>
      <c r="SPD67" s="382"/>
      <c r="SPE67" s="382"/>
      <c r="SPF67" s="382"/>
      <c r="SPG67" s="382"/>
      <c r="SPH67" s="382"/>
      <c r="SPI67" s="382"/>
      <c r="SPJ67" s="382"/>
      <c r="SPK67" s="382"/>
      <c r="SPL67" s="382"/>
      <c r="SPM67" s="382"/>
      <c r="SPN67" s="382"/>
      <c r="SPO67" s="382"/>
      <c r="SPP67" s="382"/>
      <c r="SPQ67" s="382"/>
      <c r="SPR67" s="382"/>
      <c r="SPS67" s="382"/>
      <c r="SPT67" s="382"/>
      <c r="SPU67" s="382"/>
      <c r="SPV67" s="382"/>
      <c r="SPW67" s="382"/>
      <c r="SPX67" s="382"/>
      <c r="SPY67" s="382"/>
      <c r="SPZ67" s="382"/>
      <c r="SQA67" s="382"/>
      <c r="SQB67" s="382"/>
      <c r="SQC67" s="382"/>
      <c r="SQD67" s="382"/>
      <c r="SQE67" s="382"/>
      <c r="SQF67" s="382"/>
      <c r="SQG67" s="382"/>
      <c r="SQH67" s="382"/>
      <c r="SQI67" s="382"/>
      <c r="SQJ67" s="382"/>
      <c r="SQK67" s="382"/>
      <c r="SQL67" s="382"/>
      <c r="SQM67" s="382"/>
      <c r="SQN67" s="382"/>
      <c r="SQO67" s="382"/>
      <c r="SQP67" s="382"/>
      <c r="SQQ67" s="382"/>
      <c r="SQR67" s="382"/>
      <c r="SQS67" s="382"/>
      <c r="SQT67" s="382"/>
      <c r="SQU67" s="382"/>
      <c r="SQV67" s="382"/>
      <c r="SQW67" s="382"/>
      <c r="SQX67" s="382"/>
      <c r="SQY67" s="382"/>
      <c r="SQZ67" s="382"/>
      <c r="SRA67" s="382"/>
      <c r="SRB67" s="382"/>
      <c r="SRC67" s="382"/>
      <c r="SRD67" s="382"/>
      <c r="SRE67" s="382"/>
      <c r="SRF67" s="382"/>
      <c r="SRG67" s="382"/>
      <c r="SRH67" s="382"/>
      <c r="SRI67" s="382"/>
      <c r="SRJ67" s="382"/>
      <c r="SRK67" s="382"/>
      <c r="SRL67" s="382"/>
      <c r="SRM67" s="382"/>
      <c r="SRN67" s="382"/>
      <c r="SRO67" s="382"/>
      <c r="SRP67" s="382"/>
      <c r="SRQ67" s="382"/>
      <c r="SRR67" s="382"/>
      <c r="SRS67" s="382"/>
      <c r="SRT67" s="382"/>
      <c r="SRU67" s="382"/>
      <c r="SRV67" s="382"/>
      <c r="SRW67" s="382"/>
      <c r="SRX67" s="382"/>
      <c r="SRY67" s="382"/>
      <c r="SRZ67" s="382"/>
      <c r="SSA67" s="382"/>
      <c r="SSB67" s="382"/>
      <c r="SSC67" s="382"/>
      <c r="SSD67" s="382"/>
      <c r="SSE67" s="382"/>
      <c r="SSF67" s="382"/>
      <c r="SSG67" s="382"/>
      <c r="SSH67" s="382"/>
      <c r="SSI67" s="382"/>
      <c r="SSJ67" s="382"/>
      <c r="SSK67" s="382"/>
      <c r="SSL67" s="382"/>
      <c r="SSM67" s="382"/>
      <c r="SSN67" s="382"/>
      <c r="SSO67" s="382"/>
      <c r="SSP67" s="382"/>
      <c r="SSQ67" s="382"/>
      <c r="SSR67" s="382"/>
      <c r="SSS67" s="382"/>
      <c r="SST67" s="382"/>
      <c r="SSU67" s="382"/>
      <c r="SSV67" s="382"/>
      <c r="SSW67" s="382"/>
      <c r="SSX67" s="382"/>
      <c r="SSY67" s="382"/>
      <c r="SSZ67" s="382"/>
      <c r="STA67" s="382"/>
      <c r="STB67" s="382"/>
      <c r="STC67" s="382"/>
      <c r="STD67" s="382"/>
      <c r="STE67" s="382"/>
      <c r="STF67" s="382"/>
      <c r="STG67" s="382"/>
      <c r="STH67" s="382"/>
      <c r="STI67" s="382"/>
      <c r="STJ67" s="382"/>
      <c r="STK67" s="382"/>
      <c r="STL67" s="382"/>
      <c r="STM67" s="382"/>
      <c r="STN67" s="382"/>
      <c r="STO67" s="382"/>
      <c r="STP67" s="382"/>
      <c r="STQ67" s="382"/>
      <c r="STR67" s="382"/>
      <c r="STS67" s="382"/>
      <c r="STT67" s="382"/>
      <c r="STU67" s="382"/>
      <c r="STV67" s="382"/>
      <c r="STW67" s="382"/>
      <c r="STX67" s="382"/>
      <c r="STY67" s="382"/>
      <c r="STZ67" s="382"/>
      <c r="SUA67" s="382"/>
      <c r="SUB67" s="382"/>
      <c r="SUC67" s="382"/>
      <c r="SUD67" s="382"/>
      <c r="SUE67" s="382"/>
      <c r="SUF67" s="382"/>
      <c r="SUG67" s="382"/>
      <c r="SUH67" s="382"/>
      <c r="SUI67" s="382"/>
      <c r="SUJ67" s="382"/>
      <c r="SUK67" s="382"/>
      <c r="SUL67" s="382"/>
      <c r="SUM67" s="382"/>
      <c r="SUN67" s="382"/>
      <c r="SUO67" s="382"/>
      <c r="SUP67" s="382"/>
      <c r="SUQ67" s="382"/>
      <c r="SUR67" s="382"/>
      <c r="SUS67" s="382"/>
      <c r="SUT67" s="382"/>
      <c r="SUU67" s="382"/>
      <c r="SUV67" s="382"/>
      <c r="SUW67" s="382"/>
      <c r="SUX67" s="382"/>
      <c r="SUY67" s="382"/>
      <c r="SUZ67" s="382"/>
      <c r="SVA67" s="382"/>
      <c r="SVB67" s="382"/>
      <c r="SVC67" s="382"/>
      <c r="SVD67" s="382"/>
      <c r="SVE67" s="382"/>
      <c r="SVF67" s="382"/>
      <c r="SVG67" s="382"/>
      <c r="SVH67" s="382"/>
      <c r="SVI67" s="382"/>
      <c r="SVJ67" s="382"/>
      <c r="SVK67" s="382"/>
      <c r="SVL67" s="382"/>
      <c r="SVM67" s="382"/>
      <c r="SVN67" s="382"/>
      <c r="SVO67" s="382"/>
      <c r="SVP67" s="382"/>
      <c r="SVQ67" s="382"/>
      <c r="SVR67" s="382"/>
      <c r="SVS67" s="382"/>
      <c r="SVT67" s="382"/>
      <c r="SVU67" s="382"/>
      <c r="SVV67" s="382"/>
      <c r="SVW67" s="382"/>
      <c r="SVX67" s="382"/>
      <c r="SVY67" s="382"/>
      <c r="SVZ67" s="382"/>
      <c r="SWA67" s="382"/>
      <c r="SWB67" s="382"/>
      <c r="SWC67" s="382"/>
      <c r="SWD67" s="382"/>
      <c r="SWE67" s="382"/>
      <c r="SWF67" s="382"/>
      <c r="SWG67" s="382"/>
      <c r="SWH67" s="382"/>
      <c r="SWI67" s="382"/>
      <c r="SWJ67" s="382"/>
      <c r="SWK67" s="382"/>
      <c r="SWL67" s="382"/>
      <c r="SWM67" s="382"/>
      <c r="SWN67" s="382"/>
      <c r="SWO67" s="382"/>
      <c r="SWP67" s="382"/>
      <c r="SWQ67" s="382"/>
      <c r="SWR67" s="382"/>
      <c r="SWS67" s="382"/>
      <c r="SWT67" s="382"/>
      <c r="SWU67" s="382"/>
      <c r="SWV67" s="382"/>
      <c r="SWW67" s="382"/>
      <c r="SWX67" s="382"/>
      <c r="SWY67" s="382"/>
      <c r="SWZ67" s="382"/>
      <c r="SXA67" s="382"/>
      <c r="SXB67" s="382"/>
      <c r="SXC67" s="382"/>
      <c r="SXD67" s="382"/>
      <c r="SXE67" s="382"/>
      <c r="SXF67" s="382"/>
      <c r="SXG67" s="382"/>
      <c r="SXH67" s="382"/>
      <c r="SXI67" s="382"/>
      <c r="SXJ67" s="382"/>
      <c r="SXK67" s="382"/>
      <c r="SXL67" s="382"/>
      <c r="SXM67" s="382"/>
      <c r="SXN67" s="382"/>
      <c r="SXO67" s="382"/>
      <c r="SXP67" s="382"/>
      <c r="SXQ67" s="382"/>
      <c r="SXR67" s="382"/>
      <c r="SXS67" s="382"/>
      <c r="SXT67" s="382"/>
      <c r="SXU67" s="382"/>
      <c r="SXV67" s="382"/>
      <c r="SXW67" s="382"/>
      <c r="SXX67" s="382"/>
      <c r="SXY67" s="382"/>
      <c r="SXZ67" s="382"/>
      <c r="SYA67" s="382"/>
      <c r="SYB67" s="382"/>
      <c r="SYC67" s="382"/>
      <c r="SYD67" s="382"/>
      <c r="SYE67" s="382"/>
      <c r="SYF67" s="382"/>
      <c r="SYG67" s="382"/>
      <c r="SYH67" s="382"/>
      <c r="SYI67" s="382"/>
      <c r="SYJ67" s="382"/>
      <c r="SYK67" s="382"/>
      <c r="SYL67" s="382"/>
      <c r="SYM67" s="382"/>
      <c r="SYN67" s="382"/>
      <c r="SYO67" s="382"/>
      <c r="SYP67" s="382"/>
      <c r="SYQ67" s="382"/>
      <c r="SYR67" s="382"/>
      <c r="SYS67" s="382"/>
      <c r="SYT67" s="382"/>
      <c r="SYU67" s="382"/>
      <c r="SYV67" s="382"/>
      <c r="SYW67" s="382"/>
      <c r="SYX67" s="382"/>
      <c r="SYY67" s="382"/>
      <c r="SYZ67" s="382"/>
      <c r="SZA67" s="382"/>
      <c r="SZB67" s="382"/>
      <c r="SZC67" s="382"/>
      <c r="SZD67" s="382"/>
      <c r="SZE67" s="382"/>
      <c r="SZF67" s="382"/>
      <c r="SZG67" s="382"/>
      <c r="SZH67" s="382"/>
      <c r="SZI67" s="382"/>
      <c r="SZJ67" s="382"/>
      <c r="SZK67" s="382"/>
      <c r="SZL67" s="382"/>
      <c r="SZM67" s="382"/>
      <c r="SZN67" s="382"/>
      <c r="SZO67" s="382"/>
      <c r="SZP67" s="382"/>
      <c r="SZQ67" s="382"/>
      <c r="SZR67" s="382"/>
      <c r="SZS67" s="382"/>
      <c r="SZT67" s="382"/>
      <c r="SZU67" s="382"/>
      <c r="SZV67" s="382"/>
      <c r="SZW67" s="382"/>
      <c r="SZX67" s="382"/>
      <c r="SZY67" s="382"/>
      <c r="SZZ67" s="382"/>
      <c r="TAA67" s="382"/>
      <c r="TAB67" s="382"/>
      <c r="TAC67" s="382"/>
      <c r="TAD67" s="382"/>
      <c r="TAE67" s="382"/>
      <c r="TAF67" s="382"/>
      <c r="TAG67" s="382"/>
      <c r="TAH67" s="382"/>
      <c r="TAI67" s="382"/>
      <c r="TAJ67" s="382"/>
      <c r="TAK67" s="382"/>
      <c r="TAL67" s="382"/>
      <c r="TAM67" s="382"/>
      <c r="TAN67" s="382"/>
      <c r="TAO67" s="382"/>
      <c r="TAP67" s="382"/>
      <c r="TAQ67" s="382"/>
      <c r="TAR67" s="382"/>
      <c r="TAS67" s="382"/>
      <c r="TAT67" s="382"/>
      <c r="TAU67" s="382"/>
      <c r="TAV67" s="382"/>
      <c r="TAW67" s="382"/>
      <c r="TAX67" s="382"/>
      <c r="TAY67" s="382"/>
      <c r="TAZ67" s="382"/>
      <c r="TBA67" s="382"/>
      <c r="TBB67" s="382"/>
      <c r="TBC67" s="382"/>
      <c r="TBD67" s="382"/>
      <c r="TBE67" s="382"/>
      <c r="TBF67" s="382"/>
      <c r="TBG67" s="382"/>
      <c r="TBH67" s="382"/>
      <c r="TBI67" s="382"/>
      <c r="TBJ67" s="382"/>
      <c r="TBK67" s="382"/>
      <c r="TBL67" s="382"/>
      <c r="TBM67" s="382"/>
      <c r="TBN67" s="382"/>
      <c r="TBO67" s="382"/>
      <c r="TBP67" s="382"/>
      <c r="TBQ67" s="382"/>
      <c r="TBR67" s="382"/>
      <c r="TBS67" s="382"/>
      <c r="TBT67" s="382"/>
      <c r="TBU67" s="382"/>
      <c r="TBV67" s="382"/>
      <c r="TBW67" s="382"/>
      <c r="TBX67" s="382"/>
      <c r="TBY67" s="382"/>
      <c r="TBZ67" s="382"/>
      <c r="TCA67" s="382"/>
      <c r="TCB67" s="382"/>
      <c r="TCC67" s="382"/>
      <c r="TCD67" s="382"/>
      <c r="TCE67" s="382"/>
      <c r="TCF67" s="382"/>
      <c r="TCG67" s="382"/>
      <c r="TCH67" s="382"/>
      <c r="TCI67" s="382"/>
      <c r="TCJ67" s="382"/>
      <c r="TCK67" s="382"/>
      <c r="TCL67" s="382"/>
      <c r="TCM67" s="382"/>
      <c r="TCN67" s="382"/>
      <c r="TCO67" s="382"/>
      <c r="TCP67" s="382"/>
      <c r="TCQ67" s="382"/>
      <c r="TCR67" s="382"/>
      <c r="TCS67" s="382"/>
      <c r="TCT67" s="382"/>
      <c r="TCU67" s="382"/>
      <c r="TCV67" s="382"/>
      <c r="TCW67" s="382"/>
      <c r="TCX67" s="382"/>
      <c r="TCY67" s="382"/>
      <c r="TCZ67" s="382"/>
      <c r="TDA67" s="382"/>
      <c r="TDB67" s="382"/>
      <c r="TDC67" s="382"/>
      <c r="TDD67" s="382"/>
      <c r="TDE67" s="382"/>
      <c r="TDF67" s="382"/>
      <c r="TDG67" s="382"/>
      <c r="TDH67" s="382"/>
      <c r="TDI67" s="382"/>
      <c r="TDJ67" s="382"/>
      <c r="TDK67" s="382"/>
      <c r="TDL67" s="382"/>
      <c r="TDM67" s="382"/>
      <c r="TDN67" s="382"/>
      <c r="TDO67" s="382"/>
      <c r="TDP67" s="382"/>
      <c r="TDQ67" s="382"/>
      <c r="TDR67" s="382"/>
      <c r="TDS67" s="382"/>
      <c r="TDT67" s="382"/>
      <c r="TDU67" s="382"/>
      <c r="TDV67" s="382"/>
      <c r="TDW67" s="382"/>
      <c r="TDX67" s="382"/>
      <c r="TDY67" s="382"/>
      <c r="TDZ67" s="382"/>
      <c r="TEA67" s="382"/>
      <c r="TEB67" s="382"/>
      <c r="TEC67" s="382"/>
      <c r="TED67" s="382"/>
      <c r="TEE67" s="382"/>
      <c r="TEF67" s="382"/>
      <c r="TEG67" s="382"/>
      <c r="TEH67" s="382"/>
      <c r="TEI67" s="382"/>
      <c r="TEJ67" s="382"/>
      <c r="TEK67" s="382"/>
      <c r="TEL67" s="382"/>
      <c r="TEM67" s="382"/>
      <c r="TEN67" s="382"/>
      <c r="TEO67" s="382"/>
      <c r="TEP67" s="382"/>
      <c r="TEQ67" s="382"/>
      <c r="TER67" s="382"/>
      <c r="TES67" s="382"/>
      <c r="TET67" s="382"/>
      <c r="TEU67" s="382"/>
      <c r="TEV67" s="382"/>
      <c r="TEW67" s="382"/>
      <c r="TEX67" s="382"/>
      <c r="TEY67" s="382"/>
      <c r="TEZ67" s="382"/>
      <c r="TFA67" s="382"/>
      <c r="TFB67" s="382"/>
      <c r="TFC67" s="382"/>
      <c r="TFD67" s="382"/>
      <c r="TFE67" s="382"/>
      <c r="TFF67" s="382"/>
      <c r="TFG67" s="382"/>
      <c r="TFH67" s="382"/>
      <c r="TFI67" s="382"/>
      <c r="TFJ67" s="382"/>
      <c r="TFK67" s="382"/>
      <c r="TFL67" s="382"/>
      <c r="TFM67" s="382"/>
      <c r="TFN67" s="382"/>
      <c r="TFO67" s="382"/>
      <c r="TFP67" s="382"/>
      <c r="TFQ67" s="382"/>
      <c r="TFR67" s="382"/>
      <c r="TFS67" s="382"/>
      <c r="TFT67" s="382"/>
      <c r="TFU67" s="382"/>
      <c r="TFV67" s="382"/>
      <c r="TFW67" s="382"/>
      <c r="TFX67" s="382"/>
      <c r="TFY67" s="382"/>
      <c r="TFZ67" s="382"/>
      <c r="TGA67" s="382"/>
      <c r="TGB67" s="382"/>
      <c r="TGC67" s="382"/>
      <c r="TGD67" s="382"/>
      <c r="TGE67" s="382"/>
      <c r="TGF67" s="382"/>
      <c r="TGG67" s="382"/>
      <c r="TGH67" s="382"/>
      <c r="TGI67" s="382"/>
      <c r="TGJ67" s="382"/>
      <c r="TGK67" s="382"/>
      <c r="TGL67" s="382"/>
      <c r="TGM67" s="382"/>
      <c r="TGN67" s="382"/>
      <c r="TGO67" s="382"/>
      <c r="TGP67" s="382"/>
      <c r="TGQ67" s="382"/>
      <c r="TGR67" s="382"/>
      <c r="TGS67" s="382"/>
      <c r="TGT67" s="382"/>
      <c r="TGU67" s="382"/>
      <c r="TGV67" s="382"/>
      <c r="TGW67" s="382"/>
      <c r="TGX67" s="382"/>
      <c r="TGY67" s="382"/>
      <c r="TGZ67" s="382"/>
      <c r="THA67" s="382"/>
      <c r="THB67" s="382"/>
      <c r="THC67" s="382"/>
      <c r="THD67" s="382"/>
      <c r="THE67" s="382"/>
      <c r="THF67" s="382"/>
      <c r="THG67" s="382"/>
      <c r="THH67" s="382"/>
      <c r="THI67" s="382"/>
      <c r="THJ67" s="382"/>
      <c r="THK67" s="382"/>
      <c r="THL67" s="382"/>
      <c r="THM67" s="382"/>
      <c r="THN67" s="382"/>
      <c r="THO67" s="382"/>
      <c r="THP67" s="382"/>
      <c r="THQ67" s="382"/>
      <c r="THR67" s="382"/>
      <c r="THS67" s="382"/>
      <c r="THT67" s="382"/>
      <c r="THU67" s="382"/>
      <c r="THV67" s="382"/>
      <c r="THW67" s="382"/>
      <c r="THX67" s="382"/>
      <c r="THY67" s="382"/>
      <c r="THZ67" s="382"/>
      <c r="TIA67" s="382"/>
      <c r="TIB67" s="382"/>
      <c r="TIC67" s="382"/>
      <c r="TID67" s="382"/>
      <c r="TIE67" s="382"/>
      <c r="TIF67" s="382"/>
      <c r="TIG67" s="382"/>
      <c r="TIH67" s="382"/>
      <c r="TII67" s="382"/>
      <c r="TIJ67" s="382"/>
      <c r="TIK67" s="382"/>
      <c r="TIL67" s="382"/>
      <c r="TIM67" s="382"/>
      <c r="TIN67" s="382"/>
      <c r="TIO67" s="382"/>
      <c r="TIP67" s="382"/>
      <c r="TIQ67" s="382"/>
      <c r="TIR67" s="382"/>
      <c r="TIS67" s="382"/>
      <c r="TIT67" s="382"/>
      <c r="TIU67" s="382"/>
      <c r="TIV67" s="382"/>
      <c r="TIW67" s="382"/>
      <c r="TIX67" s="382"/>
      <c r="TIY67" s="382"/>
      <c r="TIZ67" s="382"/>
      <c r="TJA67" s="382"/>
      <c r="TJB67" s="382"/>
      <c r="TJC67" s="382"/>
      <c r="TJD67" s="382"/>
      <c r="TJE67" s="382"/>
      <c r="TJF67" s="382"/>
      <c r="TJG67" s="382"/>
      <c r="TJH67" s="382"/>
      <c r="TJI67" s="382"/>
      <c r="TJJ67" s="382"/>
      <c r="TJK67" s="382"/>
      <c r="TJL67" s="382"/>
      <c r="TJM67" s="382"/>
      <c r="TJN67" s="382"/>
      <c r="TJO67" s="382"/>
      <c r="TJP67" s="382"/>
      <c r="TJQ67" s="382"/>
      <c r="TJR67" s="382"/>
      <c r="TJS67" s="382"/>
      <c r="TJT67" s="382"/>
      <c r="TJU67" s="382"/>
      <c r="TJV67" s="382"/>
      <c r="TJW67" s="382"/>
      <c r="TJX67" s="382"/>
      <c r="TJY67" s="382"/>
      <c r="TJZ67" s="382"/>
      <c r="TKA67" s="382"/>
      <c r="TKB67" s="382"/>
      <c r="TKC67" s="382"/>
      <c r="TKD67" s="382"/>
      <c r="TKE67" s="382"/>
      <c r="TKF67" s="382"/>
      <c r="TKG67" s="382"/>
      <c r="TKH67" s="382"/>
      <c r="TKI67" s="382"/>
      <c r="TKJ67" s="382"/>
      <c r="TKK67" s="382"/>
      <c r="TKL67" s="382"/>
      <c r="TKM67" s="382"/>
      <c r="TKN67" s="382"/>
      <c r="TKO67" s="382"/>
      <c r="TKP67" s="382"/>
      <c r="TKQ67" s="382"/>
      <c r="TKR67" s="382"/>
      <c r="TKS67" s="382"/>
      <c r="TKT67" s="382"/>
      <c r="TKU67" s="382"/>
      <c r="TKV67" s="382"/>
      <c r="TKW67" s="382"/>
      <c r="TKX67" s="382"/>
      <c r="TKY67" s="382"/>
      <c r="TKZ67" s="382"/>
      <c r="TLA67" s="382"/>
      <c r="TLB67" s="382"/>
      <c r="TLC67" s="382"/>
      <c r="TLD67" s="382"/>
      <c r="TLE67" s="382"/>
      <c r="TLF67" s="382"/>
      <c r="TLG67" s="382"/>
      <c r="TLH67" s="382"/>
      <c r="TLI67" s="382"/>
      <c r="TLJ67" s="382"/>
      <c r="TLK67" s="382"/>
      <c r="TLL67" s="382"/>
      <c r="TLM67" s="382"/>
      <c r="TLN67" s="382"/>
      <c r="TLO67" s="382"/>
      <c r="TLP67" s="382"/>
      <c r="TLQ67" s="382"/>
      <c r="TLR67" s="382"/>
      <c r="TLS67" s="382"/>
      <c r="TLT67" s="382"/>
      <c r="TLU67" s="382"/>
      <c r="TLV67" s="382"/>
      <c r="TLW67" s="382"/>
      <c r="TLX67" s="382"/>
      <c r="TLY67" s="382"/>
      <c r="TLZ67" s="382"/>
      <c r="TMA67" s="382"/>
      <c r="TMB67" s="382"/>
      <c r="TMC67" s="382"/>
      <c r="TMD67" s="382"/>
      <c r="TME67" s="382"/>
      <c r="TMF67" s="382"/>
      <c r="TMG67" s="382"/>
      <c r="TMH67" s="382"/>
      <c r="TMI67" s="382"/>
      <c r="TMJ67" s="382"/>
      <c r="TMK67" s="382"/>
      <c r="TML67" s="382"/>
      <c r="TMM67" s="382"/>
      <c r="TMN67" s="382"/>
      <c r="TMO67" s="382"/>
      <c r="TMP67" s="382"/>
      <c r="TMQ67" s="382"/>
      <c r="TMR67" s="382"/>
      <c r="TMS67" s="382"/>
      <c r="TMT67" s="382"/>
      <c r="TMU67" s="382"/>
      <c r="TMV67" s="382"/>
      <c r="TMW67" s="382"/>
      <c r="TMX67" s="382"/>
      <c r="TMY67" s="382"/>
      <c r="TMZ67" s="382"/>
      <c r="TNA67" s="382"/>
      <c r="TNB67" s="382"/>
      <c r="TNC67" s="382"/>
      <c r="TND67" s="382"/>
      <c r="TNE67" s="382"/>
      <c r="TNF67" s="382"/>
      <c r="TNG67" s="382"/>
      <c r="TNH67" s="382"/>
      <c r="TNI67" s="382"/>
      <c r="TNJ67" s="382"/>
      <c r="TNK67" s="382"/>
      <c r="TNL67" s="382"/>
      <c r="TNM67" s="382"/>
      <c r="TNN67" s="382"/>
      <c r="TNO67" s="382"/>
      <c r="TNP67" s="382"/>
      <c r="TNQ67" s="382"/>
      <c r="TNR67" s="382"/>
      <c r="TNS67" s="382"/>
      <c r="TNT67" s="382"/>
      <c r="TNU67" s="382"/>
      <c r="TNV67" s="382"/>
      <c r="TNW67" s="382"/>
      <c r="TNX67" s="382"/>
      <c r="TNY67" s="382"/>
      <c r="TNZ67" s="382"/>
      <c r="TOA67" s="382"/>
      <c r="TOB67" s="382"/>
      <c r="TOC67" s="382"/>
      <c r="TOD67" s="382"/>
      <c r="TOE67" s="382"/>
      <c r="TOF67" s="382"/>
      <c r="TOG67" s="382"/>
      <c r="TOH67" s="382"/>
      <c r="TOI67" s="382"/>
      <c r="TOJ67" s="382"/>
      <c r="TOK67" s="382"/>
      <c r="TOL67" s="382"/>
      <c r="TOM67" s="382"/>
      <c r="TON67" s="382"/>
      <c r="TOO67" s="382"/>
      <c r="TOP67" s="382"/>
      <c r="TOQ67" s="382"/>
      <c r="TOR67" s="382"/>
      <c r="TOS67" s="382"/>
      <c r="TOT67" s="382"/>
      <c r="TOU67" s="382"/>
      <c r="TOV67" s="382"/>
      <c r="TOW67" s="382"/>
      <c r="TOX67" s="382"/>
      <c r="TOY67" s="382"/>
      <c r="TOZ67" s="382"/>
      <c r="TPA67" s="382"/>
      <c r="TPB67" s="382"/>
      <c r="TPC67" s="382"/>
      <c r="TPD67" s="382"/>
      <c r="TPE67" s="382"/>
      <c r="TPF67" s="382"/>
      <c r="TPG67" s="382"/>
      <c r="TPH67" s="382"/>
      <c r="TPI67" s="382"/>
      <c r="TPJ67" s="382"/>
      <c r="TPK67" s="382"/>
      <c r="TPL67" s="382"/>
      <c r="TPM67" s="382"/>
      <c r="TPN67" s="382"/>
      <c r="TPO67" s="382"/>
      <c r="TPP67" s="382"/>
      <c r="TPQ67" s="382"/>
      <c r="TPR67" s="382"/>
      <c r="TPS67" s="382"/>
      <c r="TPT67" s="382"/>
      <c r="TPU67" s="382"/>
      <c r="TPV67" s="382"/>
      <c r="TPW67" s="382"/>
      <c r="TPX67" s="382"/>
      <c r="TPY67" s="382"/>
      <c r="TPZ67" s="382"/>
      <c r="TQA67" s="382"/>
      <c r="TQB67" s="382"/>
      <c r="TQC67" s="382"/>
      <c r="TQD67" s="382"/>
      <c r="TQE67" s="382"/>
      <c r="TQF67" s="382"/>
      <c r="TQG67" s="382"/>
      <c r="TQH67" s="382"/>
      <c r="TQI67" s="382"/>
      <c r="TQJ67" s="382"/>
      <c r="TQK67" s="382"/>
      <c r="TQL67" s="382"/>
      <c r="TQM67" s="382"/>
      <c r="TQN67" s="382"/>
      <c r="TQO67" s="382"/>
      <c r="TQP67" s="382"/>
      <c r="TQQ67" s="382"/>
      <c r="TQR67" s="382"/>
      <c r="TQS67" s="382"/>
      <c r="TQT67" s="382"/>
      <c r="TQU67" s="382"/>
      <c r="TQV67" s="382"/>
      <c r="TQW67" s="382"/>
      <c r="TQX67" s="382"/>
      <c r="TQY67" s="382"/>
      <c r="TQZ67" s="382"/>
      <c r="TRA67" s="382"/>
      <c r="TRB67" s="382"/>
      <c r="TRC67" s="382"/>
      <c r="TRD67" s="382"/>
      <c r="TRE67" s="382"/>
      <c r="TRF67" s="382"/>
      <c r="TRG67" s="382"/>
      <c r="TRH67" s="382"/>
      <c r="TRI67" s="382"/>
      <c r="TRJ67" s="382"/>
      <c r="TRK67" s="382"/>
      <c r="TRL67" s="382"/>
      <c r="TRM67" s="382"/>
      <c r="TRN67" s="382"/>
      <c r="TRO67" s="382"/>
      <c r="TRP67" s="382"/>
      <c r="TRQ67" s="382"/>
      <c r="TRR67" s="382"/>
      <c r="TRS67" s="382"/>
      <c r="TRT67" s="382"/>
      <c r="TRU67" s="382"/>
      <c r="TRV67" s="382"/>
      <c r="TRW67" s="382"/>
      <c r="TRX67" s="382"/>
      <c r="TRY67" s="382"/>
      <c r="TRZ67" s="382"/>
      <c r="TSA67" s="382"/>
      <c r="TSB67" s="382"/>
      <c r="TSC67" s="382"/>
      <c r="TSD67" s="382"/>
      <c r="TSE67" s="382"/>
      <c r="TSF67" s="382"/>
      <c r="TSG67" s="382"/>
      <c r="TSH67" s="382"/>
      <c r="TSI67" s="382"/>
      <c r="TSJ67" s="382"/>
      <c r="TSK67" s="382"/>
      <c r="TSL67" s="382"/>
      <c r="TSM67" s="382"/>
      <c r="TSN67" s="382"/>
      <c r="TSO67" s="382"/>
      <c r="TSP67" s="382"/>
      <c r="TSQ67" s="382"/>
      <c r="TSR67" s="382"/>
      <c r="TSS67" s="382"/>
      <c r="TST67" s="382"/>
      <c r="TSU67" s="382"/>
      <c r="TSV67" s="382"/>
      <c r="TSW67" s="382"/>
      <c r="TSX67" s="382"/>
      <c r="TSY67" s="382"/>
      <c r="TSZ67" s="382"/>
      <c r="TTA67" s="382"/>
      <c r="TTB67" s="382"/>
      <c r="TTC67" s="382"/>
      <c r="TTD67" s="382"/>
      <c r="TTE67" s="382"/>
      <c r="TTF67" s="382"/>
      <c r="TTG67" s="382"/>
      <c r="TTH67" s="382"/>
      <c r="TTI67" s="382"/>
      <c r="TTJ67" s="382"/>
      <c r="TTK67" s="382"/>
      <c r="TTL67" s="382"/>
      <c r="TTM67" s="382"/>
      <c r="TTN67" s="382"/>
      <c r="TTO67" s="382"/>
      <c r="TTP67" s="382"/>
      <c r="TTQ67" s="382"/>
      <c r="TTR67" s="382"/>
      <c r="TTS67" s="382"/>
      <c r="TTT67" s="382"/>
      <c r="TTU67" s="382"/>
      <c r="TTV67" s="382"/>
      <c r="TTW67" s="382"/>
      <c r="TTX67" s="382"/>
      <c r="TTY67" s="382"/>
      <c r="TTZ67" s="382"/>
      <c r="TUA67" s="382"/>
      <c r="TUB67" s="382"/>
      <c r="TUC67" s="382"/>
      <c r="TUD67" s="382"/>
      <c r="TUE67" s="382"/>
      <c r="TUF67" s="382"/>
      <c r="TUG67" s="382"/>
      <c r="TUH67" s="382"/>
      <c r="TUI67" s="382"/>
      <c r="TUJ67" s="382"/>
      <c r="TUK67" s="382"/>
      <c r="TUL67" s="382"/>
      <c r="TUM67" s="382"/>
      <c r="TUN67" s="382"/>
      <c r="TUO67" s="382"/>
      <c r="TUP67" s="382"/>
      <c r="TUQ67" s="382"/>
      <c r="TUR67" s="382"/>
      <c r="TUS67" s="382"/>
      <c r="TUT67" s="382"/>
      <c r="TUU67" s="382"/>
      <c r="TUV67" s="382"/>
      <c r="TUW67" s="382"/>
      <c r="TUX67" s="382"/>
      <c r="TUY67" s="382"/>
      <c r="TUZ67" s="382"/>
      <c r="TVA67" s="382"/>
      <c r="TVB67" s="382"/>
      <c r="TVC67" s="382"/>
      <c r="TVD67" s="382"/>
      <c r="TVE67" s="382"/>
      <c r="TVF67" s="382"/>
      <c r="TVG67" s="382"/>
      <c r="TVH67" s="382"/>
      <c r="TVI67" s="382"/>
      <c r="TVJ67" s="382"/>
      <c r="TVK67" s="382"/>
      <c r="TVL67" s="382"/>
      <c r="TVM67" s="382"/>
      <c r="TVN67" s="382"/>
      <c r="TVO67" s="382"/>
      <c r="TVP67" s="382"/>
      <c r="TVQ67" s="382"/>
      <c r="TVR67" s="382"/>
      <c r="TVS67" s="382"/>
      <c r="TVT67" s="382"/>
      <c r="TVU67" s="382"/>
      <c r="TVV67" s="382"/>
      <c r="TVW67" s="382"/>
      <c r="TVX67" s="382"/>
      <c r="TVY67" s="382"/>
      <c r="TVZ67" s="382"/>
      <c r="TWA67" s="382"/>
      <c r="TWB67" s="382"/>
      <c r="TWC67" s="382"/>
      <c r="TWD67" s="382"/>
      <c r="TWE67" s="382"/>
      <c r="TWF67" s="382"/>
      <c r="TWG67" s="382"/>
      <c r="TWH67" s="382"/>
      <c r="TWI67" s="382"/>
      <c r="TWJ67" s="382"/>
      <c r="TWK67" s="382"/>
      <c r="TWL67" s="382"/>
      <c r="TWM67" s="382"/>
      <c r="TWN67" s="382"/>
      <c r="TWO67" s="382"/>
      <c r="TWP67" s="382"/>
      <c r="TWQ67" s="382"/>
      <c r="TWR67" s="382"/>
      <c r="TWS67" s="382"/>
      <c r="TWT67" s="382"/>
      <c r="TWU67" s="382"/>
      <c r="TWV67" s="382"/>
      <c r="TWW67" s="382"/>
      <c r="TWX67" s="382"/>
      <c r="TWY67" s="382"/>
      <c r="TWZ67" s="382"/>
      <c r="TXA67" s="382"/>
      <c r="TXB67" s="382"/>
      <c r="TXC67" s="382"/>
      <c r="TXD67" s="382"/>
      <c r="TXE67" s="382"/>
      <c r="TXF67" s="382"/>
      <c r="TXG67" s="382"/>
      <c r="TXH67" s="382"/>
      <c r="TXI67" s="382"/>
      <c r="TXJ67" s="382"/>
      <c r="TXK67" s="382"/>
      <c r="TXL67" s="382"/>
      <c r="TXM67" s="382"/>
      <c r="TXN67" s="382"/>
      <c r="TXO67" s="382"/>
      <c r="TXP67" s="382"/>
      <c r="TXQ67" s="382"/>
      <c r="TXR67" s="382"/>
      <c r="TXS67" s="382"/>
      <c r="TXT67" s="382"/>
      <c r="TXU67" s="382"/>
      <c r="TXV67" s="382"/>
      <c r="TXW67" s="382"/>
      <c r="TXX67" s="382"/>
      <c r="TXY67" s="382"/>
      <c r="TXZ67" s="382"/>
      <c r="TYA67" s="382"/>
      <c r="TYB67" s="382"/>
      <c r="TYC67" s="382"/>
      <c r="TYD67" s="382"/>
      <c r="TYE67" s="382"/>
      <c r="TYF67" s="382"/>
      <c r="TYG67" s="382"/>
      <c r="TYH67" s="382"/>
      <c r="TYI67" s="382"/>
      <c r="TYJ67" s="382"/>
      <c r="TYK67" s="382"/>
      <c r="TYL67" s="382"/>
      <c r="TYM67" s="382"/>
      <c r="TYN67" s="382"/>
      <c r="TYO67" s="382"/>
      <c r="TYP67" s="382"/>
      <c r="TYQ67" s="382"/>
      <c r="TYR67" s="382"/>
      <c r="TYS67" s="382"/>
      <c r="TYT67" s="382"/>
      <c r="TYU67" s="382"/>
      <c r="TYV67" s="382"/>
      <c r="TYW67" s="382"/>
      <c r="TYX67" s="382"/>
      <c r="TYY67" s="382"/>
      <c r="TYZ67" s="382"/>
      <c r="TZA67" s="382"/>
      <c r="TZB67" s="382"/>
      <c r="TZC67" s="382"/>
      <c r="TZD67" s="382"/>
      <c r="TZE67" s="382"/>
      <c r="TZF67" s="382"/>
      <c r="TZG67" s="382"/>
      <c r="TZH67" s="382"/>
      <c r="TZI67" s="382"/>
      <c r="TZJ67" s="382"/>
      <c r="TZK67" s="382"/>
      <c r="TZL67" s="382"/>
      <c r="TZM67" s="382"/>
      <c r="TZN67" s="382"/>
      <c r="TZO67" s="382"/>
      <c r="TZP67" s="382"/>
      <c r="TZQ67" s="382"/>
      <c r="TZR67" s="382"/>
      <c r="TZS67" s="382"/>
      <c r="TZT67" s="382"/>
      <c r="TZU67" s="382"/>
      <c r="TZV67" s="382"/>
      <c r="TZW67" s="382"/>
      <c r="TZX67" s="382"/>
      <c r="TZY67" s="382"/>
      <c r="TZZ67" s="382"/>
      <c r="UAA67" s="382"/>
      <c r="UAB67" s="382"/>
      <c r="UAC67" s="382"/>
      <c r="UAD67" s="382"/>
      <c r="UAE67" s="382"/>
      <c r="UAF67" s="382"/>
      <c r="UAG67" s="382"/>
      <c r="UAH67" s="382"/>
      <c r="UAI67" s="382"/>
      <c r="UAJ67" s="382"/>
      <c r="UAK67" s="382"/>
      <c r="UAL67" s="382"/>
      <c r="UAM67" s="382"/>
      <c r="UAN67" s="382"/>
      <c r="UAO67" s="382"/>
      <c r="UAP67" s="382"/>
      <c r="UAQ67" s="382"/>
      <c r="UAR67" s="382"/>
      <c r="UAS67" s="382"/>
      <c r="UAT67" s="382"/>
      <c r="UAU67" s="382"/>
      <c r="UAV67" s="382"/>
      <c r="UAW67" s="382"/>
      <c r="UAX67" s="382"/>
      <c r="UAY67" s="382"/>
      <c r="UAZ67" s="382"/>
      <c r="UBA67" s="382"/>
      <c r="UBB67" s="382"/>
      <c r="UBC67" s="382"/>
      <c r="UBD67" s="382"/>
      <c r="UBE67" s="382"/>
      <c r="UBF67" s="382"/>
      <c r="UBG67" s="382"/>
      <c r="UBH67" s="382"/>
      <c r="UBI67" s="382"/>
      <c r="UBJ67" s="382"/>
      <c r="UBK67" s="382"/>
      <c r="UBL67" s="382"/>
      <c r="UBM67" s="382"/>
      <c r="UBN67" s="382"/>
      <c r="UBO67" s="382"/>
      <c r="UBP67" s="382"/>
      <c r="UBQ67" s="382"/>
      <c r="UBR67" s="382"/>
      <c r="UBS67" s="382"/>
      <c r="UBT67" s="382"/>
      <c r="UBU67" s="382"/>
      <c r="UBV67" s="382"/>
      <c r="UBW67" s="382"/>
      <c r="UBX67" s="382"/>
      <c r="UBY67" s="382"/>
      <c r="UBZ67" s="382"/>
      <c r="UCA67" s="382"/>
      <c r="UCB67" s="382"/>
      <c r="UCC67" s="382"/>
      <c r="UCD67" s="382"/>
      <c r="UCE67" s="382"/>
      <c r="UCF67" s="382"/>
      <c r="UCG67" s="382"/>
      <c r="UCH67" s="382"/>
      <c r="UCI67" s="382"/>
      <c r="UCJ67" s="382"/>
      <c r="UCK67" s="382"/>
      <c r="UCL67" s="382"/>
      <c r="UCM67" s="382"/>
      <c r="UCN67" s="382"/>
      <c r="UCO67" s="382"/>
      <c r="UCP67" s="382"/>
      <c r="UCQ67" s="382"/>
      <c r="UCR67" s="382"/>
      <c r="UCS67" s="382"/>
      <c r="UCT67" s="382"/>
      <c r="UCU67" s="382"/>
      <c r="UCV67" s="382"/>
      <c r="UCW67" s="382"/>
      <c r="UCX67" s="382"/>
      <c r="UCY67" s="382"/>
      <c r="UCZ67" s="382"/>
      <c r="UDA67" s="382"/>
      <c r="UDB67" s="382"/>
      <c r="UDC67" s="382"/>
      <c r="UDD67" s="382"/>
      <c r="UDE67" s="382"/>
      <c r="UDF67" s="382"/>
      <c r="UDG67" s="382"/>
      <c r="UDH67" s="382"/>
      <c r="UDI67" s="382"/>
      <c r="UDJ67" s="382"/>
      <c r="UDK67" s="382"/>
      <c r="UDL67" s="382"/>
      <c r="UDM67" s="382"/>
      <c r="UDN67" s="382"/>
      <c r="UDO67" s="382"/>
      <c r="UDP67" s="382"/>
      <c r="UDQ67" s="382"/>
      <c r="UDR67" s="382"/>
      <c r="UDS67" s="382"/>
      <c r="UDT67" s="382"/>
      <c r="UDU67" s="382"/>
      <c r="UDV67" s="382"/>
      <c r="UDW67" s="382"/>
      <c r="UDX67" s="382"/>
      <c r="UDY67" s="382"/>
      <c r="UDZ67" s="382"/>
      <c r="UEA67" s="382"/>
      <c r="UEB67" s="382"/>
      <c r="UEC67" s="382"/>
      <c r="UED67" s="382"/>
      <c r="UEE67" s="382"/>
      <c r="UEF67" s="382"/>
      <c r="UEG67" s="382"/>
      <c r="UEH67" s="382"/>
      <c r="UEI67" s="382"/>
      <c r="UEJ67" s="382"/>
      <c r="UEK67" s="382"/>
      <c r="UEL67" s="382"/>
      <c r="UEM67" s="382"/>
      <c r="UEN67" s="382"/>
      <c r="UEO67" s="382"/>
      <c r="UEP67" s="382"/>
      <c r="UEQ67" s="382"/>
      <c r="UER67" s="382"/>
      <c r="UES67" s="382"/>
      <c r="UET67" s="382"/>
      <c r="UEU67" s="382"/>
      <c r="UEV67" s="382"/>
      <c r="UEW67" s="382"/>
      <c r="UEX67" s="382"/>
      <c r="UEY67" s="382"/>
      <c r="UEZ67" s="382"/>
      <c r="UFA67" s="382"/>
      <c r="UFB67" s="382"/>
      <c r="UFC67" s="382"/>
      <c r="UFD67" s="382"/>
      <c r="UFE67" s="382"/>
      <c r="UFF67" s="382"/>
      <c r="UFG67" s="382"/>
      <c r="UFH67" s="382"/>
      <c r="UFI67" s="382"/>
      <c r="UFJ67" s="382"/>
      <c r="UFK67" s="382"/>
      <c r="UFL67" s="382"/>
      <c r="UFM67" s="382"/>
      <c r="UFN67" s="382"/>
      <c r="UFO67" s="382"/>
      <c r="UFP67" s="382"/>
      <c r="UFQ67" s="382"/>
      <c r="UFR67" s="382"/>
      <c r="UFS67" s="382"/>
      <c r="UFT67" s="382"/>
      <c r="UFU67" s="382"/>
      <c r="UFV67" s="382"/>
      <c r="UFW67" s="382"/>
      <c r="UFX67" s="382"/>
      <c r="UFY67" s="382"/>
      <c r="UFZ67" s="382"/>
      <c r="UGA67" s="382"/>
      <c r="UGB67" s="382"/>
      <c r="UGC67" s="382"/>
      <c r="UGD67" s="382"/>
      <c r="UGE67" s="382"/>
      <c r="UGF67" s="382"/>
      <c r="UGG67" s="382"/>
      <c r="UGH67" s="382"/>
      <c r="UGI67" s="382"/>
      <c r="UGJ67" s="382"/>
      <c r="UGK67" s="382"/>
      <c r="UGL67" s="382"/>
      <c r="UGM67" s="382"/>
      <c r="UGN67" s="382"/>
      <c r="UGO67" s="382"/>
      <c r="UGP67" s="382"/>
      <c r="UGQ67" s="382"/>
      <c r="UGR67" s="382"/>
      <c r="UGS67" s="382"/>
      <c r="UGT67" s="382"/>
      <c r="UGU67" s="382"/>
      <c r="UGV67" s="382"/>
      <c r="UGW67" s="382"/>
      <c r="UGX67" s="382"/>
      <c r="UGY67" s="382"/>
      <c r="UGZ67" s="382"/>
      <c r="UHA67" s="382"/>
      <c r="UHB67" s="382"/>
      <c r="UHC67" s="382"/>
      <c r="UHD67" s="382"/>
      <c r="UHE67" s="382"/>
      <c r="UHF67" s="382"/>
      <c r="UHG67" s="382"/>
      <c r="UHH67" s="382"/>
      <c r="UHI67" s="382"/>
      <c r="UHJ67" s="382"/>
      <c r="UHK67" s="382"/>
      <c r="UHL67" s="382"/>
      <c r="UHM67" s="382"/>
      <c r="UHN67" s="382"/>
      <c r="UHO67" s="382"/>
      <c r="UHP67" s="382"/>
      <c r="UHQ67" s="382"/>
      <c r="UHR67" s="382"/>
      <c r="UHS67" s="382"/>
      <c r="UHT67" s="382"/>
      <c r="UHU67" s="382"/>
      <c r="UHV67" s="382"/>
      <c r="UHW67" s="382"/>
      <c r="UHX67" s="382"/>
      <c r="UHY67" s="382"/>
      <c r="UHZ67" s="382"/>
      <c r="UIA67" s="382"/>
      <c r="UIB67" s="382"/>
      <c r="UIC67" s="382"/>
      <c r="UID67" s="382"/>
      <c r="UIE67" s="382"/>
      <c r="UIF67" s="382"/>
      <c r="UIG67" s="382"/>
      <c r="UIH67" s="382"/>
      <c r="UII67" s="382"/>
      <c r="UIJ67" s="382"/>
      <c r="UIK67" s="382"/>
      <c r="UIL67" s="382"/>
      <c r="UIM67" s="382"/>
      <c r="UIN67" s="382"/>
      <c r="UIO67" s="382"/>
      <c r="UIP67" s="382"/>
      <c r="UIQ67" s="382"/>
      <c r="UIR67" s="382"/>
      <c r="UIS67" s="382"/>
      <c r="UIT67" s="382"/>
      <c r="UIU67" s="382"/>
      <c r="UIV67" s="382"/>
      <c r="UIW67" s="382"/>
      <c r="UIX67" s="382"/>
      <c r="UIY67" s="382"/>
      <c r="UIZ67" s="382"/>
      <c r="UJA67" s="382"/>
      <c r="UJB67" s="382"/>
      <c r="UJC67" s="382"/>
      <c r="UJD67" s="382"/>
      <c r="UJE67" s="382"/>
      <c r="UJF67" s="382"/>
      <c r="UJG67" s="382"/>
      <c r="UJH67" s="382"/>
      <c r="UJI67" s="382"/>
      <c r="UJJ67" s="382"/>
      <c r="UJK67" s="382"/>
      <c r="UJL67" s="382"/>
      <c r="UJM67" s="382"/>
      <c r="UJN67" s="382"/>
      <c r="UJO67" s="382"/>
      <c r="UJP67" s="382"/>
      <c r="UJQ67" s="382"/>
      <c r="UJR67" s="382"/>
      <c r="UJS67" s="382"/>
      <c r="UJT67" s="382"/>
      <c r="UJU67" s="382"/>
      <c r="UJV67" s="382"/>
      <c r="UJW67" s="382"/>
      <c r="UJX67" s="382"/>
      <c r="UJY67" s="382"/>
      <c r="UJZ67" s="382"/>
      <c r="UKA67" s="382"/>
      <c r="UKB67" s="382"/>
      <c r="UKC67" s="382"/>
      <c r="UKD67" s="382"/>
      <c r="UKE67" s="382"/>
      <c r="UKF67" s="382"/>
      <c r="UKG67" s="382"/>
      <c r="UKH67" s="382"/>
      <c r="UKI67" s="382"/>
      <c r="UKJ67" s="382"/>
      <c r="UKK67" s="382"/>
      <c r="UKL67" s="382"/>
      <c r="UKM67" s="382"/>
      <c r="UKN67" s="382"/>
      <c r="UKO67" s="382"/>
      <c r="UKP67" s="382"/>
      <c r="UKQ67" s="382"/>
      <c r="UKR67" s="382"/>
      <c r="UKS67" s="382"/>
      <c r="UKT67" s="382"/>
      <c r="UKU67" s="382"/>
      <c r="UKV67" s="382"/>
      <c r="UKW67" s="382"/>
      <c r="UKX67" s="382"/>
      <c r="UKY67" s="382"/>
      <c r="UKZ67" s="382"/>
      <c r="ULA67" s="382"/>
      <c r="ULB67" s="382"/>
      <c r="ULC67" s="382"/>
      <c r="ULD67" s="382"/>
      <c r="ULE67" s="382"/>
      <c r="ULF67" s="382"/>
      <c r="ULG67" s="382"/>
      <c r="ULH67" s="382"/>
      <c r="ULI67" s="382"/>
      <c r="ULJ67" s="382"/>
      <c r="ULK67" s="382"/>
      <c r="ULL67" s="382"/>
      <c r="ULM67" s="382"/>
      <c r="ULN67" s="382"/>
      <c r="ULO67" s="382"/>
      <c r="ULP67" s="382"/>
      <c r="ULQ67" s="382"/>
      <c r="ULR67" s="382"/>
      <c r="ULS67" s="382"/>
      <c r="ULT67" s="382"/>
      <c r="ULU67" s="382"/>
      <c r="ULV67" s="382"/>
      <c r="ULW67" s="382"/>
      <c r="ULX67" s="382"/>
      <c r="ULY67" s="382"/>
      <c r="ULZ67" s="382"/>
      <c r="UMA67" s="382"/>
      <c r="UMB67" s="382"/>
      <c r="UMC67" s="382"/>
      <c r="UMD67" s="382"/>
      <c r="UME67" s="382"/>
      <c r="UMF67" s="382"/>
      <c r="UMG67" s="382"/>
      <c r="UMH67" s="382"/>
      <c r="UMI67" s="382"/>
      <c r="UMJ67" s="382"/>
      <c r="UMK67" s="382"/>
      <c r="UML67" s="382"/>
      <c r="UMM67" s="382"/>
      <c r="UMN67" s="382"/>
      <c r="UMO67" s="382"/>
      <c r="UMP67" s="382"/>
      <c r="UMQ67" s="382"/>
      <c r="UMR67" s="382"/>
      <c r="UMS67" s="382"/>
      <c r="UMT67" s="382"/>
      <c r="UMU67" s="382"/>
      <c r="UMV67" s="382"/>
      <c r="UMW67" s="382"/>
      <c r="UMX67" s="382"/>
      <c r="UMY67" s="382"/>
      <c r="UMZ67" s="382"/>
      <c r="UNA67" s="382"/>
      <c r="UNB67" s="382"/>
      <c r="UNC67" s="382"/>
      <c r="UND67" s="382"/>
      <c r="UNE67" s="382"/>
      <c r="UNF67" s="382"/>
      <c r="UNG67" s="382"/>
      <c r="UNH67" s="382"/>
      <c r="UNI67" s="382"/>
      <c r="UNJ67" s="382"/>
      <c r="UNK67" s="382"/>
      <c r="UNL67" s="382"/>
      <c r="UNM67" s="382"/>
      <c r="UNN67" s="382"/>
      <c r="UNO67" s="382"/>
      <c r="UNP67" s="382"/>
      <c r="UNQ67" s="382"/>
      <c r="UNR67" s="382"/>
      <c r="UNS67" s="382"/>
      <c r="UNT67" s="382"/>
      <c r="UNU67" s="382"/>
      <c r="UNV67" s="382"/>
      <c r="UNW67" s="382"/>
      <c r="UNX67" s="382"/>
      <c r="UNY67" s="382"/>
      <c r="UNZ67" s="382"/>
      <c r="UOA67" s="382"/>
      <c r="UOB67" s="382"/>
      <c r="UOC67" s="382"/>
      <c r="UOD67" s="382"/>
      <c r="UOE67" s="382"/>
      <c r="UOF67" s="382"/>
      <c r="UOG67" s="382"/>
      <c r="UOH67" s="382"/>
      <c r="UOI67" s="382"/>
      <c r="UOJ67" s="382"/>
      <c r="UOK67" s="382"/>
      <c r="UOL67" s="382"/>
      <c r="UOM67" s="382"/>
      <c r="UON67" s="382"/>
      <c r="UOO67" s="382"/>
      <c r="UOP67" s="382"/>
      <c r="UOQ67" s="382"/>
      <c r="UOR67" s="382"/>
      <c r="UOS67" s="382"/>
      <c r="UOT67" s="382"/>
      <c r="UOU67" s="382"/>
      <c r="UOV67" s="382"/>
      <c r="UOW67" s="382"/>
      <c r="UOX67" s="382"/>
      <c r="UOY67" s="382"/>
      <c r="UOZ67" s="382"/>
      <c r="UPA67" s="382"/>
      <c r="UPB67" s="382"/>
      <c r="UPC67" s="382"/>
      <c r="UPD67" s="382"/>
      <c r="UPE67" s="382"/>
      <c r="UPF67" s="382"/>
      <c r="UPG67" s="382"/>
      <c r="UPH67" s="382"/>
      <c r="UPI67" s="382"/>
      <c r="UPJ67" s="382"/>
      <c r="UPK67" s="382"/>
      <c r="UPL67" s="382"/>
      <c r="UPM67" s="382"/>
      <c r="UPN67" s="382"/>
      <c r="UPO67" s="382"/>
      <c r="UPP67" s="382"/>
      <c r="UPQ67" s="382"/>
      <c r="UPR67" s="382"/>
      <c r="UPS67" s="382"/>
      <c r="UPT67" s="382"/>
      <c r="UPU67" s="382"/>
      <c r="UPV67" s="382"/>
      <c r="UPW67" s="382"/>
      <c r="UPX67" s="382"/>
      <c r="UPY67" s="382"/>
      <c r="UPZ67" s="382"/>
      <c r="UQA67" s="382"/>
      <c r="UQB67" s="382"/>
      <c r="UQC67" s="382"/>
      <c r="UQD67" s="382"/>
      <c r="UQE67" s="382"/>
      <c r="UQF67" s="382"/>
      <c r="UQG67" s="382"/>
      <c r="UQH67" s="382"/>
      <c r="UQI67" s="382"/>
      <c r="UQJ67" s="382"/>
      <c r="UQK67" s="382"/>
      <c r="UQL67" s="382"/>
      <c r="UQM67" s="382"/>
      <c r="UQN67" s="382"/>
      <c r="UQO67" s="382"/>
      <c r="UQP67" s="382"/>
      <c r="UQQ67" s="382"/>
      <c r="UQR67" s="382"/>
      <c r="UQS67" s="382"/>
      <c r="UQT67" s="382"/>
      <c r="UQU67" s="382"/>
      <c r="UQV67" s="382"/>
      <c r="UQW67" s="382"/>
      <c r="UQX67" s="382"/>
      <c r="UQY67" s="382"/>
      <c r="UQZ67" s="382"/>
      <c r="URA67" s="382"/>
      <c r="URB67" s="382"/>
      <c r="URC67" s="382"/>
      <c r="URD67" s="382"/>
      <c r="URE67" s="382"/>
      <c r="URF67" s="382"/>
      <c r="URG67" s="382"/>
      <c r="URH67" s="382"/>
      <c r="URI67" s="382"/>
      <c r="URJ67" s="382"/>
      <c r="URK67" s="382"/>
      <c r="URL67" s="382"/>
      <c r="URM67" s="382"/>
      <c r="URN67" s="382"/>
      <c r="URO67" s="382"/>
      <c r="URP67" s="382"/>
      <c r="URQ67" s="382"/>
      <c r="URR67" s="382"/>
      <c r="URS67" s="382"/>
      <c r="URT67" s="382"/>
      <c r="URU67" s="382"/>
      <c r="URV67" s="382"/>
      <c r="URW67" s="382"/>
      <c r="URX67" s="382"/>
      <c r="URY67" s="382"/>
      <c r="URZ67" s="382"/>
      <c r="USA67" s="382"/>
      <c r="USB67" s="382"/>
      <c r="USC67" s="382"/>
      <c r="USD67" s="382"/>
      <c r="USE67" s="382"/>
      <c r="USF67" s="382"/>
      <c r="USG67" s="382"/>
      <c r="USH67" s="382"/>
      <c r="USI67" s="382"/>
      <c r="USJ67" s="382"/>
      <c r="USK67" s="382"/>
      <c r="USL67" s="382"/>
      <c r="USM67" s="382"/>
      <c r="USN67" s="382"/>
      <c r="USO67" s="382"/>
      <c r="USP67" s="382"/>
      <c r="USQ67" s="382"/>
      <c r="USR67" s="382"/>
      <c r="USS67" s="382"/>
      <c r="UST67" s="382"/>
      <c r="USU67" s="382"/>
      <c r="USV67" s="382"/>
      <c r="USW67" s="382"/>
      <c r="USX67" s="382"/>
      <c r="USY67" s="382"/>
      <c r="USZ67" s="382"/>
      <c r="UTA67" s="382"/>
      <c r="UTB67" s="382"/>
      <c r="UTC67" s="382"/>
      <c r="UTD67" s="382"/>
      <c r="UTE67" s="382"/>
      <c r="UTF67" s="382"/>
      <c r="UTG67" s="382"/>
      <c r="UTH67" s="382"/>
      <c r="UTI67" s="382"/>
      <c r="UTJ67" s="382"/>
      <c r="UTK67" s="382"/>
      <c r="UTL67" s="382"/>
      <c r="UTM67" s="382"/>
      <c r="UTN67" s="382"/>
      <c r="UTO67" s="382"/>
      <c r="UTP67" s="382"/>
      <c r="UTQ67" s="382"/>
      <c r="UTR67" s="382"/>
      <c r="UTS67" s="382"/>
      <c r="UTT67" s="382"/>
      <c r="UTU67" s="382"/>
      <c r="UTV67" s="382"/>
      <c r="UTW67" s="382"/>
      <c r="UTX67" s="382"/>
      <c r="UTY67" s="382"/>
      <c r="UTZ67" s="382"/>
      <c r="UUA67" s="382"/>
      <c r="UUB67" s="382"/>
      <c r="UUC67" s="382"/>
      <c r="UUD67" s="382"/>
      <c r="UUE67" s="382"/>
      <c r="UUF67" s="382"/>
      <c r="UUG67" s="382"/>
      <c r="UUH67" s="382"/>
      <c r="UUI67" s="382"/>
      <c r="UUJ67" s="382"/>
      <c r="UUK67" s="382"/>
      <c r="UUL67" s="382"/>
      <c r="UUM67" s="382"/>
      <c r="UUN67" s="382"/>
      <c r="UUO67" s="382"/>
      <c r="UUP67" s="382"/>
      <c r="UUQ67" s="382"/>
      <c r="UUR67" s="382"/>
      <c r="UUS67" s="382"/>
      <c r="UUT67" s="382"/>
      <c r="UUU67" s="382"/>
      <c r="UUV67" s="382"/>
      <c r="UUW67" s="382"/>
      <c r="UUX67" s="382"/>
      <c r="UUY67" s="382"/>
      <c r="UUZ67" s="382"/>
      <c r="UVA67" s="382"/>
      <c r="UVB67" s="382"/>
      <c r="UVC67" s="382"/>
      <c r="UVD67" s="382"/>
      <c r="UVE67" s="382"/>
      <c r="UVF67" s="382"/>
      <c r="UVG67" s="382"/>
      <c r="UVH67" s="382"/>
      <c r="UVI67" s="382"/>
      <c r="UVJ67" s="382"/>
      <c r="UVK67" s="382"/>
      <c r="UVL67" s="382"/>
      <c r="UVM67" s="382"/>
      <c r="UVN67" s="382"/>
      <c r="UVO67" s="382"/>
      <c r="UVP67" s="382"/>
      <c r="UVQ67" s="382"/>
      <c r="UVR67" s="382"/>
      <c r="UVS67" s="382"/>
      <c r="UVT67" s="382"/>
      <c r="UVU67" s="382"/>
      <c r="UVV67" s="382"/>
      <c r="UVW67" s="382"/>
      <c r="UVX67" s="382"/>
      <c r="UVY67" s="382"/>
      <c r="UVZ67" s="382"/>
      <c r="UWA67" s="382"/>
      <c r="UWB67" s="382"/>
      <c r="UWC67" s="382"/>
      <c r="UWD67" s="382"/>
      <c r="UWE67" s="382"/>
      <c r="UWF67" s="382"/>
      <c r="UWG67" s="382"/>
      <c r="UWH67" s="382"/>
      <c r="UWI67" s="382"/>
      <c r="UWJ67" s="382"/>
      <c r="UWK67" s="382"/>
      <c r="UWL67" s="382"/>
      <c r="UWM67" s="382"/>
      <c r="UWN67" s="382"/>
      <c r="UWO67" s="382"/>
      <c r="UWP67" s="382"/>
      <c r="UWQ67" s="382"/>
      <c r="UWR67" s="382"/>
      <c r="UWS67" s="382"/>
      <c r="UWT67" s="382"/>
      <c r="UWU67" s="382"/>
      <c r="UWV67" s="382"/>
      <c r="UWW67" s="382"/>
      <c r="UWX67" s="382"/>
      <c r="UWY67" s="382"/>
      <c r="UWZ67" s="382"/>
      <c r="UXA67" s="382"/>
      <c r="UXB67" s="382"/>
      <c r="UXC67" s="382"/>
      <c r="UXD67" s="382"/>
      <c r="UXE67" s="382"/>
      <c r="UXF67" s="382"/>
      <c r="UXG67" s="382"/>
      <c r="UXH67" s="382"/>
      <c r="UXI67" s="382"/>
      <c r="UXJ67" s="382"/>
      <c r="UXK67" s="382"/>
      <c r="UXL67" s="382"/>
      <c r="UXM67" s="382"/>
      <c r="UXN67" s="382"/>
      <c r="UXO67" s="382"/>
      <c r="UXP67" s="382"/>
      <c r="UXQ67" s="382"/>
      <c r="UXR67" s="382"/>
      <c r="UXS67" s="382"/>
      <c r="UXT67" s="382"/>
      <c r="UXU67" s="382"/>
      <c r="UXV67" s="382"/>
      <c r="UXW67" s="382"/>
      <c r="UXX67" s="382"/>
      <c r="UXY67" s="382"/>
      <c r="UXZ67" s="382"/>
      <c r="UYA67" s="382"/>
      <c r="UYB67" s="382"/>
      <c r="UYC67" s="382"/>
      <c r="UYD67" s="382"/>
      <c r="UYE67" s="382"/>
      <c r="UYF67" s="382"/>
      <c r="UYG67" s="382"/>
      <c r="UYH67" s="382"/>
      <c r="UYI67" s="382"/>
      <c r="UYJ67" s="382"/>
      <c r="UYK67" s="382"/>
      <c r="UYL67" s="382"/>
      <c r="UYM67" s="382"/>
      <c r="UYN67" s="382"/>
      <c r="UYO67" s="382"/>
      <c r="UYP67" s="382"/>
      <c r="UYQ67" s="382"/>
      <c r="UYR67" s="382"/>
      <c r="UYS67" s="382"/>
      <c r="UYT67" s="382"/>
      <c r="UYU67" s="382"/>
      <c r="UYV67" s="382"/>
      <c r="UYW67" s="382"/>
      <c r="UYX67" s="382"/>
      <c r="UYY67" s="382"/>
      <c r="UYZ67" s="382"/>
      <c r="UZA67" s="382"/>
      <c r="UZB67" s="382"/>
      <c r="UZC67" s="382"/>
      <c r="UZD67" s="382"/>
      <c r="UZE67" s="382"/>
      <c r="UZF67" s="382"/>
      <c r="UZG67" s="382"/>
      <c r="UZH67" s="382"/>
      <c r="UZI67" s="382"/>
      <c r="UZJ67" s="382"/>
      <c r="UZK67" s="382"/>
      <c r="UZL67" s="382"/>
      <c r="UZM67" s="382"/>
      <c r="UZN67" s="382"/>
      <c r="UZO67" s="382"/>
      <c r="UZP67" s="382"/>
      <c r="UZQ67" s="382"/>
      <c r="UZR67" s="382"/>
      <c r="UZS67" s="382"/>
      <c r="UZT67" s="382"/>
      <c r="UZU67" s="382"/>
      <c r="UZV67" s="382"/>
      <c r="UZW67" s="382"/>
      <c r="UZX67" s="382"/>
      <c r="UZY67" s="382"/>
      <c r="UZZ67" s="382"/>
      <c r="VAA67" s="382"/>
      <c r="VAB67" s="382"/>
      <c r="VAC67" s="382"/>
      <c r="VAD67" s="382"/>
      <c r="VAE67" s="382"/>
      <c r="VAF67" s="382"/>
      <c r="VAG67" s="382"/>
      <c r="VAH67" s="382"/>
      <c r="VAI67" s="382"/>
      <c r="VAJ67" s="382"/>
      <c r="VAK67" s="382"/>
      <c r="VAL67" s="382"/>
      <c r="VAM67" s="382"/>
      <c r="VAN67" s="382"/>
      <c r="VAO67" s="382"/>
      <c r="VAP67" s="382"/>
      <c r="VAQ67" s="382"/>
      <c r="VAR67" s="382"/>
      <c r="VAS67" s="382"/>
      <c r="VAT67" s="382"/>
      <c r="VAU67" s="382"/>
      <c r="VAV67" s="382"/>
      <c r="VAW67" s="382"/>
      <c r="VAX67" s="382"/>
      <c r="VAY67" s="382"/>
      <c r="VAZ67" s="382"/>
      <c r="VBA67" s="382"/>
      <c r="VBB67" s="382"/>
      <c r="VBC67" s="382"/>
      <c r="VBD67" s="382"/>
      <c r="VBE67" s="382"/>
      <c r="VBF67" s="382"/>
      <c r="VBG67" s="382"/>
      <c r="VBH67" s="382"/>
      <c r="VBI67" s="382"/>
      <c r="VBJ67" s="382"/>
      <c r="VBK67" s="382"/>
      <c r="VBL67" s="382"/>
      <c r="VBM67" s="382"/>
      <c r="VBN67" s="382"/>
      <c r="VBO67" s="382"/>
      <c r="VBP67" s="382"/>
      <c r="VBQ67" s="382"/>
      <c r="VBR67" s="382"/>
      <c r="VBS67" s="382"/>
      <c r="VBT67" s="382"/>
      <c r="VBU67" s="382"/>
      <c r="VBV67" s="382"/>
      <c r="VBW67" s="382"/>
      <c r="VBX67" s="382"/>
      <c r="VBY67" s="382"/>
      <c r="VBZ67" s="382"/>
      <c r="VCA67" s="382"/>
      <c r="VCB67" s="382"/>
      <c r="VCC67" s="382"/>
      <c r="VCD67" s="382"/>
      <c r="VCE67" s="382"/>
      <c r="VCF67" s="382"/>
      <c r="VCG67" s="382"/>
      <c r="VCH67" s="382"/>
      <c r="VCI67" s="382"/>
      <c r="VCJ67" s="382"/>
      <c r="VCK67" s="382"/>
      <c r="VCL67" s="382"/>
      <c r="VCM67" s="382"/>
      <c r="VCN67" s="382"/>
      <c r="VCO67" s="382"/>
      <c r="VCP67" s="382"/>
      <c r="VCQ67" s="382"/>
      <c r="VCR67" s="382"/>
      <c r="VCS67" s="382"/>
      <c r="VCT67" s="382"/>
      <c r="VCU67" s="382"/>
      <c r="VCV67" s="382"/>
      <c r="VCW67" s="382"/>
      <c r="VCX67" s="382"/>
      <c r="VCY67" s="382"/>
      <c r="VCZ67" s="382"/>
      <c r="VDA67" s="382"/>
      <c r="VDB67" s="382"/>
      <c r="VDC67" s="382"/>
      <c r="VDD67" s="382"/>
      <c r="VDE67" s="382"/>
      <c r="VDF67" s="382"/>
      <c r="VDG67" s="382"/>
      <c r="VDH67" s="382"/>
      <c r="VDI67" s="382"/>
      <c r="VDJ67" s="382"/>
      <c r="VDK67" s="382"/>
      <c r="VDL67" s="382"/>
      <c r="VDM67" s="382"/>
      <c r="VDN67" s="382"/>
      <c r="VDO67" s="382"/>
      <c r="VDP67" s="382"/>
      <c r="VDQ67" s="382"/>
      <c r="VDR67" s="382"/>
      <c r="VDS67" s="382"/>
      <c r="VDT67" s="382"/>
      <c r="VDU67" s="382"/>
      <c r="VDV67" s="382"/>
      <c r="VDW67" s="382"/>
      <c r="VDX67" s="382"/>
      <c r="VDY67" s="382"/>
      <c r="VDZ67" s="382"/>
      <c r="VEA67" s="382"/>
      <c r="VEB67" s="382"/>
      <c r="VEC67" s="382"/>
      <c r="VED67" s="382"/>
      <c r="VEE67" s="382"/>
      <c r="VEF67" s="382"/>
      <c r="VEG67" s="382"/>
      <c r="VEH67" s="382"/>
      <c r="VEI67" s="382"/>
      <c r="VEJ67" s="382"/>
      <c r="VEK67" s="382"/>
      <c r="VEL67" s="382"/>
      <c r="VEM67" s="382"/>
      <c r="VEN67" s="382"/>
      <c r="VEO67" s="382"/>
      <c r="VEP67" s="382"/>
      <c r="VEQ67" s="382"/>
      <c r="VER67" s="382"/>
      <c r="VES67" s="382"/>
      <c r="VET67" s="382"/>
      <c r="VEU67" s="382"/>
      <c r="VEV67" s="382"/>
      <c r="VEW67" s="382"/>
      <c r="VEX67" s="382"/>
      <c r="VEY67" s="382"/>
      <c r="VEZ67" s="382"/>
      <c r="VFA67" s="382"/>
      <c r="VFB67" s="382"/>
      <c r="VFC67" s="382"/>
      <c r="VFD67" s="382"/>
      <c r="VFE67" s="382"/>
      <c r="VFF67" s="382"/>
      <c r="VFG67" s="382"/>
      <c r="VFH67" s="382"/>
      <c r="VFI67" s="382"/>
      <c r="VFJ67" s="382"/>
      <c r="VFK67" s="382"/>
      <c r="VFL67" s="382"/>
      <c r="VFM67" s="382"/>
      <c r="VFN67" s="382"/>
      <c r="VFO67" s="382"/>
      <c r="VFP67" s="382"/>
      <c r="VFQ67" s="382"/>
      <c r="VFR67" s="382"/>
      <c r="VFS67" s="382"/>
      <c r="VFT67" s="382"/>
      <c r="VFU67" s="382"/>
      <c r="VFV67" s="382"/>
      <c r="VFW67" s="382"/>
      <c r="VFX67" s="382"/>
      <c r="VFY67" s="382"/>
      <c r="VFZ67" s="382"/>
      <c r="VGA67" s="382"/>
      <c r="VGB67" s="382"/>
      <c r="VGC67" s="382"/>
      <c r="VGD67" s="382"/>
      <c r="VGE67" s="382"/>
      <c r="VGF67" s="382"/>
      <c r="VGG67" s="382"/>
      <c r="VGH67" s="382"/>
      <c r="VGI67" s="382"/>
      <c r="VGJ67" s="382"/>
      <c r="VGK67" s="382"/>
      <c r="VGL67" s="382"/>
      <c r="VGM67" s="382"/>
      <c r="VGN67" s="382"/>
      <c r="VGO67" s="382"/>
      <c r="VGP67" s="382"/>
      <c r="VGQ67" s="382"/>
      <c r="VGR67" s="382"/>
      <c r="VGS67" s="382"/>
      <c r="VGT67" s="382"/>
      <c r="VGU67" s="382"/>
      <c r="VGV67" s="382"/>
      <c r="VGW67" s="382"/>
      <c r="VGX67" s="382"/>
      <c r="VGY67" s="382"/>
      <c r="VGZ67" s="382"/>
      <c r="VHA67" s="382"/>
      <c r="VHB67" s="382"/>
      <c r="VHC67" s="382"/>
      <c r="VHD67" s="382"/>
      <c r="VHE67" s="382"/>
      <c r="VHF67" s="382"/>
      <c r="VHG67" s="382"/>
      <c r="VHH67" s="382"/>
      <c r="VHI67" s="382"/>
      <c r="VHJ67" s="382"/>
      <c r="VHK67" s="382"/>
      <c r="VHL67" s="382"/>
      <c r="VHM67" s="382"/>
      <c r="VHN67" s="382"/>
      <c r="VHO67" s="382"/>
      <c r="VHP67" s="382"/>
      <c r="VHQ67" s="382"/>
      <c r="VHR67" s="382"/>
      <c r="VHS67" s="382"/>
      <c r="VHT67" s="382"/>
      <c r="VHU67" s="382"/>
      <c r="VHV67" s="382"/>
      <c r="VHW67" s="382"/>
      <c r="VHX67" s="382"/>
      <c r="VHY67" s="382"/>
      <c r="VHZ67" s="382"/>
      <c r="VIA67" s="382"/>
      <c r="VIB67" s="382"/>
      <c r="VIC67" s="382"/>
      <c r="VID67" s="382"/>
      <c r="VIE67" s="382"/>
      <c r="VIF67" s="382"/>
      <c r="VIG67" s="382"/>
      <c r="VIH67" s="382"/>
      <c r="VII67" s="382"/>
      <c r="VIJ67" s="382"/>
      <c r="VIK67" s="382"/>
      <c r="VIL67" s="382"/>
      <c r="VIM67" s="382"/>
      <c r="VIN67" s="382"/>
      <c r="VIO67" s="382"/>
      <c r="VIP67" s="382"/>
      <c r="VIQ67" s="382"/>
      <c r="VIR67" s="382"/>
      <c r="VIS67" s="382"/>
      <c r="VIT67" s="382"/>
      <c r="VIU67" s="382"/>
      <c r="VIV67" s="382"/>
      <c r="VIW67" s="382"/>
      <c r="VIX67" s="382"/>
      <c r="VIY67" s="382"/>
      <c r="VIZ67" s="382"/>
      <c r="VJA67" s="382"/>
      <c r="VJB67" s="382"/>
      <c r="VJC67" s="382"/>
      <c r="VJD67" s="382"/>
      <c r="VJE67" s="382"/>
      <c r="VJF67" s="382"/>
      <c r="VJG67" s="382"/>
      <c r="VJH67" s="382"/>
      <c r="VJI67" s="382"/>
      <c r="VJJ67" s="382"/>
      <c r="VJK67" s="382"/>
      <c r="VJL67" s="382"/>
      <c r="VJM67" s="382"/>
      <c r="VJN67" s="382"/>
      <c r="VJO67" s="382"/>
      <c r="VJP67" s="382"/>
      <c r="VJQ67" s="382"/>
      <c r="VJR67" s="382"/>
      <c r="VJS67" s="382"/>
      <c r="VJT67" s="382"/>
      <c r="VJU67" s="382"/>
      <c r="VJV67" s="382"/>
      <c r="VJW67" s="382"/>
      <c r="VJX67" s="382"/>
      <c r="VJY67" s="382"/>
      <c r="VJZ67" s="382"/>
      <c r="VKA67" s="382"/>
      <c r="VKB67" s="382"/>
      <c r="VKC67" s="382"/>
      <c r="VKD67" s="382"/>
      <c r="VKE67" s="382"/>
      <c r="VKF67" s="382"/>
      <c r="VKG67" s="382"/>
      <c r="VKH67" s="382"/>
      <c r="VKI67" s="382"/>
      <c r="VKJ67" s="382"/>
      <c r="VKK67" s="382"/>
      <c r="VKL67" s="382"/>
      <c r="VKM67" s="382"/>
      <c r="VKN67" s="382"/>
      <c r="VKO67" s="382"/>
      <c r="VKP67" s="382"/>
      <c r="VKQ67" s="382"/>
      <c r="VKR67" s="382"/>
      <c r="VKS67" s="382"/>
      <c r="VKT67" s="382"/>
      <c r="VKU67" s="382"/>
      <c r="VKV67" s="382"/>
      <c r="VKW67" s="382"/>
      <c r="VKX67" s="382"/>
      <c r="VKY67" s="382"/>
      <c r="VKZ67" s="382"/>
      <c r="VLA67" s="382"/>
      <c r="VLB67" s="382"/>
      <c r="VLC67" s="382"/>
      <c r="VLD67" s="382"/>
      <c r="VLE67" s="382"/>
      <c r="VLF67" s="382"/>
      <c r="VLG67" s="382"/>
      <c r="VLH67" s="382"/>
      <c r="VLI67" s="382"/>
      <c r="VLJ67" s="382"/>
      <c r="VLK67" s="382"/>
      <c r="VLL67" s="382"/>
      <c r="VLM67" s="382"/>
      <c r="VLN67" s="382"/>
      <c r="VLO67" s="382"/>
      <c r="VLP67" s="382"/>
      <c r="VLQ67" s="382"/>
      <c r="VLR67" s="382"/>
      <c r="VLS67" s="382"/>
      <c r="VLT67" s="382"/>
      <c r="VLU67" s="382"/>
      <c r="VLV67" s="382"/>
      <c r="VLW67" s="382"/>
      <c r="VLX67" s="382"/>
      <c r="VLY67" s="382"/>
      <c r="VLZ67" s="382"/>
      <c r="VMA67" s="382"/>
      <c r="VMB67" s="382"/>
      <c r="VMC67" s="382"/>
      <c r="VMD67" s="382"/>
      <c r="VME67" s="382"/>
      <c r="VMF67" s="382"/>
      <c r="VMG67" s="382"/>
      <c r="VMH67" s="382"/>
      <c r="VMI67" s="382"/>
      <c r="VMJ67" s="382"/>
      <c r="VMK67" s="382"/>
      <c r="VML67" s="382"/>
      <c r="VMM67" s="382"/>
      <c r="VMN67" s="382"/>
      <c r="VMO67" s="382"/>
      <c r="VMP67" s="382"/>
      <c r="VMQ67" s="382"/>
      <c r="VMR67" s="382"/>
      <c r="VMS67" s="382"/>
      <c r="VMT67" s="382"/>
      <c r="VMU67" s="382"/>
      <c r="VMV67" s="382"/>
      <c r="VMW67" s="382"/>
      <c r="VMX67" s="382"/>
      <c r="VMY67" s="382"/>
      <c r="VMZ67" s="382"/>
      <c r="VNA67" s="382"/>
      <c r="VNB67" s="382"/>
      <c r="VNC67" s="382"/>
      <c r="VND67" s="382"/>
      <c r="VNE67" s="382"/>
      <c r="VNF67" s="382"/>
      <c r="VNG67" s="382"/>
      <c r="VNH67" s="382"/>
      <c r="VNI67" s="382"/>
      <c r="VNJ67" s="382"/>
      <c r="VNK67" s="382"/>
      <c r="VNL67" s="382"/>
      <c r="VNM67" s="382"/>
      <c r="VNN67" s="382"/>
      <c r="VNO67" s="382"/>
      <c r="VNP67" s="382"/>
      <c r="VNQ67" s="382"/>
      <c r="VNR67" s="382"/>
      <c r="VNS67" s="382"/>
      <c r="VNT67" s="382"/>
      <c r="VNU67" s="382"/>
      <c r="VNV67" s="382"/>
      <c r="VNW67" s="382"/>
      <c r="VNX67" s="382"/>
      <c r="VNY67" s="382"/>
      <c r="VNZ67" s="382"/>
      <c r="VOA67" s="382"/>
      <c r="VOB67" s="382"/>
      <c r="VOC67" s="382"/>
      <c r="VOD67" s="382"/>
      <c r="VOE67" s="382"/>
      <c r="VOF67" s="382"/>
      <c r="VOG67" s="382"/>
      <c r="VOH67" s="382"/>
      <c r="VOI67" s="382"/>
      <c r="VOJ67" s="382"/>
      <c r="VOK67" s="382"/>
      <c r="VOL67" s="382"/>
      <c r="VOM67" s="382"/>
      <c r="VON67" s="382"/>
      <c r="VOO67" s="382"/>
      <c r="VOP67" s="382"/>
      <c r="VOQ67" s="382"/>
      <c r="VOR67" s="382"/>
      <c r="VOS67" s="382"/>
      <c r="VOT67" s="382"/>
      <c r="VOU67" s="382"/>
      <c r="VOV67" s="382"/>
      <c r="VOW67" s="382"/>
      <c r="VOX67" s="382"/>
      <c r="VOY67" s="382"/>
      <c r="VOZ67" s="382"/>
      <c r="VPA67" s="382"/>
      <c r="VPB67" s="382"/>
      <c r="VPC67" s="382"/>
      <c r="VPD67" s="382"/>
      <c r="VPE67" s="382"/>
      <c r="VPF67" s="382"/>
      <c r="VPG67" s="382"/>
      <c r="VPH67" s="382"/>
      <c r="VPI67" s="382"/>
      <c r="VPJ67" s="382"/>
      <c r="VPK67" s="382"/>
      <c r="VPL67" s="382"/>
      <c r="VPM67" s="382"/>
      <c r="VPN67" s="382"/>
      <c r="VPO67" s="382"/>
      <c r="VPP67" s="382"/>
      <c r="VPQ67" s="382"/>
      <c r="VPR67" s="382"/>
      <c r="VPS67" s="382"/>
      <c r="VPT67" s="382"/>
      <c r="VPU67" s="382"/>
      <c r="VPV67" s="382"/>
      <c r="VPW67" s="382"/>
      <c r="VPX67" s="382"/>
      <c r="VPY67" s="382"/>
      <c r="VPZ67" s="382"/>
      <c r="VQA67" s="382"/>
      <c r="VQB67" s="382"/>
      <c r="VQC67" s="382"/>
      <c r="VQD67" s="382"/>
      <c r="VQE67" s="382"/>
      <c r="VQF67" s="382"/>
      <c r="VQG67" s="382"/>
      <c r="VQH67" s="382"/>
      <c r="VQI67" s="382"/>
      <c r="VQJ67" s="382"/>
      <c r="VQK67" s="382"/>
      <c r="VQL67" s="382"/>
      <c r="VQM67" s="382"/>
      <c r="VQN67" s="382"/>
      <c r="VQO67" s="382"/>
      <c r="VQP67" s="382"/>
      <c r="VQQ67" s="382"/>
      <c r="VQR67" s="382"/>
      <c r="VQS67" s="382"/>
      <c r="VQT67" s="382"/>
      <c r="VQU67" s="382"/>
      <c r="VQV67" s="382"/>
      <c r="VQW67" s="382"/>
      <c r="VQX67" s="382"/>
      <c r="VQY67" s="382"/>
      <c r="VQZ67" s="382"/>
      <c r="VRA67" s="382"/>
      <c r="VRB67" s="382"/>
      <c r="VRC67" s="382"/>
      <c r="VRD67" s="382"/>
      <c r="VRE67" s="382"/>
      <c r="VRF67" s="382"/>
      <c r="VRG67" s="382"/>
      <c r="VRH67" s="382"/>
      <c r="VRI67" s="382"/>
      <c r="VRJ67" s="382"/>
      <c r="VRK67" s="382"/>
      <c r="VRL67" s="382"/>
      <c r="VRM67" s="382"/>
      <c r="VRN67" s="382"/>
      <c r="VRO67" s="382"/>
      <c r="VRP67" s="382"/>
      <c r="VRQ67" s="382"/>
      <c r="VRR67" s="382"/>
      <c r="VRS67" s="382"/>
      <c r="VRT67" s="382"/>
      <c r="VRU67" s="382"/>
      <c r="VRV67" s="382"/>
      <c r="VRW67" s="382"/>
      <c r="VRX67" s="382"/>
      <c r="VRY67" s="382"/>
      <c r="VRZ67" s="382"/>
      <c r="VSA67" s="382"/>
      <c r="VSB67" s="382"/>
      <c r="VSC67" s="382"/>
      <c r="VSD67" s="382"/>
      <c r="VSE67" s="382"/>
      <c r="VSF67" s="382"/>
      <c r="VSG67" s="382"/>
      <c r="VSH67" s="382"/>
      <c r="VSI67" s="382"/>
      <c r="VSJ67" s="382"/>
      <c r="VSK67" s="382"/>
      <c r="VSL67" s="382"/>
      <c r="VSM67" s="382"/>
      <c r="VSN67" s="382"/>
      <c r="VSO67" s="382"/>
      <c r="VSP67" s="382"/>
      <c r="VSQ67" s="382"/>
      <c r="VSR67" s="382"/>
      <c r="VSS67" s="382"/>
      <c r="VST67" s="382"/>
      <c r="VSU67" s="382"/>
      <c r="VSV67" s="382"/>
      <c r="VSW67" s="382"/>
      <c r="VSX67" s="382"/>
      <c r="VSY67" s="382"/>
      <c r="VSZ67" s="382"/>
      <c r="VTA67" s="382"/>
      <c r="VTB67" s="382"/>
      <c r="VTC67" s="382"/>
      <c r="VTD67" s="382"/>
      <c r="VTE67" s="382"/>
      <c r="VTF67" s="382"/>
      <c r="VTG67" s="382"/>
      <c r="VTH67" s="382"/>
      <c r="VTI67" s="382"/>
      <c r="VTJ67" s="382"/>
      <c r="VTK67" s="382"/>
      <c r="VTL67" s="382"/>
      <c r="VTM67" s="382"/>
      <c r="VTN67" s="382"/>
      <c r="VTO67" s="382"/>
      <c r="VTP67" s="382"/>
      <c r="VTQ67" s="382"/>
      <c r="VTR67" s="382"/>
      <c r="VTS67" s="382"/>
      <c r="VTT67" s="382"/>
      <c r="VTU67" s="382"/>
      <c r="VTV67" s="382"/>
      <c r="VTW67" s="382"/>
      <c r="VTX67" s="382"/>
      <c r="VTY67" s="382"/>
      <c r="VTZ67" s="382"/>
      <c r="VUA67" s="382"/>
      <c r="VUB67" s="382"/>
      <c r="VUC67" s="382"/>
      <c r="VUD67" s="382"/>
      <c r="VUE67" s="382"/>
      <c r="VUF67" s="382"/>
      <c r="VUG67" s="382"/>
      <c r="VUH67" s="382"/>
      <c r="VUI67" s="382"/>
      <c r="VUJ67" s="382"/>
      <c r="VUK67" s="382"/>
      <c r="VUL67" s="382"/>
      <c r="VUM67" s="382"/>
      <c r="VUN67" s="382"/>
      <c r="VUO67" s="382"/>
      <c r="VUP67" s="382"/>
      <c r="VUQ67" s="382"/>
      <c r="VUR67" s="382"/>
      <c r="VUS67" s="382"/>
      <c r="VUT67" s="382"/>
      <c r="VUU67" s="382"/>
      <c r="VUV67" s="382"/>
      <c r="VUW67" s="382"/>
      <c r="VUX67" s="382"/>
      <c r="VUY67" s="382"/>
      <c r="VUZ67" s="382"/>
      <c r="VVA67" s="382"/>
      <c r="VVB67" s="382"/>
      <c r="VVC67" s="382"/>
      <c r="VVD67" s="382"/>
      <c r="VVE67" s="382"/>
      <c r="VVF67" s="382"/>
      <c r="VVG67" s="382"/>
      <c r="VVH67" s="382"/>
      <c r="VVI67" s="382"/>
      <c r="VVJ67" s="382"/>
      <c r="VVK67" s="382"/>
      <c r="VVL67" s="382"/>
      <c r="VVM67" s="382"/>
      <c r="VVN67" s="382"/>
      <c r="VVO67" s="382"/>
      <c r="VVP67" s="382"/>
      <c r="VVQ67" s="382"/>
      <c r="VVR67" s="382"/>
      <c r="VVS67" s="382"/>
      <c r="VVT67" s="382"/>
      <c r="VVU67" s="382"/>
      <c r="VVV67" s="382"/>
      <c r="VVW67" s="382"/>
      <c r="VVX67" s="382"/>
      <c r="VVY67" s="382"/>
      <c r="VVZ67" s="382"/>
      <c r="VWA67" s="382"/>
      <c r="VWB67" s="382"/>
      <c r="VWC67" s="382"/>
      <c r="VWD67" s="382"/>
      <c r="VWE67" s="382"/>
      <c r="VWF67" s="382"/>
      <c r="VWG67" s="382"/>
      <c r="VWH67" s="382"/>
      <c r="VWI67" s="382"/>
      <c r="VWJ67" s="382"/>
      <c r="VWK67" s="382"/>
      <c r="VWL67" s="382"/>
      <c r="VWM67" s="382"/>
      <c r="VWN67" s="382"/>
      <c r="VWO67" s="382"/>
      <c r="VWP67" s="382"/>
      <c r="VWQ67" s="382"/>
      <c r="VWR67" s="382"/>
      <c r="VWS67" s="382"/>
      <c r="VWT67" s="382"/>
      <c r="VWU67" s="382"/>
      <c r="VWV67" s="382"/>
      <c r="VWW67" s="382"/>
      <c r="VWX67" s="382"/>
      <c r="VWY67" s="382"/>
      <c r="VWZ67" s="382"/>
      <c r="VXA67" s="382"/>
      <c r="VXB67" s="382"/>
      <c r="VXC67" s="382"/>
      <c r="VXD67" s="382"/>
      <c r="VXE67" s="382"/>
      <c r="VXF67" s="382"/>
      <c r="VXG67" s="382"/>
      <c r="VXH67" s="382"/>
      <c r="VXI67" s="382"/>
      <c r="VXJ67" s="382"/>
      <c r="VXK67" s="382"/>
      <c r="VXL67" s="382"/>
      <c r="VXM67" s="382"/>
      <c r="VXN67" s="382"/>
      <c r="VXO67" s="382"/>
      <c r="VXP67" s="382"/>
      <c r="VXQ67" s="382"/>
      <c r="VXR67" s="382"/>
      <c r="VXS67" s="382"/>
      <c r="VXT67" s="382"/>
      <c r="VXU67" s="382"/>
      <c r="VXV67" s="382"/>
      <c r="VXW67" s="382"/>
      <c r="VXX67" s="382"/>
      <c r="VXY67" s="382"/>
      <c r="VXZ67" s="382"/>
      <c r="VYA67" s="382"/>
      <c r="VYB67" s="382"/>
      <c r="VYC67" s="382"/>
      <c r="VYD67" s="382"/>
      <c r="VYE67" s="382"/>
      <c r="VYF67" s="382"/>
      <c r="VYG67" s="382"/>
      <c r="VYH67" s="382"/>
      <c r="VYI67" s="382"/>
      <c r="VYJ67" s="382"/>
      <c r="VYK67" s="382"/>
      <c r="VYL67" s="382"/>
      <c r="VYM67" s="382"/>
      <c r="VYN67" s="382"/>
      <c r="VYO67" s="382"/>
      <c r="VYP67" s="382"/>
      <c r="VYQ67" s="382"/>
      <c r="VYR67" s="382"/>
      <c r="VYS67" s="382"/>
      <c r="VYT67" s="382"/>
      <c r="VYU67" s="382"/>
      <c r="VYV67" s="382"/>
      <c r="VYW67" s="382"/>
      <c r="VYX67" s="382"/>
      <c r="VYY67" s="382"/>
      <c r="VYZ67" s="382"/>
      <c r="VZA67" s="382"/>
      <c r="VZB67" s="382"/>
      <c r="VZC67" s="382"/>
      <c r="VZD67" s="382"/>
      <c r="VZE67" s="382"/>
      <c r="VZF67" s="382"/>
      <c r="VZG67" s="382"/>
      <c r="VZH67" s="382"/>
      <c r="VZI67" s="382"/>
      <c r="VZJ67" s="382"/>
      <c r="VZK67" s="382"/>
      <c r="VZL67" s="382"/>
      <c r="VZM67" s="382"/>
      <c r="VZN67" s="382"/>
      <c r="VZO67" s="382"/>
      <c r="VZP67" s="382"/>
      <c r="VZQ67" s="382"/>
      <c r="VZR67" s="382"/>
      <c r="VZS67" s="382"/>
      <c r="VZT67" s="382"/>
      <c r="VZU67" s="382"/>
      <c r="VZV67" s="382"/>
      <c r="VZW67" s="382"/>
      <c r="VZX67" s="382"/>
      <c r="VZY67" s="382"/>
      <c r="VZZ67" s="382"/>
      <c r="WAA67" s="382"/>
      <c r="WAB67" s="382"/>
      <c r="WAC67" s="382"/>
      <c r="WAD67" s="382"/>
      <c r="WAE67" s="382"/>
      <c r="WAF67" s="382"/>
      <c r="WAG67" s="382"/>
      <c r="WAH67" s="382"/>
      <c r="WAI67" s="382"/>
      <c r="WAJ67" s="382"/>
      <c r="WAK67" s="382"/>
      <c r="WAL67" s="382"/>
      <c r="WAM67" s="382"/>
      <c r="WAN67" s="382"/>
      <c r="WAO67" s="382"/>
      <c r="WAP67" s="382"/>
      <c r="WAQ67" s="382"/>
      <c r="WAR67" s="382"/>
      <c r="WAS67" s="382"/>
      <c r="WAT67" s="382"/>
      <c r="WAU67" s="382"/>
      <c r="WAV67" s="382"/>
      <c r="WAW67" s="382"/>
      <c r="WAX67" s="382"/>
      <c r="WAY67" s="382"/>
      <c r="WAZ67" s="382"/>
      <c r="WBA67" s="382"/>
      <c r="WBB67" s="382"/>
      <c r="WBC67" s="382"/>
      <c r="WBD67" s="382"/>
      <c r="WBE67" s="382"/>
      <c r="WBF67" s="382"/>
      <c r="WBG67" s="382"/>
      <c r="WBH67" s="382"/>
      <c r="WBI67" s="382"/>
      <c r="WBJ67" s="382"/>
      <c r="WBK67" s="382"/>
      <c r="WBL67" s="382"/>
      <c r="WBM67" s="382"/>
      <c r="WBN67" s="382"/>
      <c r="WBO67" s="382"/>
      <c r="WBP67" s="382"/>
      <c r="WBQ67" s="382"/>
      <c r="WBR67" s="382"/>
      <c r="WBS67" s="382"/>
      <c r="WBT67" s="382"/>
      <c r="WBU67" s="382"/>
      <c r="WBV67" s="382"/>
      <c r="WBW67" s="382"/>
      <c r="WBX67" s="382"/>
      <c r="WBY67" s="382"/>
      <c r="WBZ67" s="382"/>
      <c r="WCA67" s="382"/>
      <c r="WCB67" s="382"/>
      <c r="WCC67" s="382"/>
      <c r="WCD67" s="382"/>
      <c r="WCE67" s="382"/>
      <c r="WCF67" s="382"/>
      <c r="WCG67" s="382"/>
      <c r="WCH67" s="382"/>
      <c r="WCI67" s="382"/>
      <c r="WCJ67" s="382"/>
      <c r="WCK67" s="382"/>
      <c r="WCL67" s="382"/>
      <c r="WCM67" s="382"/>
      <c r="WCN67" s="382"/>
      <c r="WCO67" s="382"/>
      <c r="WCP67" s="382"/>
      <c r="WCQ67" s="382"/>
      <c r="WCR67" s="382"/>
      <c r="WCS67" s="382"/>
      <c r="WCT67" s="382"/>
      <c r="WCU67" s="382"/>
      <c r="WCV67" s="382"/>
      <c r="WCW67" s="382"/>
      <c r="WCX67" s="382"/>
      <c r="WCY67" s="382"/>
      <c r="WCZ67" s="382"/>
      <c r="WDA67" s="382"/>
      <c r="WDB67" s="382"/>
      <c r="WDC67" s="382"/>
      <c r="WDD67" s="382"/>
      <c r="WDE67" s="382"/>
      <c r="WDF67" s="382"/>
      <c r="WDG67" s="382"/>
      <c r="WDH67" s="382"/>
      <c r="WDI67" s="382"/>
      <c r="WDJ67" s="382"/>
      <c r="WDK67" s="382"/>
      <c r="WDL67" s="382"/>
      <c r="WDM67" s="382"/>
      <c r="WDN67" s="382"/>
      <c r="WDO67" s="382"/>
      <c r="WDP67" s="382"/>
      <c r="WDQ67" s="382"/>
      <c r="WDR67" s="382"/>
      <c r="WDS67" s="382"/>
      <c r="WDT67" s="382"/>
      <c r="WDU67" s="382"/>
      <c r="WDV67" s="382"/>
      <c r="WDW67" s="382"/>
      <c r="WDX67" s="382"/>
      <c r="WDY67" s="382"/>
      <c r="WDZ67" s="382"/>
      <c r="WEA67" s="382"/>
      <c r="WEB67" s="382"/>
      <c r="WEC67" s="382"/>
      <c r="WED67" s="382"/>
      <c r="WEE67" s="382"/>
      <c r="WEF67" s="382"/>
      <c r="WEG67" s="382"/>
      <c r="WEH67" s="382"/>
      <c r="WEI67" s="382"/>
      <c r="WEJ67" s="382"/>
      <c r="WEK67" s="382"/>
      <c r="WEL67" s="382"/>
      <c r="WEM67" s="382"/>
      <c r="WEN67" s="382"/>
      <c r="WEO67" s="382"/>
      <c r="WEP67" s="382"/>
      <c r="WEQ67" s="382"/>
      <c r="WER67" s="382"/>
      <c r="WES67" s="382"/>
      <c r="WET67" s="382"/>
      <c r="WEU67" s="382"/>
      <c r="WEV67" s="382"/>
      <c r="WEW67" s="382"/>
      <c r="WEX67" s="382"/>
      <c r="WEY67" s="382"/>
      <c r="WEZ67" s="382"/>
      <c r="WFA67" s="382"/>
      <c r="WFB67" s="382"/>
      <c r="WFC67" s="382"/>
      <c r="WFD67" s="382"/>
      <c r="WFE67" s="382"/>
      <c r="WFF67" s="382"/>
      <c r="WFG67" s="382"/>
      <c r="WFH67" s="382"/>
      <c r="WFI67" s="382"/>
      <c r="WFJ67" s="382"/>
      <c r="WFK67" s="382"/>
      <c r="WFL67" s="382"/>
      <c r="WFM67" s="382"/>
      <c r="WFN67" s="382"/>
      <c r="WFO67" s="382"/>
      <c r="WFP67" s="382"/>
      <c r="WFQ67" s="382"/>
      <c r="WFR67" s="382"/>
      <c r="WFS67" s="382"/>
      <c r="WFT67" s="382"/>
      <c r="WFU67" s="382"/>
      <c r="WFV67" s="382"/>
      <c r="WFW67" s="382"/>
      <c r="WFX67" s="382"/>
      <c r="WFY67" s="382"/>
      <c r="WFZ67" s="382"/>
      <c r="WGA67" s="382"/>
      <c r="WGB67" s="382"/>
      <c r="WGC67" s="382"/>
      <c r="WGD67" s="382"/>
      <c r="WGE67" s="382"/>
      <c r="WGF67" s="382"/>
      <c r="WGG67" s="382"/>
      <c r="WGH67" s="382"/>
      <c r="WGI67" s="382"/>
      <c r="WGJ67" s="382"/>
      <c r="WGK67" s="382"/>
      <c r="WGL67" s="382"/>
      <c r="WGM67" s="382"/>
      <c r="WGN67" s="382"/>
      <c r="WGO67" s="382"/>
      <c r="WGP67" s="382"/>
      <c r="WGQ67" s="382"/>
      <c r="WGR67" s="382"/>
      <c r="WGS67" s="382"/>
      <c r="WGT67" s="382"/>
      <c r="WGU67" s="382"/>
      <c r="WGV67" s="382"/>
      <c r="WGW67" s="382"/>
      <c r="WGX67" s="382"/>
      <c r="WGY67" s="382"/>
      <c r="WGZ67" s="382"/>
      <c r="WHA67" s="382"/>
      <c r="WHB67" s="382"/>
      <c r="WHC67" s="382"/>
      <c r="WHD67" s="382"/>
      <c r="WHE67" s="382"/>
      <c r="WHF67" s="382"/>
      <c r="WHG67" s="382"/>
      <c r="WHH67" s="382"/>
      <c r="WHI67" s="382"/>
      <c r="WHJ67" s="382"/>
      <c r="WHK67" s="382"/>
      <c r="WHL67" s="382"/>
      <c r="WHM67" s="382"/>
      <c r="WHN67" s="382"/>
      <c r="WHO67" s="382"/>
      <c r="WHP67" s="382"/>
      <c r="WHQ67" s="382"/>
      <c r="WHR67" s="382"/>
      <c r="WHS67" s="382"/>
      <c r="WHT67" s="382"/>
      <c r="WHU67" s="382"/>
      <c r="WHV67" s="382"/>
      <c r="WHW67" s="382"/>
      <c r="WHX67" s="382"/>
      <c r="WHY67" s="382"/>
      <c r="WHZ67" s="382"/>
      <c r="WIA67" s="382"/>
      <c r="WIB67" s="382"/>
      <c r="WIC67" s="382"/>
      <c r="WID67" s="382"/>
      <c r="WIE67" s="382"/>
      <c r="WIF67" s="382"/>
      <c r="WIG67" s="382"/>
      <c r="WIH67" s="382"/>
      <c r="WII67" s="382"/>
      <c r="WIJ67" s="382"/>
      <c r="WIK67" s="382"/>
      <c r="WIL67" s="382"/>
      <c r="WIM67" s="382"/>
      <c r="WIN67" s="382"/>
      <c r="WIO67" s="382"/>
      <c r="WIP67" s="382"/>
      <c r="WIQ67" s="382"/>
      <c r="WIR67" s="382"/>
      <c r="WIS67" s="382"/>
      <c r="WIT67" s="382"/>
      <c r="WIU67" s="382"/>
      <c r="WIV67" s="382"/>
      <c r="WIW67" s="382"/>
      <c r="WIX67" s="382"/>
      <c r="WIY67" s="382"/>
      <c r="WIZ67" s="382"/>
      <c r="WJA67" s="382"/>
      <c r="WJB67" s="382"/>
      <c r="WJC67" s="382"/>
      <c r="WJD67" s="382"/>
      <c r="WJE67" s="382"/>
      <c r="WJF67" s="382"/>
      <c r="WJG67" s="382"/>
      <c r="WJH67" s="382"/>
      <c r="WJI67" s="382"/>
      <c r="WJJ67" s="382"/>
      <c r="WJK67" s="382"/>
      <c r="WJL67" s="382"/>
      <c r="WJM67" s="382"/>
      <c r="WJN67" s="382"/>
      <c r="WJO67" s="382"/>
      <c r="WJP67" s="382"/>
      <c r="WJQ67" s="382"/>
      <c r="WJR67" s="382"/>
      <c r="WJS67" s="382"/>
      <c r="WJT67" s="382"/>
      <c r="WJU67" s="382"/>
      <c r="WJV67" s="382"/>
      <c r="WJW67" s="382"/>
      <c r="WJX67" s="382"/>
      <c r="WJY67" s="382"/>
      <c r="WJZ67" s="382"/>
      <c r="WKA67" s="382"/>
      <c r="WKB67" s="382"/>
      <c r="WKC67" s="382"/>
      <c r="WKD67" s="382"/>
      <c r="WKE67" s="382"/>
      <c r="WKF67" s="382"/>
      <c r="WKG67" s="382"/>
      <c r="WKH67" s="382"/>
      <c r="WKI67" s="382"/>
      <c r="WKJ67" s="382"/>
      <c r="WKK67" s="382"/>
      <c r="WKL67" s="382"/>
      <c r="WKM67" s="382"/>
      <c r="WKN67" s="382"/>
      <c r="WKO67" s="382"/>
      <c r="WKP67" s="382"/>
      <c r="WKQ67" s="382"/>
      <c r="WKR67" s="382"/>
      <c r="WKS67" s="382"/>
      <c r="WKT67" s="382"/>
      <c r="WKU67" s="382"/>
      <c r="WKV67" s="382"/>
      <c r="WKW67" s="382"/>
      <c r="WKX67" s="382"/>
      <c r="WKY67" s="382"/>
      <c r="WKZ67" s="382"/>
      <c r="WLA67" s="382"/>
      <c r="WLB67" s="382"/>
      <c r="WLC67" s="382"/>
      <c r="WLD67" s="382"/>
      <c r="WLE67" s="382"/>
      <c r="WLF67" s="382"/>
      <c r="WLG67" s="382"/>
      <c r="WLH67" s="382"/>
      <c r="WLI67" s="382"/>
      <c r="WLJ67" s="382"/>
      <c r="WLK67" s="382"/>
      <c r="WLL67" s="382"/>
      <c r="WLM67" s="382"/>
      <c r="WLN67" s="382"/>
      <c r="WLO67" s="382"/>
      <c r="WLP67" s="382"/>
      <c r="WLQ67" s="382"/>
      <c r="WLR67" s="382"/>
      <c r="WLS67" s="382"/>
      <c r="WLT67" s="382"/>
      <c r="WLU67" s="382"/>
      <c r="WLV67" s="382"/>
      <c r="WLW67" s="382"/>
      <c r="WLX67" s="382"/>
      <c r="WLY67" s="382"/>
      <c r="WLZ67" s="382"/>
      <c r="WMA67" s="382"/>
      <c r="WMB67" s="382"/>
      <c r="WMC67" s="382"/>
      <c r="WMD67" s="382"/>
      <c r="WME67" s="382"/>
      <c r="WMF67" s="382"/>
      <c r="WMG67" s="382"/>
      <c r="WMH67" s="382"/>
      <c r="WMI67" s="382"/>
      <c r="WMJ67" s="382"/>
      <c r="WMK67" s="382"/>
      <c r="WML67" s="382"/>
      <c r="WMM67" s="382"/>
      <c r="WMN67" s="382"/>
      <c r="WMO67" s="382"/>
      <c r="WMP67" s="382"/>
      <c r="WMQ67" s="382"/>
      <c r="WMR67" s="382"/>
      <c r="WMS67" s="382"/>
      <c r="WMT67" s="382"/>
      <c r="WMU67" s="382"/>
      <c r="WMV67" s="382"/>
      <c r="WMW67" s="382"/>
      <c r="WMX67" s="382"/>
      <c r="WMY67" s="382"/>
      <c r="WMZ67" s="382"/>
      <c r="WNA67" s="382"/>
      <c r="WNB67" s="382"/>
      <c r="WNC67" s="382"/>
      <c r="WND67" s="382"/>
      <c r="WNE67" s="382"/>
      <c r="WNF67" s="382"/>
      <c r="WNG67" s="382"/>
      <c r="WNH67" s="382"/>
      <c r="WNI67" s="382"/>
      <c r="WNJ67" s="382"/>
      <c r="WNK67" s="382"/>
      <c r="WNL67" s="382"/>
      <c r="WNM67" s="382"/>
      <c r="WNN67" s="382"/>
      <c r="WNO67" s="382"/>
      <c r="WNP67" s="382"/>
      <c r="WNQ67" s="382"/>
      <c r="WNR67" s="382"/>
      <c r="WNS67" s="382"/>
      <c r="WNT67" s="382"/>
      <c r="WNU67" s="382"/>
      <c r="WNV67" s="382"/>
      <c r="WNW67" s="382"/>
      <c r="WNX67" s="382"/>
      <c r="WNY67" s="382"/>
      <c r="WNZ67" s="382"/>
      <c r="WOA67" s="382"/>
      <c r="WOB67" s="382"/>
      <c r="WOC67" s="382"/>
      <c r="WOD67" s="382"/>
      <c r="WOE67" s="382"/>
      <c r="WOF67" s="382"/>
      <c r="WOG67" s="382"/>
      <c r="WOH67" s="382"/>
      <c r="WOI67" s="382"/>
      <c r="WOJ67" s="382"/>
      <c r="WOK67" s="382"/>
      <c r="WOL67" s="382"/>
      <c r="WOM67" s="382"/>
      <c r="WON67" s="382"/>
      <c r="WOO67" s="382"/>
      <c r="WOP67" s="382"/>
      <c r="WOQ67" s="382"/>
      <c r="WOR67" s="382"/>
      <c r="WOS67" s="382"/>
      <c r="WOT67" s="382"/>
      <c r="WOU67" s="382"/>
      <c r="WOV67" s="382"/>
      <c r="WOW67" s="382"/>
      <c r="WOX67" s="382"/>
      <c r="WOY67" s="382"/>
      <c r="WOZ67" s="382"/>
      <c r="WPA67" s="382"/>
      <c r="WPB67" s="382"/>
      <c r="WPC67" s="382"/>
      <c r="WPD67" s="382"/>
      <c r="WPE67" s="382"/>
      <c r="WPF67" s="382"/>
      <c r="WPG67" s="382"/>
      <c r="WPH67" s="382"/>
      <c r="WPI67" s="382"/>
      <c r="WPJ67" s="382"/>
      <c r="WPK67" s="382"/>
      <c r="WPL67" s="382"/>
      <c r="WPM67" s="382"/>
      <c r="WPN67" s="382"/>
      <c r="WPO67" s="382"/>
      <c r="WPP67" s="382"/>
      <c r="WPQ67" s="382"/>
      <c r="WPR67" s="382"/>
      <c r="WPS67" s="382"/>
      <c r="WPT67" s="382"/>
      <c r="WPU67" s="382"/>
      <c r="WPV67" s="382"/>
      <c r="WPW67" s="382"/>
      <c r="WPX67" s="382"/>
      <c r="WPY67" s="382"/>
      <c r="WPZ67" s="382"/>
      <c r="WQA67" s="382"/>
      <c r="WQB67" s="382"/>
      <c r="WQC67" s="382"/>
      <c r="WQD67" s="382"/>
      <c r="WQE67" s="382"/>
      <c r="WQF67" s="382"/>
      <c r="WQG67" s="382"/>
      <c r="WQH67" s="382"/>
      <c r="WQI67" s="382"/>
      <c r="WQJ67" s="382"/>
      <c r="WQK67" s="382"/>
      <c r="WQL67" s="382"/>
      <c r="WQM67" s="382"/>
      <c r="WQN67" s="382"/>
      <c r="WQO67" s="382"/>
      <c r="WQP67" s="382"/>
      <c r="WQQ67" s="382"/>
      <c r="WQR67" s="382"/>
      <c r="WQS67" s="382"/>
      <c r="WQT67" s="382"/>
      <c r="WQU67" s="382"/>
      <c r="WQV67" s="382"/>
      <c r="WQW67" s="382"/>
      <c r="WQX67" s="382"/>
      <c r="WQY67" s="382"/>
      <c r="WQZ67" s="382"/>
      <c r="WRA67" s="382"/>
      <c r="WRB67" s="382"/>
      <c r="WRC67" s="382"/>
      <c r="WRD67" s="382"/>
      <c r="WRE67" s="382"/>
      <c r="WRF67" s="382"/>
      <c r="WRG67" s="382"/>
      <c r="WRH67" s="382"/>
      <c r="WRI67" s="382"/>
      <c r="WRJ67" s="382"/>
      <c r="WRK67" s="382"/>
      <c r="WRL67" s="382"/>
      <c r="WRM67" s="382"/>
      <c r="WRN67" s="382"/>
      <c r="WRO67" s="382"/>
      <c r="WRP67" s="382"/>
      <c r="WRQ67" s="382"/>
      <c r="WRR67" s="382"/>
      <c r="WRS67" s="382"/>
      <c r="WRT67" s="382"/>
      <c r="WRU67" s="382"/>
      <c r="WRV67" s="382"/>
      <c r="WRW67" s="382"/>
      <c r="WRX67" s="382"/>
      <c r="WRY67" s="382"/>
      <c r="WRZ67" s="382"/>
      <c r="WSA67" s="382"/>
      <c r="WSB67" s="382"/>
      <c r="WSC67" s="382"/>
      <c r="WSD67" s="382"/>
      <c r="WSE67" s="382"/>
      <c r="WSF67" s="382"/>
      <c r="WSG67" s="382"/>
      <c r="WSH67" s="382"/>
      <c r="WSI67" s="382"/>
      <c r="WSJ67" s="382"/>
      <c r="WSK67" s="382"/>
      <c r="WSL67" s="382"/>
      <c r="WSM67" s="382"/>
      <c r="WSN67" s="382"/>
      <c r="WSO67" s="382"/>
      <c r="WSP67" s="382"/>
      <c r="WSQ67" s="382"/>
      <c r="WSR67" s="382"/>
      <c r="WSS67" s="382"/>
      <c r="WST67" s="382"/>
      <c r="WSU67" s="382"/>
      <c r="WSV67" s="382"/>
      <c r="WSW67" s="382"/>
      <c r="WSX67" s="382"/>
      <c r="WSY67" s="382"/>
      <c r="WSZ67" s="382"/>
      <c r="WTA67" s="382"/>
      <c r="WTB67" s="382"/>
      <c r="WTC67" s="382"/>
      <c r="WTD67" s="382"/>
      <c r="WTE67" s="382"/>
      <c r="WTF67" s="382"/>
      <c r="WTG67" s="382"/>
      <c r="WTH67" s="382"/>
      <c r="WTI67" s="382"/>
      <c r="WTJ67" s="382"/>
      <c r="WTK67" s="382"/>
      <c r="WTL67" s="382"/>
      <c r="WTM67" s="382"/>
      <c r="WTN67" s="382"/>
      <c r="WTO67" s="382"/>
      <c r="WTP67" s="382"/>
      <c r="WTQ67" s="382"/>
      <c r="WTR67" s="382"/>
      <c r="WTS67" s="382"/>
      <c r="WTT67" s="382"/>
      <c r="WTU67" s="382"/>
      <c r="WTV67" s="382"/>
      <c r="WTW67" s="382"/>
      <c r="WTX67" s="382"/>
      <c r="WTY67" s="382"/>
      <c r="WTZ67" s="382"/>
      <c r="WUA67" s="382"/>
      <c r="WUB67" s="382"/>
      <c r="WUC67" s="382"/>
      <c r="WUD67" s="382"/>
      <c r="WUE67" s="382"/>
      <c r="WUF67" s="382"/>
      <c r="WUG67" s="382"/>
      <c r="WUH67" s="382"/>
      <c r="WUI67" s="382"/>
      <c r="WUJ67" s="382"/>
      <c r="WUK67" s="382"/>
      <c r="WUL67" s="382"/>
      <c r="WUM67" s="382"/>
      <c r="WUN67" s="382"/>
      <c r="WUO67" s="382"/>
      <c r="WUP67" s="382"/>
      <c r="WUQ67" s="382"/>
      <c r="WUR67" s="382"/>
      <c r="WUS67" s="382"/>
      <c r="WUT67" s="382"/>
      <c r="WUU67" s="382"/>
      <c r="WUV67" s="382"/>
      <c r="WUW67" s="382"/>
      <c r="WUX67" s="382"/>
      <c r="WUY67" s="382"/>
      <c r="WUZ67" s="382"/>
      <c r="WVA67" s="382"/>
      <c r="WVB67" s="382"/>
      <c r="WVC67" s="382"/>
      <c r="WVD67" s="382"/>
      <c r="WVE67" s="382"/>
      <c r="WVF67" s="382"/>
      <c r="WVG67" s="382"/>
      <c r="WVH67" s="382"/>
      <c r="WVI67" s="382"/>
      <c r="WVJ67" s="382"/>
      <c r="WVK67" s="382"/>
      <c r="WVL67" s="382"/>
      <c r="WVM67" s="382"/>
      <c r="WVN67" s="382"/>
      <c r="WVO67" s="382"/>
      <c r="WVP67" s="382"/>
      <c r="WVQ67" s="382"/>
      <c r="WVR67" s="382"/>
      <c r="WVS67" s="382"/>
      <c r="WVT67" s="382"/>
      <c r="WVU67" s="382"/>
      <c r="WVV67" s="382"/>
      <c r="WVW67" s="382"/>
      <c r="WVX67" s="382"/>
      <c r="WVY67" s="382"/>
      <c r="WVZ67" s="382"/>
      <c r="WWA67" s="382"/>
      <c r="WWB67" s="382"/>
      <c r="WWC67" s="382"/>
      <c r="WWD67" s="382"/>
      <c r="WWE67" s="382"/>
      <c r="WWF67" s="382"/>
      <c r="WWG67" s="382"/>
      <c r="WWH67" s="382"/>
      <c r="WWI67" s="382"/>
      <c r="WWJ67" s="382"/>
      <c r="WWK67" s="382"/>
      <c r="WWL67" s="382"/>
      <c r="WWM67" s="382"/>
      <c r="WWN67" s="382"/>
      <c r="WWO67" s="382"/>
      <c r="WWP67" s="382"/>
      <c r="WWQ67" s="382"/>
      <c r="WWR67" s="382"/>
      <c r="WWS67" s="382"/>
      <c r="WWT67" s="382"/>
      <c r="WWU67" s="382"/>
      <c r="WWV67" s="382"/>
      <c r="WWW67" s="382"/>
      <c r="WWX67" s="382"/>
      <c r="WWY67" s="382"/>
      <c r="WWZ67" s="382"/>
      <c r="WXA67" s="382"/>
      <c r="WXB67" s="382"/>
      <c r="WXC67" s="382"/>
      <c r="WXD67" s="382"/>
      <c r="WXE67" s="382"/>
      <c r="WXF67" s="382"/>
      <c r="WXG67" s="382"/>
      <c r="WXH67" s="382"/>
      <c r="WXI67" s="382"/>
      <c r="WXJ67" s="382"/>
      <c r="WXK67" s="382"/>
      <c r="WXL67" s="382"/>
      <c r="WXM67" s="382"/>
      <c r="WXN67" s="382"/>
      <c r="WXO67" s="382"/>
      <c r="WXP67" s="382"/>
      <c r="WXQ67" s="382"/>
      <c r="WXR67" s="382"/>
      <c r="WXS67" s="382"/>
      <c r="WXT67" s="382"/>
      <c r="WXU67" s="382"/>
      <c r="WXV67" s="382"/>
      <c r="WXW67" s="382"/>
      <c r="WXX67" s="382"/>
      <c r="WXY67" s="382"/>
      <c r="WXZ67" s="382"/>
      <c r="WYA67" s="382"/>
      <c r="WYB67" s="382"/>
      <c r="WYC67" s="382"/>
      <c r="WYD67" s="382"/>
      <c r="WYE67" s="382"/>
      <c r="WYF67" s="382"/>
      <c r="WYG67" s="382"/>
      <c r="WYH67" s="382"/>
      <c r="WYI67" s="382"/>
      <c r="WYJ67" s="382"/>
      <c r="WYK67" s="382"/>
      <c r="WYL67" s="382"/>
      <c r="WYM67" s="382"/>
      <c r="WYN67" s="382"/>
      <c r="WYO67" s="382"/>
      <c r="WYP67" s="382"/>
      <c r="WYQ67" s="382"/>
      <c r="WYR67" s="382"/>
      <c r="WYS67" s="382"/>
      <c r="WYT67" s="382"/>
      <c r="WYU67" s="382"/>
      <c r="WYV67" s="382"/>
      <c r="WYW67" s="382"/>
      <c r="WYX67" s="382"/>
      <c r="WYY67" s="382"/>
      <c r="WYZ67" s="382"/>
      <c r="WZA67" s="382"/>
      <c r="WZB67" s="382"/>
      <c r="WZC67" s="382"/>
      <c r="WZD67" s="382"/>
      <c r="WZE67" s="382"/>
      <c r="WZF67" s="382"/>
      <c r="WZG67" s="382"/>
      <c r="WZH67" s="382"/>
      <c r="WZI67" s="382"/>
      <c r="WZJ67" s="382"/>
      <c r="WZK67" s="382"/>
      <c r="WZL67" s="382"/>
      <c r="WZM67" s="382"/>
      <c r="WZN67" s="382"/>
      <c r="WZO67" s="382"/>
      <c r="WZP67" s="382"/>
      <c r="WZQ67" s="382"/>
      <c r="WZR67" s="382"/>
      <c r="WZS67" s="382"/>
      <c r="WZT67" s="382"/>
      <c r="WZU67" s="382"/>
      <c r="WZV67" s="382"/>
      <c r="WZW67" s="382"/>
      <c r="WZX67" s="382"/>
      <c r="WZY67" s="382"/>
      <c r="WZZ67" s="382"/>
      <c r="XAA67" s="382"/>
      <c r="XAB67" s="382"/>
      <c r="XAC67" s="382"/>
      <c r="XAD67" s="382"/>
      <c r="XAE67" s="382"/>
      <c r="XAF67" s="382"/>
      <c r="XAG67" s="382"/>
      <c r="XAH67" s="382"/>
      <c r="XAI67" s="382"/>
      <c r="XAJ67" s="382"/>
      <c r="XAK67" s="382"/>
      <c r="XAL67" s="382"/>
      <c r="XAM67" s="382"/>
      <c r="XAN67" s="382"/>
      <c r="XAO67" s="382"/>
      <c r="XAP67" s="382"/>
      <c r="XAQ67" s="382"/>
      <c r="XAR67" s="382"/>
      <c r="XAS67" s="382"/>
      <c r="XAT67" s="382"/>
      <c r="XAU67" s="382"/>
      <c r="XAV67" s="382"/>
      <c r="XAW67" s="382"/>
      <c r="XAX67" s="382"/>
      <c r="XAY67" s="382"/>
      <c r="XAZ67" s="382"/>
      <c r="XBA67" s="382"/>
      <c r="XBB67" s="382"/>
      <c r="XBC67" s="382"/>
      <c r="XBD67" s="382"/>
      <c r="XBE67" s="382"/>
      <c r="XBF67" s="382"/>
      <c r="XBG67" s="382"/>
      <c r="XBH67" s="382"/>
      <c r="XBI67" s="382"/>
      <c r="XBJ67" s="382"/>
      <c r="XBK67" s="382"/>
      <c r="XBL67" s="382"/>
      <c r="XBM67" s="382"/>
      <c r="XBN67" s="382"/>
      <c r="XBO67" s="382"/>
      <c r="XBP67" s="382"/>
      <c r="XBQ67" s="382"/>
      <c r="XBR67" s="382"/>
      <c r="XBS67" s="382"/>
      <c r="XBT67" s="382"/>
      <c r="XBU67" s="382"/>
      <c r="XBV67" s="382"/>
      <c r="XBW67" s="382"/>
      <c r="XBX67" s="382"/>
      <c r="XBY67" s="382"/>
      <c r="XBZ67" s="382"/>
      <c r="XCA67" s="382"/>
      <c r="XCB67" s="382"/>
      <c r="XCC67" s="382"/>
      <c r="XCD67" s="382"/>
      <c r="XCE67" s="382"/>
      <c r="XCF67" s="382"/>
      <c r="XCG67" s="382"/>
      <c r="XCH67" s="382"/>
      <c r="XCI67" s="382"/>
      <c r="XCJ67" s="382"/>
      <c r="XCK67" s="382"/>
      <c r="XCL67" s="382"/>
      <c r="XCM67" s="382"/>
      <c r="XCN67" s="382"/>
      <c r="XCO67" s="382"/>
      <c r="XCP67" s="382"/>
      <c r="XCQ67" s="382"/>
      <c r="XCR67" s="382"/>
      <c r="XCS67" s="382"/>
      <c r="XCT67" s="382"/>
      <c r="XCU67" s="382"/>
      <c r="XCV67" s="382"/>
      <c r="XCW67" s="382"/>
      <c r="XCX67" s="382"/>
      <c r="XCY67" s="382"/>
      <c r="XCZ67" s="382"/>
      <c r="XDA67" s="382"/>
      <c r="XDB67" s="382"/>
      <c r="XDC67" s="382"/>
      <c r="XDD67" s="382"/>
      <c r="XDE67" s="382"/>
      <c r="XDF67" s="382"/>
      <c r="XDG67" s="382"/>
      <c r="XDH67" s="382"/>
      <c r="XDI67" s="382"/>
      <c r="XDJ67" s="382"/>
      <c r="XDK67" s="382"/>
      <c r="XDL67" s="382"/>
      <c r="XDM67" s="382"/>
      <c r="XDN67" s="382"/>
      <c r="XDO67" s="382"/>
      <c r="XDP67" s="382"/>
      <c r="XDQ67" s="382"/>
      <c r="XDR67" s="382"/>
      <c r="XDS67" s="382"/>
      <c r="XDT67" s="382"/>
      <c r="XDU67" s="382"/>
      <c r="XDV67" s="382"/>
      <c r="XDW67" s="382"/>
      <c r="XDX67" s="382"/>
      <c r="XDY67" s="382"/>
      <c r="XDZ67" s="382"/>
      <c r="XEA67" s="382"/>
      <c r="XEB67" s="382"/>
      <c r="XEC67" s="382"/>
      <c r="XED67" s="382"/>
      <c r="XEE67" s="382"/>
      <c r="XEF67" s="382"/>
      <c r="XEG67" s="382"/>
      <c r="XEH67" s="382"/>
      <c r="XEI67" s="382"/>
      <c r="XEJ67" s="382"/>
      <c r="XEK67" s="382"/>
      <c r="XEL67" s="382"/>
      <c r="XEM67" s="382"/>
      <c r="XEN67" s="382"/>
      <c r="XEO67" s="382"/>
      <c r="XEP67" s="382"/>
      <c r="XEQ67" s="382"/>
      <c r="XER67" s="382"/>
      <c r="XES67" s="382"/>
      <c r="XET67" s="382"/>
      <c r="XEU67" s="382"/>
      <c r="XEV67" s="382"/>
      <c r="XEW67" s="382"/>
      <c r="XEX67" s="382"/>
      <c r="XEY67" s="382"/>
      <c r="XEZ67" s="382"/>
      <c r="XFA67" s="382"/>
      <c r="XFB67" s="382"/>
      <c r="XFC67" s="382"/>
      <c r="XFD67" s="382"/>
    </row>
    <row r="68" spans="1:16384" ht="14" outlineLevel="1">
      <c r="A68" s="380" t="s">
        <v>314</v>
      </c>
      <c r="B68" s="221" t="s">
        <v>12</v>
      </c>
      <c r="C68" s="52" t="s">
        <v>178</v>
      </c>
      <c r="D68" s="194"/>
      <c r="E68" s="183"/>
      <c r="F68" s="183"/>
      <c r="G68" s="183"/>
      <c r="H68" s="183"/>
      <c r="I68" s="183"/>
      <c r="J68" s="183"/>
      <c r="K68" s="183"/>
      <c r="L68" s="184"/>
      <c r="M68" s="185"/>
      <c r="N68" s="183"/>
      <c r="O68" s="183"/>
      <c r="P68" s="183"/>
      <c r="Q68" s="183"/>
      <c r="R68" s="183"/>
      <c r="S68" s="186"/>
      <c r="T68" s="185"/>
      <c r="U68" s="183"/>
      <c r="V68" s="183"/>
      <c r="W68" s="183"/>
      <c r="X68" s="183"/>
      <c r="Y68" s="187"/>
      <c r="Z68" s="188"/>
      <c r="AA68" s="189"/>
      <c r="AB68" s="187"/>
      <c r="AC68" s="187"/>
      <c r="AD68" s="187"/>
      <c r="AE68" s="187"/>
      <c r="AF68" s="187"/>
      <c r="AG68" s="188"/>
      <c r="AH68" s="190"/>
      <c r="AI68" s="191"/>
      <c r="AJ68" s="187"/>
      <c r="AK68" s="187"/>
      <c r="AL68" s="187"/>
      <c r="AM68" s="187"/>
      <c r="AN68" s="192"/>
      <c r="AO68" s="185"/>
      <c r="AP68" s="183"/>
      <c r="AQ68" s="183"/>
      <c r="AR68" s="183"/>
      <c r="AS68" s="183"/>
      <c r="AT68" s="183"/>
      <c r="AU68" s="186"/>
      <c r="AV68" s="185"/>
      <c r="AW68" s="183"/>
      <c r="AX68" s="183"/>
      <c r="AY68" s="183"/>
      <c r="AZ68" s="183"/>
      <c r="BA68" s="183"/>
      <c r="BB68" s="186"/>
      <c r="BC68" s="185"/>
      <c r="BD68" s="183"/>
      <c r="BE68" s="183"/>
      <c r="BF68" s="183"/>
      <c r="BG68" s="183"/>
      <c r="BH68" s="183"/>
      <c r="BI68" s="186"/>
      <c r="BJ68" s="185"/>
      <c r="BK68" s="183"/>
      <c r="BL68" s="183"/>
      <c r="BM68" s="184"/>
      <c r="BN68" s="193"/>
      <c r="BO68" s="183"/>
      <c r="BP68" s="186"/>
      <c r="BQ68" s="185"/>
      <c r="BR68" s="429"/>
      <c r="BS68" s="183"/>
      <c r="BT68" s="204"/>
      <c r="BU68" s="183"/>
      <c r="BV68" s="183"/>
      <c r="BW68" s="183"/>
      <c r="BX68" s="183"/>
      <c r="BY68" s="183"/>
      <c r="BZ68" s="183"/>
      <c r="CA68" s="183"/>
      <c r="CB68" s="159"/>
      <c r="CC68" s="195"/>
      <c r="CD68" s="196"/>
      <c r="CE68" s="173"/>
      <c r="CF68" s="171"/>
      <c r="CG68" s="171"/>
      <c r="CH68" s="171"/>
      <c r="CI68" s="171"/>
      <c r="CJ68" s="171"/>
      <c r="CK68" s="172"/>
      <c r="CL68" s="161"/>
      <c r="CM68" s="159"/>
      <c r="CN68" s="159"/>
      <c r="CO68" s="227"/>
      <c r="CP68" s="170"/>
      <c r="CQ68" s="159"/>
      <c r="CR68" s="162"/>
      <c r="CS68" s="161"/>
      <c r="CT68" s="159"/>
      <c r="CU68" s="159"/>
      <c r="CV68" s="159"/>
      <c r="CW68" s="159"/>
      <c r="CX68" s="159"/>
      <c r="CY68" s="162"/>
      <c r="CZ68" s="159"/>
      <c r="DA68" s="159"/>
      <c r="DB68" s="159"/>
      <c r="DC68" s="159"/>
      <c r="DD68" s="159"/>
      <c r="DE68" s="162"/>
      <c r="DF68" s="174"/>
      <c r="DG68" s="159"/>
      <c r="DH68" s="159"/>
      <c r="DI68" s="159"/>
      <c r="DJ68" s="159"/>
      <c r="DK68" s="159"/>
      <c r="DL68" s="162"/>
      <c r="DM68" s="170"/>
      <c r="DN68" s="159"/>
      <c r="DO68" s="159"/>
      <c r="DP68" s="159"/>
      <c r="DQ68" s="159"/>
      <c r="DR68" s="159"/>
      <c r="DS68" s="175"/>
    </row>
    <row r="69" spans="1:16384" ht="14" outlineLevel="1">
      <c r="A69" s="380" t="s">
        <v>318</v>
      </c>
      <c r="B69" s="221" t="s">
        <v>12</v>
      </c>
      <c r="C69" s="52" t="s">
        <v>178</v>
      </c>
      <c r="D69" s="194"/>
      <c r="E69" s="183"/>
      <c r="F69" s="183"/>
      <c r="G69" s="183"/>
      <c r="H69" s="183"/>
      <c r="I69" s="183"/>
      <c r="J69" s="183"/>
      <c r="K69" s="183"/>
      <c r="L69" s="184"/>
      <c r="M69" s="185"/>
      <c r="N69" s="183"/>
      <c r="O69" s="183"/>
      <c r="P69" s="183"/>
      <c r="Q69" s="183"/>
      <c r="R69" s="183"/>
      <c r="S69" s="186"/>
      <c r="T69" s="185"/>
      <c r="U69" s="183"/>
      <c r="V69" s="183"/>
      <c r="W69" s="183"/>
      <c r="X69" s="183"/>
      <c r="Y69" s="187"/>
      <c r="Z69" s="188"/>
      <c r="AA69" s="189"/>
      <c r="AB69" s="187"/>
      <c r="AC69" s="187"/>
      <c r="AD69" s="187"/>
      <c r="AE69" s="187"/>
      <c r="AF69" s="187"/>
      <c r="AG69" s="188"/>
      <c r="AH69" s="190"/>
      <c r="AI69" s="191"/>
      <c r="AJ69" s="187"/>
      <c r="AK69" s="187"/>
      <c r="AL69" s="187"/>
      <c r="AM69" s="187"/>
      <c r="AN69" s="192"/>
      <c r="AO69" s="185"/>
      <c r="AP69" s="183"/>
      <c r="AQ69" s="183"/>
      <c r="AR69" s="183"/>
      <c r="AS69" s="183"/>
      <c r="AT69" s="183"/>
      <c r="AU69" s="186"/>
      <c r="AV69" s="185"/>
      <c r="AW69" s="183"/>
      <c r="AX69" s="183"/>
      <c r="AY69" s="183"/>
      <c r="AZ69" s="183"/>
      <c r="BA69" s="183"/>
      <c r="BB69" s="186"/>
      <c r="BC69" s="185"/>
      <c r="BD69" s="183"/>
      <c r="BE69" s="183"/>
      <c r="BF69" s="183"/>
      <c r="BG69" s="183"/>
      <c r="BH69" s="183"/>
      <c r="BI69" s="186"/>
      <c r="BJ69" s="185"/>
      <c r="BK69" s="183"/>
      <c r="BL69" s="183"/>
      <c r="BM69" s="184"/>
      <c r="BN69" s="193"/>
      <c r="BO69" s="183"/>
      <c r="BP69" s="186"/>
      <c r="BQ69" s="185"/>
      <c r="BR69" s="429"/>
      <c r="BS69" s="183"/>
      <c r="BT69" s="204"/>
      <c r="BU69" s="183"/>
      <c r="BV69" s="183"/>
      <c r="BW69" s="183"/>
      <c r="BX69" s="183"/>
      <c r="BY69" s="183"/>
      <c r="BZ69" s="183"/>
      <c r="CA69" s="183"/>
      <c r="CB69" s="159"/>
      <c r="CC69" s="195"/>
      <c r="CD69" s="196"/>
      <c r="CE69" s="173"/>
      <c r="CF69" s="171"/>
      <c r="CG69" s="171"/>
      <c r="CH69" s="171"/>
      <c r="CI69" s="171"/>
      <c r="CJ69" s="171"/>
      <c r="CK69" s="172"/>
      <c r="CL69" s="161"/>
      <c r="CM69" s="159"/>
      <c r="CN69" s="159"/>
      <c r="CO69" s="227"/>
      <c r="CP69" s="170"/>
      <c r="CQ69" s="159"/>
      <c r="CR69" s="162"/>
      <c r="CS69" s="161"/>
      <c r="CT69" s="159"/>
      <c r="CU69" s="159"/>
      <c r="CV69" s="159"/>
      <c r="CW69" s="159"/>
      <c r="CX69" s="159"/>
      <c r="CY69" s="162"/>
      <c r="CZ69" s="159"/>
      <c r="DA69" s="159"/>
      <c r="DB69" s="159"/>
      <c r="DC69" s="159"/>
      <c r="DD69" s="159"/>
      <c r="DE69" s="162"/>
      <c r="DF69" s="174"/>
      <c r="DG69" s="159"/>
      <c r="DH69" s="159"/>
      <c r="DI69" s="159"/>
      <c r="DJ69" s="159"/>
      <c r="DK69" s="159"/>
      <c r="DL69" s="162"/>
      <c r="DM69" s="170"/>
      <c r="DN69" s="159"/>
      <c r="DO69" s="159"/>
      <c r="DP69" s="159"/>
      <c r="DQ69" s="159"/>
      <c r="DR69" s="159"/>
      <c r="DS69" s="175"/>
    </row>
    <row r="70" spans="1:16384" ht="14" outlineLevel="1">
      <c r="A70" s="228" t="s">
        <v>226</v>
      </c>
      <c r="B70" s="369"/>
      <c r="C70" s="369"/>
      <c r="D70" s="194"/>
      <c r="E70" s="183"/>
      <c r="F70" s="183"/>
      <c r="G70" s="183"/>
      <c r="H70" s="183"/>
      <c r="I70" s="183"/>
      <c r="J70" s="183"/>
      <c r="K70" s="183"/>
      <c r="L70" s="184"/>
      <c r="M70" s="185"/>
      <c r="N70" s="183"/>
      <c r="O70" s="183"/>
      <c r="P70" s="183"/>
      <c r="Q70" s="183"/>
      <c r="R70" s="183"/>
      <c r="S70" s="186"/>
      <c r="T70" s="185"/>
      <c r="U70" s="183"/>
      <c r="V70" s="183"/>
      <c r="W70" s="183"/>
      <c r="X70" s="183"/>
      <c r="Y70" s="187"/>
      <c r="Z70" s="188"/>
      <c r="AA70" s="189"/>
      <c r="AB70" s="187"/>
      <c r="AC70" s="187"/>
      <c r="AD70" s="187"/>
      <c r="AE70" s="187"/>
      <c r="AF70" s="187"/>
      <c r="AG70" s="188"/>
      <c r="AH70" s="190"/>
      <c r="AI70" s="191"/>
      <c r="AJ70" s="187"/>
      <c r="AK70" s="187"/>
      <c r="AL70" s="187"/>
      <c r="AM70" s="187"/>
      <c r="AN70" s="192"/>
      <c r="AO70" s="185"/>
      <c r="AP70" s="183"/>
      <c r="AQ70" s="183"/>
      <c r="AR70" s="183"/>
      <c r="AS70" s="183"/>
      <c r="AT70" s="183"/>
      <c r="AU70" s="186"/>
      <c r="AV70" s="185"/>
      <c r="AW70" s="183"/>
      <c r="AX70" s="183"/>
      <c r="AY70" s="183"/>
      <c r="AZ70" s="183"/>
      <c r="BA70" s="183"/>
      <c r="BB70" s="186"/>
      <c r="BC70" s="185"/>
      <c r="BD70" s="183"/>
      <c r="BE70" s="183"/>
      <c r="BF70" s="183"/>
      <c r="BG70" s="183"/>
      <c r="BH70" s="183"/>
      <c r="BI70" s="186"/>
      <c r="BJ70" s="185"/>
      <c r="BK70" s="183"/>
      <c r="BL70" s="183"/>
      <c r="BM70" s="184"/>
      <c r="BN70" s="193"/>
      <c r="BO70" s="183"/>
      <c r="BP70" s="186"/>
      <c r="BQ70" s="185"/>
      <c r="BR70" s="429"/>
      <c r="BS70" s="183"/>
      <c r="BT70" s="183"/>
      <c r="BU70" s="183"/>
      <c r="BV70" s="183"/>
      <c r="BW70" s="186"/>
      <c r="BX70" s="194"/>
      <c r="BY70" s="183"/>
      <c r="BZ70" s="183"/>
      <c r="CA70" s="183"/>
      <c r="CB70" s="159"/>
      <c r="CC70" s="195"/>
      <c r="CD70" s="196"/>
      <c r="CE70" s="173"/>
      <c r="CF70" s="171"/>
      <c r="CG70" s="171"/>
      <c r="CH70" s="171"/>
      <c r="CI70" s="171"/>
      <c r="CJ70" s="171"/>
      <c r="CK70" s="172"/>
      <c r="CL70" s="161"/>
      <c r="CM70" s="159"/>
      <c r="CN70" s="159"/>
      <c r="CO70" s="227"/>
      <c r="CP70" s="170"/>
      <c r="CQ70" s="159"/>
      <c r="CR70" s="162"/>
      <c r="CS70" s="161"/>
      <c r="CT70" s="159"/>
      <c r="CU70" s="159"/>
      <c r="CV70" s="159"/>
      <c r="CW70" s="159"/>
      <c r="CX70" s="159"/>
      <c r="CY70" s="162"/>
      <c r="CZ70" s="159"/>
      <c r="DA70" s="159"/>
      <c r="DB70" s="159"/>
      <c r="DC70" s="159"/>
      <c r="DD70" s="159"/>
      <c r="DE70" s="162"/>
      <c r="DF70" s="174"/>
      <c r="DG70" s="159"/>
      <c r="DH70" s="159"/>
      <c r="DI70" s="159"/>
      <c r="DJ70" s="159"/>
      <c r="DK70" s="159"/>
      <c r="DL70" s="162"/>
      <c r="DM70" s="170"/>
      <c r="DN70" s="159"/>
      <c r="DO70" s="159"/>
      <c r="DP70" s="159"/>
      <c r="DQ70" s="159"/>
      <c r="DR70" s="159"/>
      <c r="DS70" s="175"/>
    </row>
    <row r="71" spans="1:16384" ht="14" outlineLevel="1">
      <c r="A71" s="218" t="s">
        <v>324</v>
      </c>
      <c r="B71" s="221" t="s">
        <v>15</v>
      </c>
      <c r="C71" s="231" t="s">
        <v>178</v>
      </c>
      <c r="D71" s="194"/>
      <c r="E71" s="183"/>
      <c r="F71" s="183"/>
      <c r="G71" s="183"/>
      <c r="H71" s="183"/>
      <c r="I71" s="183"/>
      <c r="J71" s="183"/>
      <c r="K71" s="183"/>
      <c r="L71" s="184"/>
      <c r="M71" s="185"/>
      <c r="N71" s="183"/>
      <c r="O71" s="183"/>
      <c r="P71" s="183"/>
      <c r="Q71" s="183"/>
      <c r="R71" s="183"/>
      <c r="S71" s="186"/>
      <c r="T71" s="185"/>
      <c r="U71" s="183"/>
      <c r="V71" s="183"/>
      <c r="W71" s="183"/>
      <c r="X71" s="183"/>
      <c r="Y71" s="187"/>
      <c r="Z71" s="188"/>
      <c r="AA71" s="189"/>
      <c r="AB71" s="187"/>
      <c r="AC71" s="187"/>
      <c r="AD71" s="187"/>
      <c r="AE71" s="187"/>
      <c r="AF71" s="187"/>
      <c r="AG71" s="188"/>
      <c r="AH71" s="190"/>
      <c r="AI71" s="191"/>
      <c r="AJ71" s="187"/>
      <c r="AK71" s="187"/>
      <c r="AL71" s="187"/>
      <c r="AM71" s="187"/>
      <c r="AN71" s="192"/>
      <c r="AO71" s="185"/>
      <c r="AP71" s="183"/>
      <c r="AQ71" s="183"/>
      <c r="AR71" s="183"/>
      <c r="AS71" s="183"/>
      <c r="AT71" s="183"/>
      <c r="AU71" s="186"/>
      <c r="AV71" s="185"/>
      <c r="AW71" s="183"/>
      <c r="AX71" s="183"/>
      <c r="AY71" s="183"/>
      <c r="AZ71" s="183"/>
      <c r="BA71" s="183"/>
      <c r="BB71" s="186"/>
      <c r="BC71" s="202"/>
      <c r="BD71" s="182"/>
      <c r="BE71" s="182"/>
      <c r="BF71" s="182"/>
      <c r="BG71" s="182"/>
      <c r="BH71" s="182"/>
      <c r="BI71" s="203"/>
      <c r="BJ71" s="185"/>
      <c r="BK71" s="183"/>
      <c r="BL71" s="183"/>
      <c r="BM71" s="184"/>
      <c r="BN71" s="193"/>
      <c r="BO71" s="183"/>
      <c r="BP71" s="186"/>
      <c r="BQ71" s="185"/>
      <c r="BR71" s="429"/>
      <c r="BS71" s="183"/>
      <c r="BT71" s="183"/>
      <c r="BU71" s="183"/>
      <c r="BV71" s="183"/>
      <c r="BW71" s="186"/>
      <c r="BX71" s="194"/>
      <c r="BY71" s="183"/>
      <c r="BZ71" s="183"/>
      <c r="CA71" s="183"/>
      <c r="CB71" s="159"/>
      <c r="CC71" s="195"/>
      <c r="CD71" s="196"/>
      <c r="CE71" s="173"/>
      <c r="CF71" s="171"/>
      <c r="CG71" s="171"/>
      <c r="CH71" s="171"/>
      <c r="CI71" s="171"/>
      <c r="CJ71" s="171"/>
      <c r="CK71" s="172"/>
      <c r="CL71" s="161"/>
      <c r="CM71" s="159"/>
      <c r="CN71" s="159"/>
      <c r="CO71" s="227"/>
      <c r="CP71" s="170"/>
      <c r="CQ71" s="159"/>
      <c r="CR71" s="162"/>
      <c r="CS71" s="161"/>
      <c r="CT71" s="159"/>
      <c r="CU71" s="159"/>
      <c r="CV71" s="159"/>
      <c r="CW71" s="159"/>
      <c r="CX71" s="159"/>
      <c r="CY71" s="162"/>
      <c r="CZ71" s="159"/>
      <c r="DA71" s="159"/>
      <c r="DB71" s="159"/>
      <c r="DC71" s="159"/>
      <c r="DD71" s="159"/>
      <c r="DE71" s="162"/>
      <c r="DF71" s="174"/>
      <c r="DG71" s="159"/>
      <c r="DH71" s="159"/>
      <c r="DI71" s="159"/>
      <c r="DJ71" s="159"/>
      <c r="DK71" s="159"/>
      <c r="DL71" s="162"/>
      <c r="DM71" s="170"/>
      <c r="DN71" s="159"/>
      <c r="DO71" s="159"/>
      <c r="DP71" s="159"/>
      <c r="DQ71" s="159"/>
      <c r="DR71" s="159"/>
      <c r="DS71" s="175"/>
    </row>
    <row r="72" spans="1:16384" ht="14" outlineLevel="1">
      <c r="A72" s="218" t="s">
        <v>325</v>
      </c>
      <c r="B72" s="219" t="s">
        <v>326</v>
      </c>
      <c r="C72" s="231" t="s">
        <v>178</v>
      </c>
      <c r="D72" s="194"/>
      <c r="E72" s="183"/>
      <c r="F72" s="183"/>
      <c r="G72" s="183"/>
      <c r="H72" s="183"/>
      <c r="I72" s="183"/>
      <c r="J72" s="183"/>
      <c r="K72" s="183"/>
      <c r="L72" s="184"/>
      <c r="M72" s="185"/>
      <c r="N72" s="183"/>
      <c r="O72" s="183"/>
      <c r="P72" s="183"/>
      <c r="Q72" s="183"/>
      <c r="R72" s="183"/>
      <c r="S72" s="186"/>
      <c r="T72" s="185"/>
      <c r="U72" s="183"/>
      <c r="V72" s="183"/>
      <c r="W72" s="183"/>
      <c r="X72" s="183"/>
      <c r="Y72" s="187"/>
      <c r="Z72" s="188"/>
      <c r="AA72" s="189"/>
      <c r="AB72" s="187"/>
      <c r="AC72" s="187"/>
      <c r="AD72" s="187"/>
      <c r="AE72" s="187"/>
      <c r="AF72" s="187"/>
      <c r="AG72" s="188"/>
      <c r="AH72" s="190"/>
      <c r="AI72" s="191"/>
      <c r="AJ72" s="187"/>
      <c r="AK72" s="187"/>
      <c r="AL72" s="187"/>
      <c r="AM72" s="187"/>
      <c r="AN72" s="192"/>
      <c r="AO72" s="185"/>
      <c r="AP72" s="183"/>
      <c r="AQ72" s="183"/>
      <c r="AR72" s="183"/>
      <c r="AS72" s="183"/>
      <c r="AT72" s="183"/>
      <c r="AU72" s="186"/>
      <c r="AV72" s="185"/>
      <c r="AW72" s="183"/>
      <c r="AX72" s="183"/>
      <c r="AY72" s="183"/>
      <c r="AZ72" s="183"/>
      <c r="BA72" s="183"/>
      <c r="BB72" s="186"/>
      <c r="BC72" s="202"/>
      <c r="BD72" s="182"/>
      <c r="BE72" s="182"/>
      <c r="BF72" s="182"/>
      <c r="BG72" s="182"/>
      <c r="BH72" s="182"/>
      <c r="BI72" s="203"/>
      <c r="BJ72" s="185"/>
      <c r="BK72" s="183"/>
      <c r="BL72" s="183"/>
      <c r="BM72" s="184"/>
      <c r="BN72" s="193"/>
      <c r="BO72" s="183"/>
      <c r="BP72" s="186"/>
      <c r="BQ72" s="185"/>
      <c r="BR72" s="429"/>
      <c r="BS72" s="183"/>
      <c r="BT72" s="183"/>
      <c r="BU72" s="183"/>
      <c r="BV72" s="183"/>
      <c r="BW72" s="186"/>
      <c r="BX72" s="194"/>
      <c r="BY72" s="183"/>
      <c r="BZ72" s="183"/>
      <c r="CA72" s="183"/>
      <c r="CB72" s="159"/>
      <c r="CC72" s="195"/>
      <c r="CD72" s="196"/>
      <c r="CE72" s="173"/>
      <c r="CF72" s="171"/>
      <c r="CG72" s="171"/>
      <c r="CH72" s="171"/>
      <c r="CI72" s="171"/>
      <c r="CJ72" s="171"/>
      <c r="CK72" s="172"/>
      <c r="CL72" s="161"/>
      <c r="CM72" s="159"/>
      <c r="CN72" s="159"/>
      <c r="CO72" s="227"/>
      <c r="CP72" s="170"/>
      <c r="CQ72" s="159"/>
      <c r="CR72" s="162"/>
      <c r="CS72" s="161"/>
      <c r="CT72" s="159"/>
      <c r="CU72" s="159"/>
      <c r="CV72" s="159"/>
      <c r="CW72" s="159"/>
      <c r="CX72" s="159"/>
      <c r="CY72" s="162"/>
      <c r="CZ72" s="159"/>
      <c r="DA72" s="159"/>
      <c r="DB72" s="159"/>
      <c r="DC72" s="159"/>
      <c r="DD72" s="159"/>
      <c r="DE72" s="162"/>
      <c r="DF72" s="174"/>
      <c r="DG72" s="159"/>
      <c r="DH72" s="159"/>
      <c r="DI72" s="159"/>
      <c r="DJ72" s="159"/>
      <c r="DK72" s="159"/>
      <c r="DL72" s="162"/>
      <c r="DM72" s="170"/>
      <c r="DN72" s="159"/>
      <c r="DO72" s="159"/>
      <c r="DP72" s="159"/>
      <c r="DQ72" s="159"/>
      <c r="DR72" s="159"/>
      <c r="DS72" s="175"/>
    </row>
    <row r="73" spans="1:16384" ht="14" outlineLevel="1">
      <c r="A73" s="218" t="s">
        <v>227</v>
      </c>
      <c r="B73" s="219" t="s">
        <v>53</v>
      </c>
      <c r="C73" s="52" t="s">
        <v>178</v>
      </c>
      <c r="D73" s="194"/>
      <c r="E73" s="183"/>
      <c r="F73" s="183"/>
      <c r="G73" s="183"/>
      <c r="H73" s="183"/>
      <c r="I73" s="183"/>
      <c r="J73" s="183"/>
      <c r="K73" s="183"/>
      <c r="L73" s="184"/>
      <c r="M73" s="185"/>
      <c r="N73" s="183"/>
      <c r="O73" s="183"/>
      <c r="P73" s="183"/>
      <c r="Q73" s="183"/>
      <c r="R73" s="183"/>
      <c r="S73" s="186"/>
      <c r="T73" s="185"/>
      <c r="U73" s="183"/>
      <c r="V73" s="183"/>
      <c r="W73" s="183"/>
      <c r="X73" s="183"/>
      <c r="Y73" s="187"/>
      <c r="Z73" s="188"/>
      <c r="AA73" s="189"/>
      <c r="AB73" s="187"/>
      <c r="AC73" s="187"/>
      <c r="AD73" s="187"/>
      <c r="AE73" s="187"/>
      <c r="AF73" s="187"/>
      <c r="AG73" s="188"/>
      <c r="AH73" s="190"/>
      <c r="AI73" s="191"/>
      <c r="AJ73" s="187"/>
      <c r="AK73" s="187"/>
      <c r="AL73" s="187"/>
      <c r="AM73" s="187"/>
      <c r="AN73" s="192"/>
      <c r="AO73" s="185"/>
      <c r="AP73" s="183"/>
      <c r="AQ73" s="183"/>
      <c r="AR73" s="183"/>
      <c r="AS73" s="183"/>
      <c r="AT73" s="183"/>
      <c r="AU73" s="186"/>
      <c r="AV73" s="185"/>
      <c r="AW73" s="183"/>
      <c r="AX73" s="183"/>
      <c r="AY73" s="183"/>
      <c r="AZ73" s="183"/>
      <c r="BA73" s="183"/>
      <c r="BB73" s="186"/>
      <c r="BC73" s="202"/>
      <c r="BD73" s="182"/>
      <c r="BE73" s="182"/>
      <c r="BF73" s="182"/>
      <c r="BG73" s="182"/>
      <c r="BH73" s="182"/>
      <c r="BI73" s="203"/>
      <c r="BJ73" s="202"/>
      <c r="BK73" s="182"/>
      <c r="BL73" s="182"/>
      <c r="BM73" s="201"/>
      <c r="BN73" s="210"/>
      <c r="BO73" s="182"/>
      <c r="BP73" s="203"/>
      <c r="BQ73" s="185"/>
      <c r="BR73" s="429"/>
      <c r="BS73" s="183"/>
      <c r="BT73" s="183"/>
      <c r="BU73" s="183"/>
      <c r="BV73" s="204"/>
      <c r="BW73" s="186"/>
      <c r="BX73" s="194"/>
      <c r="BY73" s="183"/>
      <c r="BZ73" s="183"/>
      <c r="CA73" s="183"/>
      <c r="CB73" s="159"/>
      <c r="CC73" s="195"/>
      <c r="CD73" s="196"/>
      <c r="CE73" s="173"/>
      <c r="CF73" s="171"/>
      <c r="CG73" s="171"/>
      <c r="CH73" s="171"/>
      <c r="CI73" s="171"/>
      <c r="CJ73" s="171"/>
      <c r="CK73" s="172"/>
      <c r="CL73" s="161"/>
      <c r="CM73" s="159"/>
      <c r="CN73" s="159"/>
      <c r="CO73" s="227"/>
      <c r="CP73" s="170"/>
      <c r="CQ73" s="159"/>
      <c r="CR73" s="162"/>
      <c r="CS73" s="161"/>
      <c r="CT73" s="159"/>
      <c r="CU73" s="159"/>
      <c r="CV73" s="159"/>
      <c r="CW73" s="159"/>
      <c r="CX73" s="159"/>
      <c r="CY73" s="162"/>
      <c r="CZ73" s="159"/>
      <c r="DA73" s="159"/>
      <c r="DB73" s="159"/>
      <c r="DC73" s="159"/>
      <c r="DD73" s="159"/>
      <c r="DE73" s="162"/>
      <c r="DF73" s="174"/>
      <c r="DG73" s="159"/>
      <c r="DH73" s="159"/>
      <c r="DI73" s="159"/>
      <c r="DJ73" s="159"/>
      <c r="DK73" s="159"/>
      <c r="DL73" s="162"/>
      <c r="DM73" s="170"/>
      <c r="DN73" s="159"/>
      <c r="DO73" s="159"/>
      <c r="DP73" s="159"/>
      <c r="DQ73" s="159"/>
      <c r="DR73" s="159"/>
      <c r="DS73" s="175"/>
    </row>
    <row r="74" spans="1:16384" ht="14" outlineLevel="1">
      <c r="A74" s="218" t="s">
        <v>228</v>
      </c>
      <c r="B74" s="221" t="s">
        <v>106</v>
      </c>
      <c r="C74" s="52" t="s">
        <v>178</v>
      </c>
      <c r="D74" s="194"/>
      <c r="E74" s="183"/>
      <c r="F74" s="183"/>
      <c r="G74" s="183"/>
      <c r="H74" s="183"/>
      <c r="I74" s="183"/>
      <c r="J74" s="183"/>
      <c r="K74" s="183"/>
      <c r="L74" s="184"/>
      <c r="M74" s="185"/>
      <c r="N74" s="183"/>
      <c r="O74" s="183"/>
      <c r="P74" s="183"/>
      <c r="Q74" s="183"/>
      <c r="R74" s="183"/>
      <c r="S74" s="186"/>
      <c r="T74" s="185"/>
      <c r="U74" s="183"/>
      <c r="V74" s="183"/>
      <c r="W74" s="183"/>
      <c r="X74" s="183"/>
      <c r="Y74" s="187"/>
      <c r="Z74" s="188"/>
      <c r="AA74" s="189"/>
      <c r="AB74" s="187"/>
      <c r="AC74" s="187"/>
      <c r="AD74" s="187"/>
      <c r="AE74" s="187"/>
      <c r="AF74" s="187"/>
      <c r="AG74" s="188"/>
      <c r="AH74" s="190"/>
      <c r="AI74" s="191"/>
      <c r="AJ74" s="187"/>
      <c r="AK74" s="187"/>
      <c r="AL74" s="187"/>
      <c r="AM74" s="187"/>
      <c r="AN74" s="192"/>
      <c r="AO74" s="185"/>
      <c r="AP74" s="183"/>
      <c r="AQ74" s="183"/>
      <c r="AR74" s="183"/>
      <c r="AS74" s="183"/>
      <c r="AT74" s="183"/>
      <c r="AU74" s="186"/>
      <c r="AV74" s="185"/>
      <c r="AW74" s="183"/>
      <c r="AX74" s="183"/>
      <c r="AY74" s="183"/>
      <c r="AZ74" s="183"/>
      <c r="BA74" s="183"/>
      <c r="BB74" s="186"/>
      <c r="BC74" s="185"/>
      <c r="BD74" s="183"/>
      <c r="BE74" s="183"/>
      <c r="BF74" s="183"/>
      <c r="BG74" s="183"/>
      <c r="BH74" s="183"/>
      <c r="BI74" s="186"/>
      <c r="BJ74" s="202"/>
      <c r="BK74" s="182"/>
      <c r="BL74" s="182"/>
      <c r="BM74" s="201"/>
      <c r="BN74" s="210"/>
      <c r="BO74" s="182"/>
      <c r="BP74" s="203"/>
      <c r="BQ74" s="185"/>
      <c r="BR74" s="429"/>
      <c r="BS74" s="183"/>
      <c r="BT74" s="183"/>
      <c r="BU74" s="183"/>
      <c r="BV74" s="183"/>
      <c r="BW74" s="186"/>
      <c r="BX74" s="194"/>
      <c r="BY74" s="183"/>
      <c r="BZ74" s="183"/>
      <c r="CA74" s="183"/>
      <c r="CB74" s="159"/>
      <c r="CC74" s="195"/>
      <c r="CD74" s="196"/>
      <c r="CE74" s="173"/>
      <c r="CF74" s="171"/>
      <c r="CG74" s="171"/>
      <c r="CH74" s="171"/>
      <c r="CI74" s="171"/>
      <c r="CJ74" s="171"/>
      <c r="CK74" s="172"/>
      <c r="CL74" s="161"/>
      <c r="CM74" s="159"/>
      <c r="CN74" s="159"/>
      <c r="CO74" s="227"/>
      <c r="CP74" s="170"/>
      <c r="CQ74" s="159"/>
      <c r="CR74" s="162"/>
      <c r="CS74" s="161"/>
      <c r="CT74" s="159"/>
      <c r="CU74" s="159"/>
      <c r="CV74" s="159"/>
      <c r="CW74" s="159"/>
      <c r="CX74" s="159"/>
      <c r="CY74" s="162"/>
      <c r="CZ74" s="159"/>
      <c r="DA74" s="159"/>
      <c r="DB74" s="159"/>
      <c r="DC74" s="159"/>
      <c r="DD74" s="159"/>
      <c r="DE74" s="162"/>
      <c r="DF74" s="174"/>
      <c r="DG74" s="159"/>
      <c r="DH74" s="159"/>
      <c r="DI74" s="159"/>
      <c r="DJ74" s="159"/>
      <c r="DK74" s="159"/>
      <c r="DL74" s="162"/>
      <c r="DM74" s="170"/>
      <c r="DN74" s="159"/>
      <c r="DO74" s="159"/>
      <c r="DP74" s="159"/>
      <c r="DQ74" s="159"/>
      <c r="DR74" s="159"/>
      <c r="DS74" s="175"/>
    </row>
    <row r="75" spans="1:16384" ht="14" outlineLevel="1">
      <c r="A75" s="218" t="s">
        <v>107</v>
      </c>
      <c r="B75" s="221" t="s">
        <v>12</v>
      </c>
      <c r="C75" s="52" t="s">
        <v>178</v>
      </c>
      <c r="D75" s="194"/>
      <c r="E75" s="183"/>
      <c r="F75" s="183"/>
      <c r="G75" s="183"/>
      <c r="H75" s="183"/>
      <c r="I75" s="183"/>
      <c r="J75" s="183"/>
      <c r="K75" s="183"/>
      <c r="L75" s="184"/>
      <c r="M75" s="185"/>
      <c r="N75" s="183"/>
      <c r="O75" s="183"/>
      <c r="P75" s="183"/>
      <c r="Q75" s="183"/>
      <c r="R75" s="183"/>
      <c r="S75" s="186"/>
      <c r="T75" s="185"/>
      <c r="U75" s="183"/>
      <c r="V75" s="183"/>
      <c r="W75" s="183"/>
      <c r="X75" s="183"/>
      <c r="Y75" s="187"/>
      <c r="Z75" s="188"/>
      <c r="AA75" s="189"/>
      <c r="AB75" s="187"/>
      <c r="AC75" s="187"/>
      <c r="AD75" s="187"/>
      <c r="AE75" s="187"/>
      <c r="AF75" s="187"/>
      <c r="AG75" s="188"/>
      <c r="AH75" s="190"/>
      <c r="AI75" s="191"/>
      <c r="AJ75" s="187"/>
      <c r="AK75" s="187"/>
      <c r="AL75" s="187"/>
      <c r="AM75" s="187"/>
      <c r="AN75" s="192"/>
      <c r="AO75" s="185"/>
      <c r="AP75" s="183"/>
      <c r="AQ75" s="183"/>
      <c r="AR75" s="183"/>
      <c r="AS75" s="183"/>
      <c r="AT75" s="183"/>
      <c r="AU75" s="186"/>
      <c r="AV75" s="185"/>
      <c r="AW75" s="183"/>
      <c r="AX75" s="183"/>
      <c r="AY75" s="183"/>
      <c r="AZ75" s="183"/>
      <c r="BA75" s="183"/>
      <c r="BB75" s="186"/>
      <c r="BC75" s="202"/>
      <c r="BD75" s="182"/>
      <c r="BE75" s="182"/>
      <c r="BF75" s="182"/>
      <c r="BG75" s="182"/>
      <c r="BH75" s="182"/>
      <c r="BI75" s="203"/>
      <c r="BJ75" s="185"/>
      <c r="BK75" s="183"/>
      <c r="BL75" s="183"/>
      <c r="BM75" s="184"/>
      <c r="BN75" s="193"/>
      <c r="BO75" s="183"/>
      <c r="BP75" s="186"/>
      <c r="BQ75" s="185"/>
      <c r="BR75" s="429"/>
      <c r="BS75" s="183"/>
      <c r="BT75" s="183"/>
      <c r="BU75" s="183"/>
      <c r="BV75" s="183"/>
      <c r="BW75" s="186"/>
      <c r="BX75" s="194"/>
      <c r="BY75" s="183"/>
      <c r="BZ75" s="183"/>
      <c r="CA75" s="183"/>
      <c r="CB75" s="159"/>
      <c r="CC75" s="195"/>
      <c r="CD75" s="196"/>
      <c r="CE75" s="173"/>
      <c r="CF75" s="171"/>
      <c r="CG75" s="171"/>
      <c r="CH75" s="171"/>
      <c r="CI75" s="171"/>
      <c r="CJ75" s="171"/>
      <c r="CK75" s="172"/>
      <c r="CL75" s="161"/>
      <c r="CM75" s="159"/>
      <c r="CN75" s="159"/>
      <c r="CO75" s="227"/>
      <c r="CP75" s="170"/>
      <c r="CQ75" s="159"/>
      <c r="CR75" s="162"/>
      <c r="CS75" s="161"/>
      <c r="CT75" s="159"/>
      <c r="CU75" s="159"/>
      <c r="CV75" s="159"/>
      <c r="CW75" s="159"/>
      <c r="CX75" s="159"/>
      <c r="CY75" s="162"/>
      <c r="CZ75" s="159"/>
      <c r="DA75" s="159"/>
      <c r="DB75" s="159"/>
      <c r="DC75" s="159"/>
      <c r="DD75" s="159"/>
      <c r="DE75" s="162"/>
      <c r="DF75" s="174"/>
      <c r="DG75" s="159"/>
      <c r="DH75" s="159"/>
      <c r="DI75" s="159"/>
      <c r="DJ75" s="159"/>
      <c r="DK75" s="159"/>
      <c r="DL75" s="162"/>
      <c r="DM75" s="170"/>
      <c r="DN75" s="159"/>
      <c r="DO75" s="159"/>
      <c r="DP75" s="159"/>
      <c r="DQ75" s="159"/>
      <c r="DR75" s="159"/>
      <c r="DS75" s="175"/>
    </row>
    <row r="76" spans="1:16384" ht="14" outlineLevel="1">
      <c r="A76" s="218" t="s">
        <v>108</v>
      </c>
      <c r="B76" s="221" t="s">
        <v>12</v>
      </c>
      <c r="C76" s="52" t="s">
        <v>178</v>
      </c>
      <c r="D76" s="194"/>
      <c r="E76" s="183"/>
      <c r="F76" s="183"/>
      <c r="G76" s="183"/>
      <c r="H76" s="183"/>
      <c r="I76" s="183"/>
      <c r="J76" s="183"/>
      <c r="K76" s="183"/>
      <c r="L76" s="184"/>
      <c r="M76" s="185"/>
      <c r="N76" s="183"/>
      <c r="O76" s="183"/>
      <c r="P76" s="183"/>
      <c r="Q76" s="183"/>
      <c r="R76" s="183"/>
      <c r="S76" s="186"/>
      <c r="T76" s="185"/>
      <c r="U76" s="183"/>
      <c r="V76" s="183"/>
      <c r="W76" s="183"/>
      <c r="X76" s="183"/>
      <c r="Y76" s="187"/>
      <c r="Z76" s="188"/>
      <c r="AA76" s="189"/>
      <c r="AB76" s="187"/>
      <c r="AC76" s="187"/>
      <c r="AD76" s="187"/>
      <c r="AE76" s="187"/>
      <c r="AF76" s="187"/>
      <c r="AG76" s="188"/>
      <c r="AH76" s="190"/>
      <c r="AI76" s="191"/>
      <c r="AJ76" s="187"/>
      <c r="AK76" s="187"/>
      <c r="AL76" s="187"/>
      <c r="AM76" s="187"/>
      <c r="AN76" s="192"/>
      <c r="AO76" s="185"/>
      <c r="AP76" s="183"/>
      <c r="AQ76" s="183"/>
      <c r="AR76" s="183"/>
      <c r="AS76" s="183"/>
      <c r="AT76" s="183"/>
      <c r="AU76" s="186"/>
      <c r="AV76" s="185"/>
      <c r="AW76" s="183"/>
      <c r="AX76" s="183"/>
      <c r="AY76" s="183"/>
      <c r="AZ76" s="183"/>
      <c r="BA76" s="183"/>
      <c r="BB76" s="186"/>
      <c r="BC76" s="185"/>
      <c r="BD76" s="183"/>
      <c r="BE76" s="183"/>
      <c r="BF76" s="183"/>
      <c r="BG76" s="183"/>
      <c r="BH76" s="183"/>
      <c r="BI76" s="186"/>
      <c r="BJ76" s="185"/>
      <c r="BK76" s="182"/>
      <c r="BL76" s="182"/>
      <c r="BM76" s="201"/>
      <c r="BN76" s="210"/>
      <c r="BO76" s="182"/>
      <c r="BP76" s="203"/>
      <c r="BQ76" s="185"/>
      <c r="BR76" s="429"/>
      <c r="BS76" s="183"/>
      <c r="BT76" s="183"/>
      <c r="BU76" s="183"/>
      <c r="BV76" s="183"/>
      <c r="BW76" s="186"/>
      <c r="BX76" s="194"/>
      <c r="BY76" s="183"/>
      <c r="BZ76" s="183"/>
      <c r="CA76" s="183"/>
      <c r="CB76" s="159"/>
      <c r="CC76" s="195"/>
      <c r="CD76" s="196"/>
      <c r="CE76" s="173"/>
      <c r="CF76" s="171"/>
      <c r="CG76" s="171"/>
      <c r="CH76" s="171"/>
      <c r="CI76" s="171"/>
      <c r="CJ76" s="171"/>
      <c r="CK76" s="172"/>
      <c r="CL76" s="161"/>
      <c r="CM76" s="159"/>
      <c r="CN76" s="159"/>
      <c r="CO76" s="227"/>
      <c r="CP76" s="170"/>
      <c r="CQ76" s="159"/>
      <c r="CR76" s="162"/>
      <c r="CS76" s="161"/>
      <c r="CT76" s="159"/>
      <c r="CU76" s="159"/>
      <c r="CV76" s="159"/>
      <c r="CW76" s="159"/>
      <c r="CX76" s="159"/>
      <c r="CY76" s="162"/>
      <c r="CZ76" s="159"/>
      <c r="DA76" s="159"/>
      <c r="DB76" s="159"/>
      <c r="DC76" s="159"/>
      <c r="DD76" s="159"/>
      <c r="DE76" s="162"/>
      <c r="DF76" s="174"/>
      <c r="DG76" s="159"/>
      <c r="DH76" s="159"/>
      <c r="DI76" s="159"/>
      <c r="DJ76" s="159"/>
      <c r="DK76" s="159"/>
      <c r="DL76" s="162"/>
      <c r="DM76" s="170"/>
      <c r="DN76" s="159"/>
      <c r="DO76" s="159"/>
      <c r="DP76" s="159"/>
      <c r="DQ76" s="159"/>
      <c r="DR76" s="159"/>
      <c r="DS76" s="175"/>
    </row>
    <row r="77" spans="1:16384" ht="14" outlineLevel="1">
      <c r="A77" s="218" t="s">
        <v>109</v>
      </c>
      <c r="B77" s="221" t="s">
        <v>12</v>
      </c>
      <c r="C77" s="52" t="s">
        <v>178</v>
      </c>
      <c r="D77" s="194"/>
      <c r="E77" s="183"/>
      <c r="F77" s="183"/>
      <c r="G77" s="183"/>
      <c r="H77" s="183"/>
      <c r="I77" s="183"/>
      <c r="J77" s="183"/>
      <c r="K77" s="183"/>
      <c r="L77" s="184"/>
      <c r="M77" s="185"/>
      <c r="N77" s="183"/>
      <c r="O77" s="183"/>
      <c r="P77" s="183"/>
      <c r="Q77" s="183"/>
      <c r="R77" s="183"/>
      <c r="S77" s="186"/>
      <c r="T77" s="185"/>
      <c r="U77" s="183"/>
      <c r="V77" s="183"/>
      <c r="W77" s="183"/>
      <c r="X77" s="183"/>
      <c r="Y77" s="187"/>
      <c r="Z77" s="188"/>
      <c r="AA77" s="189"/>
      <c r="AB77" s="187"/>
      <c r="AC77" s="187"/>
      <c r="AD77" s="187"/>
      <c r="AE77" s="187"/>
      <c r="AF77" s="187"/>
      <c r="AG77" s="188"/>
      <c r="AH77" s="190"/>
      <c r="AI77" s="191"/>
      <c r="AJ77" s="187"/>
      <c r="AK77" s="187"/>
      <c r="AL77" s="187"/>
      <c r="AM77" s="187"/>
      <c r="AN77" s="192"/>
      <c r="AO77" s="185"/>
      <c r="AP77" s="183"/>
      <c r="AQ77" s="183"/>
      <c r="AR77" s="183"/>
      <c r="AS77" s="183"/>
      <c r="AT77" s="183"/>
      <c r="AU77" s="186"/>
      <c r="AV77" s="185"/>
      <c r="AW77" s="183"/>
      <c r="AX77" s="183"/>
      <c r="AY77" s="183"/>
      <c r="AZ77" s="183"/>
      <c r="BA77" s="183"/>
      <c r="BB77" s="186"/>
      <c r="BC77" s="185"/>
      <c r="BD77" s="183"/>
      <c r="BE77" s="183"/>
      <c r="BF77" s="183"/>
      <c r="BG77" s="183"/>
      <c r="BH77" s="183"/>
      <c r="BI77" s="186"/>
      <c r="BJ77" s="185"/>
      <c r="BK77" s="182"/>
      <c r="BL77" s="182"/>
      <c r="BM77" s="201"/>
      <c r="BN77" s="210"/>
      <c r="BO77" s="182"/>
      <c r="BP77" s="203"/>
      <c r="BQ77" s="185"/>
      <c r="BR77" s="429"/>
      <c r="BS77" s="183"/>
      <c r="BT77" s="183"/>
      <c r="BU77" s="183"/>
      <c r="BV77" s="183"/>
      <c r="BW77" s="186"/>
      <c r="BX77" s="194"/>
      <c r="BY77" s="183"/>
      <c r="BZ77" s="183"/>
      <c r="CA77" s="183"/>
      <c r="CB77" s="159"/>
      <c r="CC77" s="195"/>
      <c r="CD77" s="196"/>
      <c r="CE77" s="173"/>
      <c r="CF77" s="171"/>
      <c r="CG77" s="171"/>
      <c r="CH77" s="171"/>
      <c r="CI77" s="171"/>
      <c r="CJ77" s="171"/>
      <c r="CK77" s="172"/>
      <c r="CL77" s="161"/>
      <c r="CM77" s="159"/>
      <c r="CN77" s="159"/>
      <c r="CO77" s="227"/>
      <c r="CP77" s="170"/>
      <c r="CQ77" s="159"/>
      <c r="CR77" s="162"/>
      <c r="CS77" s="161"/>
      <c r="CT77" s="159"/>
      <c r="CU77" s="159"/>
      <c r="CV77" s="159"/>
      <c r="CW77" s="159"/>
      <c r="CX77" s="159"/>
      <c r="CY77" s="162"/>
      <c r="CZ77" s="159"/>
      <c r="DA77" s="159"/>
      <c r="DB77" s="159"/>
      <c r="DC77" s="159"/>
      <c r="DD77" s="159"/>
      <c r="DE77" s="162"/>
      <c r="DF77" s="174"/>
      <c r="DG77" s="159"/>
      <c r="DH77" s="159"/>
      <c r="DI77" s="159"/>
      <c r="DJ77" s="159"/>
      <c r="DK77" s="159"/>
      <c r="DL77" s="162"/>
      <c r="DM77" s="170"/>
      <c r="DN77" s="159"/>
      <c r="DO77" s="159"/>
      <c r="DP77" s="159"/>
      <c r="DQ77" s="159"/>
      <c r="DR77" s="159"/>
      <c r="DS77" s="175"/>
    </row>
    <row r="78" spans="1:16384" ht="14" outlineLevel="1">
      <c r="A78" s="218" t="s">
        <v>110</v>
      </c>
      <c r="B78" s="221" t="s">
        <v>12</v>
      </c>
      <c r="C78" s="52" t="s">
        <v>178</v>
      </c>
      <c r="D78" s="194"/>
      <c r="E78" s="183"/>
      <c r="F78" s="183"/>
      <c r="G78" s="183"/>
      <c r="H78" s="183"/>
      <c r="I78" s="183"/>
      <c r="J78" s="183"/>
      <c r="K78" s="183"/>
      <c r="L78" s="184"/>
      <c r="M78" s="185"/>
      <c r="N78" s="183"/>
      <c r="O78" s="183"/>
      <c r="P78" s="183"/>
      <c r="Q78" s="183"/>
      <c r="R78" s="183"/>
      <c r="S78" s="186"/>
      <c r="T78" s="185"/>
      <c r="U78" s="183"/>
      <c r="V78" s="183"/>
      <c r="W78" s="183"/>
      <c r="X78" s="183"/>
      <c r="Y78" s="187"/>
      <c r="Z78" s="188"/>
      <c r="AA78" s="189"/>
      <c r="AB78" s="187"/>
      <c r="AC78" s="187"/>
      <c r="AD78" s="187"/>
      <c r="AE78" s="187"/>
      <c r="AF78" s="187"/>
      <c r="AG78" s="188"/>
      <c r="AH78" s="190"/>
      <c r="AI78" s="191"/>
      <c r="AJ78" s="187"/>
      <c r="AK78" s="187"/>
      <c r="AL78" s="187"/>
      <c r="AM78" s="187"/>
      <c r="AN78" s="192"/>
      <c r="AO78" s="185"/>
      <c r="AP78" s="183"/>
      <c r="AQ78" s="183"/>
      <c r="AR78" s="183"/>
      <c r="AS78" s="183"/>
      <c r="AT78" s="183"/>
      <c r="AU78" s="186"/>
      <c r="AV78" s="185"/>
      <c r="AW78" s="183"/>
      <c r="AX78" s="183"/>
      <c r="AY78" s="183"/>
      <c r="AZ78" s="183"/>
      <c r="BA78" s="183"/>
      <c r="BB78" s="186"/>
      <c r="BC78" s="185"/>
      <c r="BD78" s="183"/>
      <c r="BE78" s="183"/>
      <c r="BF78" s="183"/>
      <c r="BG78" s="183"/>
      <c r="BH78" s="183"/>
      <c r="BI78" s="186"/>
      <c r="BJ78" s="185"/>
      <c r="BK78" s="182"/>
      <c r="BL78" s="182"/>
      <c r="BM78" s="201"/>
      <c r="BN78" s="210"/>
      <c r="BO78" s="182"/>
      <c r="BP78" s="203"/>
      <c r="BQ78" s="185"/>
      <c r="BR78" s="429"/>
      <c r="BS78" s="183"/>
      <c r="BT78" s="183"/>
      <c r="BU78" s="183"/>
      <c r="BV78" s="183"/>
      <c r="BW78" s="186"/>
      <c r="BX78" s="194"/>
      <c r="BY78" s="183"/>
      <c r="BZ78" s="183"/>
      <c r="CA78" s="183"/>
      <c r="CB78" s="159"/>
      <c r="CC78" s="195"/>
      <c r="CD78" s="196"/>
      <c r="CE78" s="173"/>
      <c r="CF78" s="171"/>
      <c r="CG78" s="171"/>
      <c r="CH78" s="171"/>
      <c r="CI78" s="171"/>
      <c r="CJ78" s="171"/>
      <c r="CK78" s="172"/>
      <c r="CL78" s="161"/>
      <c r="CM78" s="159"/>
      <c r="CN78" s="159"/>
      <c r="CO78" s="227"/>
      <c r="CP78" s="170"/>
      <c r="CQ78" s="159"/>
      <c r="CR78" s="162"/>
      <c r="CS78" s="161"/>
      <c r="CT78" s="159"/>
      <c r="CU78" s="159"/>
      <c r="CV78" s="159"/>
      <c r="CW78" s="159"/>
      <c r="CX78" s="159"/>
      <c r="CY78" s="162"/>
      <c r="CZ78" s="159"/>
      <c r="DA78" s="159"/>
      <c r="DB78" s="159"/>
      <c r="DC78" s="159"/>
      <c r="DD78" s="159"/>
      <c r="DE78" s="162"/>
      <c r="DF78" s="174"/>
      <c r="DG78" s="159"/>
      <c r="DH78" s="159"/>
      <c r="DI78" s="159"/>
      <c r="DJ78" s="159"/>
      <c r="DK78" s="159"/>
      <c r="DL78" s="162"/>
      <c r="DM78" s="170"/>
      <c r="DN78" s="159"/>
      <c r="DO78" s="159"/>
      <c r="DP78" s="159"/>
      <c r="DQ78" s="159"/>
      <c r="DR78" s="159"/>
      <c r="DS78" s="175"/>
    </row>
    <row r="79" spans="1:16384" ht="14" outlineLevel="1">
      <c r="A79" s="218" t="s">
        <v>111</v>
      </c>
      <c r="B79" s="221" t="s">
        <v>12</v>
      </c>
      <c r="C79" s="52" t="s">
        <v>178</v>
      </c>
      <c r="D79" s="194"/>
      <c r="E79" s="183"/>
      <c r="F79" s="183"/>
      <c r="G79" s="183"/>
      <c r="H79" s="183"/>
      <c r="I79" s="183"/>
      <c r="J79" s="183"/>
      <c r="K79" s="183"/>
      <c r="L79" s="184"/>
      <c r="M79" s="185"/>
      <c r="N79" s="183"/>
      <c r="O79" s="183"/>
      <c r="P79" s="183"/>
      <c r="Q79" s="183"/>
      <c r="R79" s="183"/>
      <c r="S79" s="186"/>
      <c r="T79" s="185"/>
      <c r="U79" s="183"/>
      <c r="V79" s="183"/>
      <c r="W79" s="183"/>
      <c r="X79" s="183"/>
      <c r="Y79" s="187"/>
      <c r="Z79" s="188"/>
      <c r="AA79" s="189"/>
      <c r="AB79" s="187"/>
      <c r="AC79" s="187"/>
      <c r="AD79" s="187"/>
      <c r="AE79" s="187"/>
      <c r="AF79" s="187"/>
      <c r="AG79" s="188"/>
      <c r="AH79" s="190"/>
      <c r="AI79" s="191"/>
      <c r="AJ79" s="187"/>
      <c r="AK79" s="187"/>
      <c r="AL79" s="187"/>
      <c r="AM79" s="187"/>
      <c r="AN79" s="192"/>
      <c r="AO79" s="185"/>
      <c r="AP79" s="183"/>
      <c r="AQ79" s="183"/>
      <c r="AR79" s="183"/>
      <c r="AS79" s="183"/>
      <c r="AT79" s="183"/>
      <c r="AU79" s="186"/>
      <c r="AV79" s="185"/>
      <c r="AW79" s="183"/>
      <c r="AX79" s="183"/>
      <c r="AY79" s="183"/>
      <c r="AZ79" s="183"/>
      <c r="BA79" s="183"/>
      <c r="BB79" s="186"/>
      <c r="BC79" s="185"/>
      <c r="BD79" s="183"/>
      <c r="BE79" s="183"/>
      <c r="BF79" s="183"/>
      <c r="BG79" s="183"/>
      <c r="BH79" s="183"/>
      <c r="BI79" s="186"/>
      <c r="BJ79" s="185"/>
      <c r="BK79" s="182"/>
      <c r="BL79" s="182"/>
      <c r="BM79" s="201"/>
      <c r="BN79" s="210"/>
      <c r="BO79" s="182"/>
      <c r="BP79" s="203"/>
      <c r="BQ79" s="185"/>
      <c r="BR79" s="429"/>
      <c r="BS79" s="183"/>
      <c r="BT79" s="183"/>
      <c r="BU79" s="183"/>
      <c r="BV79" s="183"/>
      <c r="BW79" s="186"/>
      <c r="BX79" s="194"/>
      <c r="BY79" s="183"/>
      <c r="BZ79" s="183"/>
      <c r="CA79" s="183"/>
      <c r="CB79" s="159"/>
      <c r="CC79" s="195"/>
      <c r="CD79" s="196"/>
      <c r="CE79" s="173"/>
      <c r="CF79" s="171"/>
      <c r="CG79" s="171"/>
      <c r="CH79" s="171"/>
      <c r="CI79" s="171"/>
      <c r="CJ79" s="171"/>
      <c r="CK79" s="172"/>
      <c r="CL79" s="161"/>
      <c r="CM79" s="159"/>
      <c r="CN79" s="159"/>
      <c r="CO79" s="227"/>
      <c r="CP79" s="170"/>
      <c r="CQ79" s="159"/>
      <c r="CR79" s="162"/>
      <c r="CS79" s="161"/>
      <c r="CT79" s="159"/>
      <c r="CU79" s="159"/>
      <c r="CV79" s="159"/>
      <c r="CW79" s="159"/>
      <c r="CX79" s="159"/>
      <c r="CY79" s="162"/>
      <c r="CZ79" s="159"/>
      <c r="DA79" s="159"/>
      <c r="DB79" s="159"/>
      <c r="DC79" s="159"/>
      <c r="DD79" s="159"/>
      <c r="DE79" s="162"/>
      <c r="DF79" s="174"/>
      <c r="DG79" s="159"/>
      <c r="DH79" s="159"/>
      <c r="DI79" s="159"/>
      <c r="DJ79" s="159"/>
      <c r="DK79" s="159"/>
      <c r="DL79" s="162"/>
      <c r="DM79" s="170"/>
      <c r="DN79" s="159"/>
      <c r="DO79" s="159"/>
      <c r="DP79" s="159"/>
      <c r="DQ79" s="159"/>
      <c r="DR79" s="159"/>
      <c r="DS79" s="175"/>
    </row>
    <row r="80" spans="1:16384" ht="14" outlineLevel="1">
      <c r="A80" s="218" t="s">
        <v>322</v>
      </c>
      <c r="B80" s="221" t="s">
        <v>18</v>
      </c>
      <c r="C80" s="52" t="s">
        <v>178</v>
      </c>
      <c r="D80" s="194"/>
      <c r="E80" s="183"/>
      <c r="F80" s="183"/>
      <c r="G80" s="183"/>
      <c r="H80" s="183"/>
      <c r="I80" s="183"/>
      <c r="J80" s="183"/>
      <c r="K80" s="183"/>
      <c r="L80" s="184"/>
      <c r="M80" s="185"/>
      <c r="N80" s="183"/>
      <c r="O80" s="183"/>
      <c r="P80" s="183"/>
      <c r="Q80" s="183"/>
      <c r="R80" s="183"/>
      <c r="S80" s="186"/>
      <c r="T80" s="185"/>
      <c r="U80" s="183"/>
      <c r="V80" s="183"/>
      <c r="W80" s="183"/>
      <c r="X80" s="183"/>
      <c r="Y80" s="187"/>
      <c r="Z80" s="188"/>
      <c r="AA80" s="189"/>
      <c r="AB80" s="187"/>
      <c r="AC80" s="187"/>
      <c r="AD80" s="187"/>
      <c r="AE80" s="187"/>
      <c r="AF80" s="187"/>
      <c r="AG80" s="188"/>
      <c r="AH80" s="190"/>
      <c r="AI80" s="191"/>
      <c r="AJ80" s="187"/>
      <c r="AK80" s="187"/>
      <c r="AL80" s="187"/>
      <c r="AM80" s="187"/>
      <c r="AN80" s="192"/>
      <c r="AO80" s="185"/>
      <c r="AP80" s="183"/>
      <c r="AQ80" s="183"/>
      <c r="AR80" s="183"/>
      <c r="AS80" s="183"/>
      <c r="AT80" s="183"/>
      <c r="AU80" s="186"/>
      <c r="AV80" s="185"/>
      <c r="AW80" s="183"/>
      <c r="AX80" s="183"/>
      <c r="AY80" s="183"/>
      <c r="AZ80" s="183"/>
      <c r="BA80" s="183"/>
      <c r="BB80" s="186"/>
      <c r="BC80" s="185"/>
      <c r="BD80" s="183"/>
      <c r="BE80" s="183"/>
      <c r="BF80" s="183"/>
      <c r="BG80" s="183"/>
      <c r="BH80" s="183"/>
      <c r="BI80" s="186"/>
      <c r="BJ80" s="185"/>
      <c r="BK80" s="182"/>
      <c r="BL80" s="182"/>
      <c r="BM80" s="201"/>
      <c r="BN80" s="210"/>
      <c r="BO80" s="182"/>
      <c r="BP80" s="203"/>
      <c r="BQ80" s="185"/>
      <c r="BR80" s="429"/>
      <c r="BS80" s="183"/>
      <c r="BT80" s="183"/>
      <c r="BU80" s="183"/>
      <c r="BV80" s="183"/>
      <c r="BW80" s="186"/>
      <c r="BX80" s="194"/>
      <c r="BY80" s="183"/>
      <c r="BZ80" s="183"/>
      <c r="CA80" s="183"/>
      <c r="CB80" s="159"/>
      <c r="CC80" s="195"/>
      <c r="CD80" s="196"/>
      <c r="CE80" s="173"/>
      <c r="CF80" s="171"/>
      <c r="CG80" s="171"/>
      <c r="CH80" s="171"/>
      <c r="CI80" s="171"/>
      <c r="CJ80" s="171"/>
      <c r="CK80" s="172"/>
      <c r="CL80" s="161"/>
      <c r="CM80" s="159"/>
      <c r="CN80" s="159"/>
      <c r="CO80" s="227"/>
      <c r="CP80" s="170"/>
      <c r="CQ80" s="159"/>
      <c r="CR80" s="162"/>
      <c r="CS80" s="161"/>
      <c r="CT80" s="159"/>
      <c r="CU80" s="159"/>
      <c r="CV80" s="159"/>
      <c r="CW80" s="159"/>
      <c r="CX80" s="159"/>
      <c r="CY80" s="162"/>
      <c r="CZ80" s="159"/>
      <c r="DA80" s="159"/>
      <c r="DB80" s="159"/>
      <c r="DC80" s="159"/>
      <c r="DD80" s="159"/>
      <c r="DE80" s="162"/>
      <c r="DF80" s="174"/>
      <c r="DG80" s="159"/>
      <c r="DH80" s="159"/>
      <c r="DI80" s="159"/>
      <c r="DJ80" s="159"/>
      <c r="DK80" s="159"/>
      <c r="DL80" s="162"/>
      <c r="DM80" s="170"/>
      <c r="DN80" s="159"/>
      <c r="DO80" s="159"/>
      <c r="DP80" s="159"/>
      <c r="DQ80" s="159"/>
      <c r="DR80" s="159"/>
      <c r="DS80" s="175"/>
    </row>
    <row r="81" spans="1:123" ht="14" outlineLevel="1">
      <c r="A81" s="218" t="s">
        <v>323</v>
      </c>
      <c r="B81" s="221" t="s">
        <v>33</v>
      </c>
      <c r="C81" s="52" t="s">
        <v>178</v>
      </c>
      <c r="D81" s="194"/>
      <c r="E81" s="183"/>
      <c r="F81" s="183"/>
      <c r="G81" s="183"/>
      <c r="H81" s="183"/>
      <c r="I81" s="183"/>
      <c r="J81" s="183"/>
      <c r="K81" s="183"/>
      <c r="L81" s="184"/>
      <c r="M81" s="185"/>
      <c r="N81" s="183"/>
      <c r="O81" s="183"/>
      <c r="P81" s="183"/>
      <c r="Q81" s="183"/>
      <c r="R81" s="183"/>
      <c r="S81" s="186"/>
      <c r="T81" s="185"/>
      <c r="U81" s="183"/>
      <c r="V81" s="183"/>
      <c r="W81" s="183"/>
      <c r="X81" s="183"/>
      <c r="Y81" s="187"/>
      <c r="Z81" s="188"/>
      <c r="AA81" s="189"/>
      <c r="AB81" s="187"/>
      <c r="AC81" s="187"/>
      <c r="AD81" s="187"/>
      <c r="AE81" s="187"/>
      <c r="AF81" s="187"/>
      <c r="AG81" s="188"/>
      <c r="AH81" s="190"/>
      <c r="AI81" s="191"/>
      <c r="AJ81" s="187"/>
      <c r="AK81" s="187"/>
      <c r="AL81" s="187"/>
      <c r="AM81" s="187"/>
      <c r="AN81" s="192"/>
      <c r="AO81" s="185"/>
      <c r="AP81" s="183"/>
      <c r="AQ81" s="183"/>
      <c r="AR81" s="183"/>
      <c r="AS81" s="183"/>
      <c r="AT81" s="183"/>
      <c r="AU81" s="186"/>
      <c r="AV81" s="185"/>
      <c r="AW81" s="183"/>
      <c r="AX81" s="183"/>
      <c r="AY81" s="183"/>
      <c r="AZ81" s="183"/>
      <c r="BA81" s="183"/>
      <c r="BB81" s="186"/>
      <c r="BC81" s="185"/>
      <c r="BD81" s="183"/>
      <c r="BE81" s="183"/>
      <c r="BF81" s="183"/>
      <c r="BG81" s="183"/>
      <c r="BH81" s="183"/>
      <c r="BI81" s="186"/>
      <c r="BJ81" s="185"/>
      <c r="BK81" s="182"/>
      <c r="BL81" s="204"/>
      <c r="BM81" s="201"/>
      <c r="BN81" s="210"/>
      <c r="BO81" s="182"/>
      <c r="BP81" s="203"/>
      <c r="BQ81" s="185"/>
      <c r="BR81" s="429"/>
      <c r="BS81" s="183"/>
      <c r="BT81" s="183"/>
      <c r="BU81" s="183"/>
      <c r="BV81" s="183"/>
      <c r="BW81" s="186"/>
      <c r="BX81" s="194"/>
      <c r="BY81" s="183"/>
      <c r="BZ81" s="183"/>
      <c r="CA81" s="183"/>
      <c r="CB81" s="159"/>
      <c r="CC81" s="195"/>
      <c r="CD81" s="196"/>
      <c r="CE81" s="173"/>
      <c r="CF81" s="171"/>
      <c r="CG81" s="171"/>
      <c r="CH81" s="171"/>
      <c r="CI81" s="171"/>
      <c r="CJ81" s="171"/>
      <c r="CK81" s="172"/>
      <c r="CL81" s="161"/>
      <c r="CM81" s="159"/>
      <c r="CN81" s="159"/>
      <c r="CO81" s="227"/>
      <c r="CP81" s="170"/>
      <c r="CQ81" s="159"/>
      <c r="CR81" s="162"/>
      <c r="CS81" s="161"/>
      <c r="CT81" s="159"/>
      <c r="CU81" s="159"/>
      <c r="CV81" s="159"/>
      <c r="CW81" s="159"/>
      <c r="CX81" s="159"/>
      <c r="CY81" s="162"/>
      <c r="CZ81" s="159"/>
      <c r="DA81" s="159"/>
      <c r="DB81" s="159"/>
      <c r="DC81" s="159"/>
      <c r="DD81" s="159"/>
      <c r="DE81" s="162"/>
      <c r="DF81" s="174"/>
      <c r="DG81" s="159"/>
      <c r="DH81" s="159"/>
      <c r="DI81" s="159"/>
      <c r="DJ81" s="159"/>
      <c r="DK81" s="159"/>
      <c r="DL81" s="162"/>
      <c r="DM81" s="170"/>
      <c r="DN81" s="159"/>
      <c r="DO81" s="159"/>
      <c r="DP81" s="159"/>
      <c r="DQ81" s="159"/>
      <c r="DR81" s="159"/>
      <c r="DS81" s="175"/>
    </row>
    <row r="82" spans="1:123" ht="14" outlineLevel="1">
      <c r="A82" s="218" t="s">
        <v>229</v>
      </c>
      <c r="B82" s="221" t="s">
        <v>12</v>
      </c>
      <c r="C82" s="52" t="s">
        <v>178</v>
      </c>
      <c r="D82" s="194"/>
      <c r="E82" s="183"/>
      <c r="F82" s="183"/>
      <c r="G82" s="183"/>
      <c r="H82" s="183"/>
      <c r="I82" s="183"/>
      <c r="J82" s="183"/>
      <c r="K82" s="183"/>
      <c r="L82" s="184"/>
      <c r="M82" s="185"/>
      <c r="N82" s="183"/>
      <c r="O82" s="183"/>
      <c r="P82" s="183"/>
      <c r="Q82" s="183"/>
      <c r="R82" s="183"/>
      <c r="S82" s="186"/>
      <c r="T82" s="185"/>
      <c r="U82" s="183"/>
      <c r="V82" s="183"/>
      <c r="W82" s="183"/>
      <c r="X82" s="183"/>
      <c r="Y82" s="187"/>
      <c r="Z82" s="188"/>
      <c r="AA82" s="189"/>
      <c r="AB82" s="187"/>
      <c r="AC82" s="187"/>
      <c r="AD82" s="187"/>
      <c r="AE82" s="187"/>
      <c r="AF82" s="187"/>
      <c r="AG82" s="188"/>
      <c r="AH82" s="190"/>
      <c r="AI82" s="191"/>
      <c r="AJ82" s="187"/>
      <c r="AK82" s="187"/>
      <c r="AL82" s="187"/>
      <c r="AM82" s="187"/>
      <c r="AN82" s="192"/>
      <c r="AO82" s="185"/>
      <c r="AP82" s="183"/>
      <c r="AQ82" s="183"/>
      <c r="AR82" s="183"/>
      <c r="AS82" s="183"/>
      <c r="AT82" s="183"/>
      <c r="AU82" s="186"/>
      <c r="AV82" s="185"/>
      <c r="AW82" s="183"/>
      <c r="AX82" s="183"/>
      <c r="AY82" s="183"/>
      <c r="AZ82" s="183"/>
      <c r="BA82" s="183"/>
      <c r="BB82" s="186"/>
      <c r="BC82" s="185"/>
      <c r="BD82" s="183"/>
      <c r="BE82" s="183"/>
      <c r="BF82" s="183"/>
      <c r="BG82" s="183"/>
      <c r="BH82" s="183"/>
      <c r="BI82" s="186"/>
      <c r="BJ82" s="185"/>
      <c r="BK82" s="182"/>
      <c r="BL82" s="182"/>
      <c r="BM82" s="201"/>
      <c r="BN82" s="210"/>
      <c r="BO82" s="182"/>
      <c r="BP82" s="203"/>
      <c r="BQ82" s="185"/>
      <c r="BR82" s="429"/>
      <c r="BS82" s="183"/>
      <c r="BT82" s="183"/>
      <c r="BU82" s="183"/>
      <c r="BV82" s="183"/>
      <c r="BW82" s="186"/>
      <c r="BX82" s="194"/>
      <c r="BY82" s="183"/>
      <c r="BZ82" s="183"/>
      <c r="CA82" s="183"/>
      <c r="CB82" s="159"/>
      <c r="CC82" s="195"/>
      <c r="CD82" s="196"/>
      <c r="CE82" s="173"/>
      <c r="CF82" s="171"/>
      <c r="CG82" s="171"/>
      <c r="CH82" s="171"/>
      <c r="CI82" s="171"/>
      <c r="CJ82" s="171"/>
      <c r="CK82" s="172"/>
      <c r="CL82" s="161"/>
      <c r="CM82" s="159"/>
      <c r="CN82" s="159"/>
      <c r="CO82" s="227"/>
      <c r="CP82" s="170"/>
      <c r="CQ82" s="159"/>
      <c r="CR82" s="162"/>
      <c r="CS82" s="161"/>
      <c r="CT82" s="159"/>
      <c r="CU82" s="159"/>
      <c r="CV82" s="159"/>
      <c r="CW82" s="159"/>
      <c r="CX82" s="159"/>
      <c r="CY82" s="162"/>
      <c r="CZ82" s="159"/>
      <c r="DA82" s="159"/>
      <c r="DB82" s="159"/>
      <c r="DC82" s="159"/>
      <c r="DD82" s="159"/>
      <c r="DE82" s="162"/>
      <c r="DF82" s="174"/>
      <c r="DG82" s="159"/>
      <c r="DH82" s="159"/>
      <c r="DI82" s="159"/>
      <c r="DJ82" s="159"/>
      <c r="DK82" s="159"/>
      <c r="DL82" s="162"/>
      <c r="DM82" s="170"/>
      <c r="DN82" s="159"/>
      <c r="DO82" s="159"/>
      <c r="DP82" s="159"/>
      <c r="DQ82" s="159"/>
      <c r="DR82" s="159"/>
      <c r="DS82" s="175"/>
    </row>
    <row r="83" spans="1:123" ht="14" outlineLevel="1">
      <c r="A83" s="218" t="s">
        <v>279</v>
      </c>
      <c r="B83" s="221" t="s">
        <v>15</v>
      </c>
      <c r="C83" s="52" t="s">
        <v>178</v>
      </c>
      <c r="D83" s="194"/>
      <c r="E83" s="183"/>
      <c r="F83" s="183"/>
      <c r="G83" s="183"/>
      <c r="H83" s="183"/>
      <c r="I83" s="183"/>
      <c r="J83" s="183"/>
      <c r="K83" s="183"/>
      <c r="L83" s="184"/>
      <c r="M83" s="185"/>
      <c r="N83" s="183"/>
      <c r="O83" s="183"/>
      <c r="P83" s="183"/>
      <c r="Q83" s="183"/>
      <c r="R83" s="183"/>
      <c r="S83" s="186"/>
      <c r="T83" s="185"/>
      <c r="U83" s="183"/>
      <c r="V83" s="183"/>
      <c r="W83" s="183"/>
      <c r="X83" s="183"/>
      <c r="Y83" s="187"/>
      <c r="Z83" s="188"/>
      <c r="AA83" s="189"/>
      <c r="AB83" s="187"/>
      <c r="AC83" s="187"/>
      <c r="AD83" s="187"/>
      <c r="AE83" s="187"/>
      <c r="AF83" s="187"/>
      <c r="AG83" s="188"/>
      <c r="AH83" s="190"/>
      <c r="AI83" s="191"/>
      <c r="AJ83" s="187"/>
      <c r="AK83" s="187"/>
      <c r="AL83" s="187"/>
      <c r="AM83" s="187"/>
      <c r="AN83" s="192"/>
      <c r="AO83" s="185"/>
      <c r="AP83" s="183"/>
      <c r="AQ83" s="183"/>
      <c r="AR83" s="183"/>
      <c r="AS83" s="183"/>
      <c r="AT83" s="183"/>
      <c r="AU83" s="186"/>
      <c r="AV83" s="185"/>
      <c r="AW83" s="183"/>
      <c r="AX83" s="183"/>
      <c r="AY83" s="183"/>
      <c r="AZ83" s="183"/>
      <c r="BA83" s="183"/>
      <c r="BB83" s="186"/>
      <c r="BC83" s="185"/>
      <c r="BD83" s="183"/>
      <c r="BE83" s="183"/>
      <c r="BF83" s="183"/>
      <c r="BG83" s="183"/>
      <c r="BH83" s="183"/>
      <c r="BI83" s="186"/>
      <c r="BJ83" s="185"/>
      <c r="BK83" s="182"/>
      <c r="BL83" s="182"/>
      <c r="BM83" s="201"/>
      <c r="BN83" s="210"/>
      <c r="BO83" s="182"/>
      <c r="BP83" s="203"/>
      <c r="BQ83" s="185"/>
      <c r="BR83" s="429"/>
      <c r="BS83" s="183"/>
      <c r="BT83" s="183"/>
      <c r="BU83" s="183"/>
      <c r="BV83" s="183"/>
      <c r="BW83" s="186"/>
      <c r="BX83" s="194"/>
      <c r="BY83" s="183"/>
      <c r="BZ83" s="183"/>
      <c r="CA83" s="183"/>
      <c r="CB83" s="159"/>
      <c r="CC83" s="195"/>
      <c r="CD83" s="196"/>
      <c r="CE83" s="173"/>
      <c r="CF83" s="171"/>
      <c r="CG83" s="171"/>
      <c r="CH83" s="171"/>
      <c r="CI83" s="171"/>
      <c r="CJ83" s="171"/>
      <c r="CK83" s="172"/>
      <c r="CL83" s="161"/>
      <c r="CM83" s="159"/>
      <c r="CN83" s="159"/>
      <c r="CO83" s="227"/>
      <c r="CP83" s="170"/>
      <c r="CQ83" s="159"/>
      <c r="CR83" s="162"/>
      <c r="CS83" s="161"/>
      <c r="CT83" s="159"/>
      <c r="CU83" s="159"/>
      <c r="CV83" s="159"/>
      <c r="CW83" s="159"/>
      <c r="CX83" s="159"/>
      <c r="CY83" s="162"/>
      <c r="CZ83" s="159"/>
      <c r="DA83" s="159"/>
      <c r="DB83" s="159"/>
      <c r="DC83" s="159"/>
      <c r="DD83" s="159"/>
      <c r="DE83" s="162"/>
      <c r="DF83" s="174"/>
      <c r="DG83" s="159"/>
      <c r="DH83" s="159"/>
      <c r="DI83" s="159"/>
      <c r="DJ83" s="159"/>
      <c r="DK83" s="159"/>
      <c r="DL83" s="162"/>
      <c r="DM83" s="170"/>
      <c r="DN83" s="159"/>
      <c r="DO83" s="159"/>
      <c r="DP83" s="159"/>
      <c r="DQ83" s="159"/>
      <c r="DR83" s="159"/>
      <c r="DS83" s="175"/>
    </row>
    <row r="84" spans="1:123" ht="14" outlineLevel="1">
      <c r="A84" s="228" t="s">
        <v>230</v>
      </c>
      <c r="B84" s="229"/>
      <c r="C84" s="229"/>
      <c r="D84" s="200"/>
      <c r="E84" s="183"/>
      <c r="F84" s="183"/>
      <c r="G84" s="183"/>
      <c r="H84" s="183"/>
      <c r="I84" s="183"/>
      <c r="J84" s="183"/>
      <c r="K84" s="183"/>
      <c r="L84" s="184"/>
      <c r="M84" s="185"/>
      <c r="N84" s="183"/>
      <c r="O84" s="183"/>
      <c r="P84" s="183"/>
      <c r="Q84" s="183"/>
      <c r="R84" s="183"/>
      <c r="S84" s="186"/>
      <c r="T84" s="185"/>
      <c r="U84" s="183"/>
      <c r="V84" s="183"/>
      <c r="W84" s="183"/>
      <c r="X84" s="183"/>
      <c r="Y84" s="187"/>
      <c r="Z84" s="188"/>
      <c r="AA84" s="189"/>
      <c r="AB84" s="187"/>
      <c r="AC84" s="187"/>
      <c r="AD84" s="187"/>
      <c r="AE84" s="187"/>
      <c r="AF84" s="187"/>
      <c r="AG84" s="188"/>
      <c r="AH84" s="190"/>
      <c r="AI84" s="191"/>
      <c r="AJ84" s="187"/>
      <c r="AK84" s="187"/>
      <c r="AL84" s="187"/>
      <c r="AM84" s="187"/>
      <c r="AN84" s="192"/>
      <c r="AO84" s="185"/>
      <c r="AP84" s="183"/>
      <c r="AQ84" s="183"/>
      <c r="AR84" s="183"/>
      <c r="AS84" s="183"/>
      <c r="AT84" s="183"/>
      <c r="AU84" s="186"/>
      <c r="AV84" s="185"/>
      <c r="AW84" s="183"/>
      <c r="AX84" s="183"/>
      <c r="AY84" s="183"/>
      <c r="AZ84" s="183"/>
      <c r="BA84" s="183"/>
      <c r="BB84" s="186"/>
      <c r="BC84" s="185"/>
      <c r="BD84" s="183"/>
      <c r="BE84" s="183"/>
      <c r="BF84" s="183"/>
      <c r="BG84" s="183"/>
      <c r="BH84" s="183"/>
      <c r="BI84" s="186"/>
      <c r="BJ84" s="185"/>
      <c r="BK84" s="183"/>
      <c r="BL84" s="183"/>
      <c r="BM84" s="184"/>
      <c r="BN84" s="193"/>
      <c r="BO84" s="183"/>
      <c r="BP84" s="186"/>
      <c r="BQ84" s="185"/>
      <c r="BR84" s="429"/>
      <c r="BS84" s="183"/>
      <c r="BT84" s="183"/>
      <c r="BU84" s="183"/>
      <c r="BV84" s="183"/>
      <c r="BW84" s="186"/>
      <c r="BX84" s="194"/>
      <c r="BY84" s="183"/>
      <c r="BZ84" s="183"/>
      <c r="CA84" s="183"/>
      <c r="CB84" s="159"/>
      <c r="CC84" s="195"/>
      <c r="CD84" s="196"/>
      <c r="CE84" s="173"/>
      <c r="CF84" s="171"/>
      <c r="CG84" s="171"/>
      <c r="CH84" s="171"/>
      <c r="CI84" s="171"/>
      <c r="CJ84" s="171"/>
      <c r="CK84" s="172"/>
      <c r="CL84" s="161"/>
      <c r="CM84" s="159"/>
      <c r="CN84" s="159"/>
      <c r="CO84" s="227"/>
      <c r="CP84" s="170"/>
      <c r="CQ84" s="159"/>
      <c r="CR84" s="162"/>
      <c r="CS84" s="161"/>
      <c r="CT84" s="159"/>
      <c r="CU84" s="159"/>
      <c r="CV84" s="159"/>
      <c r="CW84" s="159"/>
      <c r="CX84" s="159"/>
      <c r="CY84" s="162"/>
      <c r="CZ84" s="159"/>
      <c r="DA84" s="159"/>
      <c r="DB84" s="159"/>
      <c r="DC84" s="159"/>
      <c r="DD84" s="159"/>
      <c r="DE84" s="162"/>
      <c r="DF84" s="174"/>
      <c r="DG84" s="159"/>
      <c r="DH84" s="159"/>
      <c r="DI84" s="159"/>
      <c r="DJ84" s="159"/>
      <c r="DK84" s="159"/>
      <c r="DL84" s="162"/>
      <c r="DM84" s="170"/>
      <c r="DN84" s="159"/>
      <c r="DO84" s="159"/>
      <c r="DP84" s="159"/>
      <c r="DQ84" s="159"/>
      <c r="DR84" s="159"/>
      <c r="DS84" s="175"/>
    </row>
    <row r="85" spans="1:123" ht="14" outlineLevel="1">
      <c r="A85" s="179" t="s">
        <v>231</v>
      </c>
      <c r="B85" s="230" t="s">
        <v>18</v>
      </c>
      <c r="C85" s="231" t="s">
        <v>178</v>
      </c>
      <c r="D85" s="106"/>
      <c r="E85" s="107"/>
      <c r="F85" s="107"/>
      <c r="G85" s="107"/>
      <c r="H85" s="107"/>
      <c r="I85" s="107"/>
      <c r="J85" s="107"/>
      <c r="K85" s="107"/>
      <c r="L85" s="108"/>
      <c r="M85" s="109"/>
      <c r="N85" s="107"/>
      <c r="O85" s="107"/>
      <c r="P85" s="107"/>
      <c r="Q85" s="107"/>
      <c r="R85" s="107"/>
      <c r="S85" s="110"/>
      <c r="T85" s="109"/>
      <c r="U85" s="107"/>
      <c r="V85" s="107"/>
      <c r="W85" s="107"/>
      <c r="X85" s="107"/>
      <c r="Y85" s="111"/>
      <c r="Z85" s="112"/>
      <c r="AA85" s="113"/>
      <c r="AB85" s="111"/>
      <c r="AC85" s="111"/>
      <c r="AD85" s="111"/>
      <c r="AE85" s="111"/>
      <c r="AF85" s="111"/>
      <c r="AG85" s="112"/>
      <c r="AH85" s="114"/>
      <c r="AI85" s="115"/>
      <c r="AJ85" s="111"/>
      <c r="AK85" s="111"/>
      <c r="AL85" s="111"/>
      <c r="AM85" s="111"/>
      <c r="AN85" s="116"/>
      <c r="AO85" s="120"/>
      <c r="AP85" s="121"/>
      <c r="AQ85" s="121"/>
      <c r="AR85" s="122"/>
      <c r="AS85" s="183"/>
      <c r="AT85" s="183"/>
      <c r="AU85" s="186"/>
      <c r="AV85" s="185"/>
      <c r="AW85" s="183"/>
      <c r="AX85" s="183"/>
      <c r="AY85" s="183"/>
      <c r="AZ85" s="183"/>
      <c r="BA85" s="183"/>
      <c r="BB85" s="186"/>
      <c r="BC85" s="185"/>
      <c r="BD85" s="183"/>
      <c r="BE85" s="183"/>
      <c r="BF85" s="183"/>
      <c r="BG85" s="183"/>
      <c r="BH85" s="183"/>
      <c r="BI85" s="186"/>
      <c r="BJ85" s="185"/>
      <c r="BK85" s="183"/>
      <c r="BL85" s="183"/>
      <c r="BM85" s="184"/>
      <c r="BN85" s="193"/>
      <c r="BO85" s="183"/>
      <c r="BP85" s="186"/>
      <c r="BQ85" s="185"/>
      <c r="BR85" s="429"/>
      <c r="BS85" s="183"/>
      <c r="BT85" s="183"/>
      <c r="BU85" s="183"/>
      <c r="BV85" s="183"/>
      <c r="BW85" s="186"/>
      <c r="BX85" s="194"/>
      <c r="BY85" s="183"/>
      <c r="BZ85" s="183"/>
      <c r="CA85" s="183"/>
      <c r="CB85" s="159"/>
      <c r="CC85" s="195"/>
      <c r="CD85" s="196"/>
      <c r="CE85" s="173"/>
      <c r="CF85" s="171"/>
      <c r="CG85" s="171"/>
      <c r="CH85" s="171"/>
      <c r="CI85" s="171"/>
      <c r="CJ85" s="171"/>
      <c r="CK85" s="172"/>
      <c r="CL85" s="161"/>
      <c r="CM85" s="159"/>
      <c r="CN85" s="159"/>
      <c r="CO85" s="227"/>
      <c r="CP85" s="170"/>
      <c r="CQ85" s="159"/>
      <c r="CR85" s="162"/>
      <c r="CS85" s="161"/>
      <c r="CT85" s="159"/>
      <c r="CU85" s="159"/>
      <c r="CV85" s="159"/>
      <c r="CW85" s="159"/>
      <c r="CX85" s="159"/>
      <c r="CY85" s="162"/>
      <c r="CZ85" s="159"/>
      <c r="DA85" s="159"/>
      <c r="DB85" s="159"/>
      <c r="DC85" s="159"/>
      <c r="DD85" s="159"/>
      <c r="DE85" s="162"/>
      <c r="DF85" s="174"/>
      <c r="DG85" s="159"/>
      <c r="DH85" s="159"/>
      <c r="DI85" s="159"/>
      <c r="DJ85" s="159"/>
      <c r="DK85" s="159"/>
      <c r="DL85" s="162"/>
      <c r="DM85" s="170"/>
      <c r="DN85" s="159"/>
      <c r="DO85" s="159"/>
      <c r="DP85" s="159"/>
      <c r="DQ85" s="159"/>
      <c r="DR85" s="159"/>
      <c r="DS85" s="175"/>
    </row>
    <row r="86" spans="1:123" ht="14.5" outlineLevel="1" thickBot="1">
      <c r="A86" s="179" t="s">
        <v>232</v>
      </c>
      <c r="B86" s="232" t="s">
        <v>18</v>
      </c>
      <c r="C86" s="414" t="s">
        <v>178</v>
      </c>
      <c r="D86" s="200"/>
      <c r="E86" s="183"/>
      <c r="F86" s="183"/>
      <c r="G86" s="183"/>
      <c r="H86" s="183"/>
      <c r="I86" s="183"/>
      <c r="J86" s="183"/>
      <c r="K86" s="183"/>
      <c r="L86" s="184"/>
      <c r="M86" s="185"/>
      <c r="N86" s="183"/>
      <c r="O86" s="183"/>
      <c r="P86" s="183"/>
      <c r="Q86" s="183"/>
      <c r="R86" s="183"/>
      <c r="S86" s="186"/>
      <c r="T86" s="185"/>
      <c r="U86" s="183"/>
      <c r="V86" s="183"/>
      <c r="W86" s="183"/>
      <c r="X86" s="183"/>
      <c r="Y86" s="187"/>
      <c r="Z86" s="188"/>
      <c r="AA86" s="189"/>
      <c r="AB86" s="187"/>
      <c r="AC86" s="187"/>
      <c r="AD86" s="187"/>
      <c r="AE86" s="187"/>
      <c r="AF86" s="187"/>
      <c r="AG86" s="188"/>
      <c r="AH86" s="190"/>
      <c r="AI86" s="191"/>
      <c r="AJ86" s="187"/>
      <c r="AK86" s="187"/>
      <c r="AL86" s="187"/>
      <c r="AM86" s="187"/>
      <c r="AN86" s="192"/>
      <c r="AO86" s="185"/>
      <c r="AP86" s="183"/>
      <c r="AQ86" s="183"/>
      <c r="AR86" s="183"/>
      <c r="AS86" s="183"/>
      <c r="AT86" s="183"/>
      <c r="AU86" s="186"/>
      <c r="AV86" s="185"/>
      <c r="AW86" s="183"/>
      <c r="AX86" s="183"/>
      <c r="AY86" s="183"/>
      <c r="AZ86" s="183"/>
      <c r="BA86" s="183"/>
      <c r="BB86" s="186"/>
      <c r="BC86" s="185"/>
      <c r="BD86" s="183"/>
      <c r="BE86" s="183"/>
      <c r="BF86" s="183"/>
      <c r="BG86" s="183"/>
      <c r="BH86" s="183"/>
      <c r="BI86" s="186"/>
      <c r="BJ86" s="185"/>
      <c r="BK86" s="183"/>
      <c r="BL86" s="183"/>
      <c r="BM86" s="184"/>
      <c r="BN86" s="193"/>
      <c r="BO86" s="183"/>
      <c r="BP86" s="186"/>
      <c r="BQ86" s="202"/>
      <c r="BR86" s="429"/>
      <c r="BS86" s="182"/>
      <c r="BT86" s="204"/>
      <c r="BU86" s="182"/>
      <c r="BV86" s="183"/>
      <c r="BW86" s="186"/>
      <c r="BX86" s="194"/>
      <c r="BY86" s="183"/>
      <c r="BZ86" s="183"/>
      <c r="CA86" s="183"/>
      <c r="CB86" s="159"/>
      <c r="CC86" s="195"/>
      <c r="CD86" s="196"/>
      <c r="CE86" s="173"/>
      <c r="CF86" s="171"/>
      <c r="CG86" s="171"/>
      <c r="CH86" s="171"/>
      <c r="CI86" s="171"/>
      <c r="CJ86" s="171"/>
      <c r="CK86" s="172"/>
      <c r="CL86" s="161"/>
      <c r="CM86" s="159"/>
      <c r="CN86" s="159"/>
      <c r="CO86" s="227"/>
      <c r="CP86" s="170"/>
      <c r="CQ86" s="159"/>
      <c r="CR86" s="162"/>
      <c r="CS86" s="161"/>
      <c r="CT86" s="159"/>
      <c r="CU86" s="159"/>
      <c r="CV86" s="159"/>
      <c r="CW86" s="159"/>
      <c r="CX86" s="159"/>
      <c r="CY86" s="162"/>
      <c r="CZ86" s="159"/>
      <c r="DA86" s="159"/>
      <c r="DB86" s="159"/>
      <c r="DC86" s="159"/>
      <c r="DD86" s="159"/>
      <c r="DE86" s="162"/>
      <c r="DF86" s="174"/>
      <c r="DG86" s="159"/>
      <c r="DH86" s="159"/>
      <c r="DI86" s="159"/>
      <c r="DJ86" s="159"/>
      <c r="DK86" s="159"/>
      <c r="DL86" s="162"/>
      <c r="DM86" s="170"/>
      <c r="DN86" s="159"/>
      <c r="DO86" s="159"/>
      <c r="DP86" s="159"/>
      <c r="DQ86" s="159"/>
      <c r="DR86" s="159"/>
      <c r="DS86" s="175"/>
    </row>
    <row r="87" spans="1:123" ht="14" outlineLevel="1">
      <c r="A87" s="217" t="s">
        <v>233</v>
      </c>
      <c r="B87" s="35"/>
      <c r="C87" s="35"/>
      <c r="D87" s="200"/>
      <c r="E87" s="183"/>
      <c r="F87" s="183"/>
      <c r="G87" s="183"/>
      <c r="H87" s="183"/>
      <c r="I87" s="183"/>
      <c r="J87" s="183"/>
      <c r="K87" s="183"/>
      <c r="L87" s="184"/>
      <c r="M87" s="185"/>
      <c r="N87" s="183"/>
      <c r="O87" s="183"/>
      <c r="P87" s="183"/>
      <c r="Q87" s="183"/>
      <c r="R87" s="183"/>
      <c r="S87" s="186"/>
      <c r="T87" s="185"/>
      <c r="U87" s="183"/>
      <c r="V87" s="183"/>
      <c r="W87" s="183"/>
      <c r="X87" s="183"/>
      <c r="Y87" s="187"/>
      <c r="Z87" s="188"/>
      <c r="AA87" s="189"/>
      <c r="AB87" s="187"/>
      <c r="AC87" s="187"/>
      <c r="AD87" s="187"/>
      <c r="AE87" s="187"/>
      <c r="AF87" s="187"/>
      <c r="AG87" s="188"/>
      <c r="AH87" s="190"/>
      <c r="AI87" s="191"/>
      <c r="AJ87" s="187"/>
      <c r="AK87" s="187"/>
      <c r="AL87" s="187"/>
      <c r="AM87" s="187"/>
      <c r="AN87" s="192"/>
      <c r="AO87" s="185"/>
      <c r="AP87" s="183"/>
      <c r="AQ87" s="183"/>
      <c r="AR87" s="183"/>
      <c r="AS87" s="183"/>
      <c r="AT87" s="183"/>
      <c r="AU87" s="186"/>
      <c r="AV87" s="185"/>
      <c r="AW87" s="183"/>
      <c r="AX87" s="183"/>
      <c r="AY87" s="183"/>
      <c r="AZ87" s="183"/>
      <c r="BA87" s="183"/>
      <c r="BB87" s="186"/>
      <c r="BC87" s="185"/>
      <c r="BD87" s="183"/>
      <c r="BE87" s="183"/>
      <c r="BF87" s="183"/>
      <c r="BG87" s="183"/>
      <c r="BH87" s="183"/>
      <c r="BI87" s="186"/>
      <c r="BJ87" s="185"/>
      <c r="BK87" s="183"/>
      <c r="BL87" s="183"/>
      <c r="BM87" s="184"/>
      <c r="BN87" s="193"/>
      <c r="BO87" s="183"/>
      <c r="BP87" s="186"/>
      <c r="BQ87" s="185"/>
      <c r="BR87" s="429"/>
      <c r="BS87" s="183"/>
      <c r="BT87" s="183"/>
      <c r="BU87" s="183"/>
      <c r="BV87" s="183"/>
      <c r="BW87" s="186"/>
      <c r="BX87" s="194"/>
      <c r="BY87" s="183"/>
      <c r="BZ87" s="183"/>
      <c r="CA87" s="183"/>
      <c r="CB87" s="159"/>
      <c r="CC87" s="195"/>
      <c r="CD87" s="196"/>
      <c r="CE87" s="173"/>
      <c r="CF87" s="171"/>
      <c r="CG87" s="171"/>
      <c r="CH87" s="171"/>
      <c r="CI87" s="171"/>
      <c r="CJ87" s="171"/>
      <c r="CK87" s="172"/>
      <c r="CL87" s="161"/>
      <c r="CM87" s="159"/>
      <c r="CN87" s="159"/>
      <c r="CO87" s="227"/>
      <c r="CP87" s="170"/>
      <c r="CQ87" s="159"/>
      <c r="CR87" s="162"/>
      <c r="CS87" s="161"/>
      <c r="CT87" s="159"/>
      <c r="CU87" s="159"/>
      <c r="CV87" s="159"/>
      <c r="CW87" s="159"/>
      <c r="CX87" s="159"/>
      <c r="CY87" s="162"/>
      <c r="CZ87" s="159"/>
      <c r="DA87" s="159"/>
      <c r="DB87" s="159"/>
      <c r="DC87" s="159"/>
      <c r="DD87" s="159"/>
      <c r="DE87" s="162"/>
      <c r="DF87" s="174"/>
      <c r="DG87" s="159"/>
      <c r="DH87" s="159"/>
      <c r="DI87" s="159"/>
      <c r="DJ87" s="159"/>
      <c r="DK87" s="159"/>
      <c r="DL87" s="162"/>
      <c r="DM87" s="170"/>
      <c r="DN87" s="159"/>
      <c r="DO87" s="159"/>
      <c r="DP87" s="159"/>
      <c r="DQ87" s="159"/>
      <c r="DR87" s="159"/>
      <c r="DS87" s="175"/>
    </row>
    <row r="88" spans="1:123" ht="14" outlineLevel="1">
      <c r="A88" s="179" t="s">
        <v>234</v>
      </c>
      <c r="B88" s="221" t="s">
        <v>24</v>
      </c>
      <c r="C88" s="52" t="s">
        <v>178</v>
      </c>
      <c r="D88" s="125"/>
      <c r="E88" s="107"/>
      <c r="F88" s="107"/>
      <c r="G88" s="107"/>
      <c r="H88" s="107"/>
      <c r="I88" s="107"/>
      <c r="J88" s="107"/>
      <c r="K88" s="107"/>
      <c r="L88" s="108"/>
      <c r="M88" s="109"/>
      <c r="N88" s="107"/>
      <c r="O88" s="107"/>
      <c r="P88" s="107"/>
      <c r="Q88" s="107"/>
      <c r="R88" s="107"/>
      <c r="S88" s="110"/>
      <c r="T88" s="109"/>
      <c r="U88" s="107"/>
      <c r="V88" s="107"/>
      <c r="W88" s="107"/>
      <c r="X88" s="107"/>
      <c r="Y88" s="111"/>
      <c r="Z88" s="112"/>
      <c r="AA88" s="113"/>
      <c r="AB88" s="111"/>
      <c r="AC88" s="111"/>
      <c r="AD88" s="111"/>
      <c r="AE88" s="111"/>
      <c r="AF88" s="111"/>
      <c r="AG88" s="112"/>
      <c r="AH88" s="114"/>
      <c r="AI88" s="115"/>
      <c r="AJ88" s="111"/>
      <c r="AK88" s="111"/>
      <c r="AL88" s="111"/>
      <c r="AM88" s="111"/>
      <c r="AN88" s="116"/>
      <c r="AO88" s="185"/>
      <c r="AP88" s="183"/>
      <c r="AQ88" s="183"/>
      <c r="AR88" s="183"/>
      <c r="AS88" s="183"/>
      <c r="AT88" s="183"/>
      <c r="AU88" s="186"/>
      <c r="AV88" s="185"/>
      <c r="AW88" s="183"/>
      <c r="AX88" s="183"/>
      <c r="AY88" s="183"/>
      <c r="AZ88" s="183"/>
      <c r="BA88" s="183"/>
      <c r="BB88" s="186"/>
      <c r="BC88" s="185"/>
      <c r="BD88" s="183"/>
      <c r="BE88" s="183"/>
      <c r="BF88" s="183"/>
      <c r="BG88" s="183"/>
      <c r="BH88" s="183"/>
      <c r="BI88" s="186"/>
      <c r="BJ88" s="185"/>
      <c r="BK88" s="183"/>
      <c r="BL88" s="183"/>
      <c r="BM88" s="184"/>
      <c r="BN88" s="193"/>
      <c r="BO88" s="183"/>
      <c r="BP88" s="186"/>
      <c r="BQ88" s="185"/>
      <c r="BR88" s="429"/>
      <c r="BS88" s="183"/>
      <c r="BT88" s="183"/>
      <c r="BU88" s="183"/>
      <c r="BV88" s="182"/>
      <c r="BW88" s="203"/>
      <c r="BX88" s="206"/>
      <c r="BY88" s="204"/>
      <c r="BZ88" s="182"/>
      <c r="CA88" s="183"/>
      <c r="CB88" s="159"/>
      <c r="CC88" s="195"/>
      <c r="CD88" s="196"/>
      <c r="CE88" s="173"/>
      <c r="CF88" s="171"/>
      <c r="CG88" s="171"/>
      <c r="CH88" s="171"/>
      <c r="CI88" s="171"/>
      <c r="CJ88" s="171"/>
      <c r="CK88" s="172"/>
      <c r="CL88" s="161"/>
      <c r="CM88" s="159"/>
      <c r="CN88" s="159"/>
      <c r="CO88" s="227"/>
      <c r="CP88" s="170"/>
      <c r="CQ88" s="159"/>
      <c r="CR88" s="162"/>
      <c r="CS88" s="161"/>
      <c r="CT88" s="159"/>
      <c r="CU88" s="159"/>
      <c r="CV88" s="159"/>
      <c r="CW88" s="159"/>
      <c r="CX88" s="159"/>
      <c r="CY88" s="162"/>
      <c r="CZ88" s="159"/>
      <c r="DA88" s="159"/>
      <c r="DB88" s="159"/>
      <c r="DC88" s="159"/>
      <c r="DD88" s="159"/>
      <c r="DE88" s="162"/>
      <c r="DF88" s="174"/>
      <c r="DG88" s="159"/>
      <c r="DH88" s="159"/>
      <c r="DI88" s="159"/>
      <c r="DJ88" s="159"/>
      <c r="DK88" s="159"/>
      <c r="DL88" s="162"/>
      <c r="DM88" s="170"/>
      <c r="DN88" s="159"/>
      <c r="DO88" s="159"/>
      <c r="DP88" s="159"/>
      <c r="DQ88" s="159"/>
      <c r="DR88" s="159"/>
      <c r="DS88" s="175"/>
    </row>
    <row r="89" spans="1:123" ht="14" outlineLevel="1">
      <c r="A89" s="179" t="s">
        <v>235</v>
      </c>
      <c r="B89" s="221" t="s">
        <v>24</v>
      </c>
      <c r="C89" s="222" t="s">
        <v>190</v>
      </c>
      <c r="D89" s="125"/>
      <c r="E89" s="107"/>
      <c r="F89" s="107"/>
      <c r="G89" s="107"/>
      <c r="H89" s="107"/>
      <c r="I89" s="107"/>
      <c r="J89" s="107"/>
      <c r="K89" s="107"/>
      <c r="L89" s="108"/>
      <c r="M89" s="109"/>
      <c r="N89" s="107"/>
      <c r="O89" s="107"/>
      <c r="P89" s="107"/>
      <c r="Q89" s="107"/>
      <c r="R89" s="107"/>
      <c r="S89" s="110"/>
      <c r="T89" s="109"/>
      <c r="U89" s="107"/>
      <c r="V89" s="107"/>
      <c r="W89" s="107"/>
      <c r="X89" s="107"/>
      <c r="Y89" s="111"/>
      <c r="Z89" s="112"/>
      <c r="AA89" s="113"/>
      <c r="AB89" s="111"/>
      <c r="AC89" s="111"/>
      <c r="AD89" s="111"/>
      <c r="AE89" s="111"/>
      <c r="AF89" s="111"/>
      <c r="AG89" s="112"/>
      <c r="AH89" s="114"/>
      <c r="AI89" s="115"/>
      <c r="AJ89" s="111"/>
      <c r="AK89" s="111"/>
      <c r="AL89" s="111"/>
      <c r="AM89" s="111"/>
      <c r="AN89" s="116"/>
      <c r="AO89" s="185"/>
      <c r="AP89" s="183"/>
      <c r="AQ89" s="183"/>
      <c r="AR89" s="183"/>
      <c r="AS89" s="183"/>
      <c r="AT89" s="183"/>
      <c r="AU89" s="186"/>
      <c r="AV89" s="185"/>
      <c r="AW89" s="183"/>
      <c r="AX89" s="183"/>
      <c r="AY89" s="183"/>
      <c r="AZ89" s="183"/>
      <c r="BA89" s="183"/>
      <c r="BB89" s="186"/>
      <c r="BC89" s="185"/>
      <c r="BD89" s="183"/>
      <c r="BE89" s="183"/>
      <c r="BF89" s="183"/>
      <c r="BG89" s="183"/>
      <c r="BH89" s="183"/>
      <c r="BI89" s="186"/>
      <c r="BJ89" s="185"/>
      <c r="BK89" s="183"/>
      <c r="BL89" s="183"/>
      <c r="BM89" s="184"/>
      <c r="BN89" s="193"/>
      <c r="BO89" s="183"/>
      <c r="BP89" s="186"/>
      <c r="BQ89" s="185"/>
      <c r="BR89" s="429"/>
      <c r="BS89" s="183"/>
      <c r="BT89" s="183"/>
      <c r="BU89" s="183"/>
      <c r="BV89" s="183"/>
      <c r="BW89" s="186"/>
      <c r="BX89" s="194"/>
      <c r="BY89" s="182"/>
      <c r="BZ89" s="182"/>
      <c r="CA89" s="182"/>
      <c r="CB89" s="159"/>
      <c r="CC89" s="195"/>
      <c r="CD89" s="196"/>
      <c r="CE89" s="173"/>
      <c r="CF89" s="171"/>
      <c r="CG89" s="171"/>
      <c r="CH89" s="171"/>
      <c r="CI89" s="171"/>
      <c r="CJ89" s="171"/>
      <c r="CK89" s="172"/>
      <c r="CL89" s="161"/>
      <c r="CM89" s="159"/>
      <c r="CN89" s="159"/>
      <c r="CO89" s="227"/>
      <c r="CP89" s="170"/>
      <c r="CQ89" s="159"/>
      <c r="CR89" s="162"/>
      <c r="CS89" s="161"/>
      <c r="CT89" s="159"/>
      <c r="CU89" s="159"/>
      <c r="CV89" s="159"/>
      <c r="CW89" s="159"/>
      <c r="CX89" s="159"/>
      <c r="CY89" s="162"/>
      <c r="CZ89" s="159"/>
      <c r="DA89" s="159"/>
      <c r="DB89" s="159"/>
      <c r="DC89" s="159"/>
      <c r="DD89" s="159"/>
      <c r="DE89" s="162"/>
      <c r="DF89" s="174"/>
      <c r="DG89" s="159"/>
      <c r="DH89" s="159"/>
      <c r="DI89" s="159"/>
      <c r="DJ89" s="159"/>
      <c r="DK89" s="159"/>
      <c r="DL89" s="162"/>
      <c r="DM89" s="170"/>
      <c r="DN89" s="159"/>
      <c r="DO89" s="159"/>
      <c r="DP89" s="159"/>
      <c r="DQ89" s="159"/>
      <c r="DR89" s="159"/>
      <c r="DS89" s="175"/>
    </row>
    <row r="90" spans="1:123" ht="14" outlineLevel="1">
      <c r="A90" s="179" t="s">
        <v>236</v>
      </c>
      <c r="B90" s="221" t="s">
        <v>24</v>
      </c>
      <c r="C90" s="220" t="s">
        <v>181</v>
      </c>
      <c r="D90" s="125"/>
      <c r="E90" s="107"/>
      <c r="F90" s="107"/>
      <c r="G90" s="107"/>
      <c r="H90" s="107"/>
      <c r="I90" s="107"/>
      <c r="J90" s="107"/>
      <c r="K90" s="107"/>
      <c r="L90" s="108"/>
      <c r="M90" s="109"/>
      <c r="N90" s="107"/>
      <c r="O90" s="107"/>
      <c r="P90" s="107"/>
      <c r="Q90" s="107"/>
      <c r="R90" s="107"/>
      <c r="S90" s="110"/>
      <c r="T90" s="109"/>
      <c r="U90" s="107"/>
      <c r="V90" s="107"/>
      <c r="W90" s="107"/>
      <c r="X90" s="107"/>
      <c r="Y90" s="111"/>
      <c r="Z90" s="112"/>
      <c r="AA90" s="113"/>
      <c r="AB90" s="111"/>
      <c r="AC90" s="111"/>
      <c r="AD90" s="111"/>
      <c r="AE90" s="111"/>
      <c r="AF90" s="111"/>
      <c r="AG90" s="112"/>
      <c r="AH90" s="114"/>
      <c r="AI90" s="115"/>
      <c r="AJ90" s="111"/>
      <c r="AK90" s="111"/>
      <c r="AL90" s="111"/>
      <c r="AM90" s="111"/>
      <c r="AN90" s="116"/>
      <c r="AO90" s="185"/>
      <c r="AP90" s="183"/>
      <c r="AQ90" s="183"/>
      <c r="AR90" s="183"/>
      <c r="AS90" s="183"/>
      <c r="AT90" s="183"/>
      <c r="AU90" s="186"/>
      <c r="AV90" s="185"/>
      <c r="AW90" s="183"/>
      <c r="AX90" s="183"/>
      <c r="AY90" s="183"/>
      <c r="AZ90" s="183"/>
      <c r="BA90" s="183"/>
      <c r="BB90" s="186"/>
      <c r="BC90" s="185"/>
      <c r="BD90" s="183"/>
      <c r="BE90" s="183"/>
      <c r="BF90" s="183"/>
      <c r="BG90" s="183"/>
      <c r="BH90" s="183"/>
      <c r="BI90" s="186"/>
      <c r="BJ90" s="185"/>
      <c r="BK90" s="183"/>
      <c r="BL90" s="183"/>
      <c r="BM90" s="184"/>
      <c r="BN90" s="193"/>
      <c r="BO90" s="183"/>
      <c r="BP90" s="186"/>
      <c r="BQ90" s="185"/>
      <c r="BR90" s="429"/>
      <c r="BS90" s="183"/>
      <c r="BT90" s="183"/>
      <c r="BU90" s="183"/>
      <c r="BV90" s="183"/>
      <c r="BW90" s="186"/>
      <c r="BX90" s="194"/>
      <c r="BY90" s="183"/>
      <c r="BZ90" s="183"/>
      <c r="CA90" s="183"/>
      <c r="CB90" s="159"/>
      <c r="CC90" s="195"/>
      <c r="CD90" s="196"/>
      <c r="CE90" s="173"/>
      <c r="CF90" s="171"/>
      <c r="CG90" s="171"/>
      <c r="CH90" s="171"/>
      <c r="CI90" s="171"/>
      <c r="CJ90" s="171"/>
      <c r="CK90" s="172"/>
      <c r="CL90" s="161"/>
      <c r="CM90" s="159"/>
      <c r="CN90" s="159"/>
      <c r="CO90" s="227"/>
      <c r="CP90" s="170"/>
      <c r="CQ90" s="159"/>
      <c r="CR90" s="162"/>
      <c r="CS90" s="161"/>
      <c r="CT90" s="159"/>
      <c r="CU90" s="159"/>
      <c r="CV90" s="159"/>
      <c r="CW90" s="159"/>
      <c r="CX90" s="159"/>
      <c r="CY90" s="162"/>
      <c r="CZ90" s="159"/>
      <c r="DA90" s="159"/>
      <c r="DB90" s="159"/>
      <c r="DC90" s="159"/>
      <c r="DD90" s="159"/>
      <c r="DE90" s="162"/>
      <c r="DF90" s="174"/>
      <c r="DG90" s="159"/>
      <c r="DH90" s="159"/>
      <c r="DI90" s="159"/>
      <c r="DJ90" s="159"/>
      <c r="DK90" s="159"/>
      <c r="DL90" s="162"/>
      <c r="DM90" s="170"/>
      <c r="DN90" s="159"/>
      <c r="DO90" s="159"/>
      <c r="DP90" s="159"/>
      <c r="DQ90" s="159"/>
      <c r="DR90" s="159"/>
      <c r="DS90" s="175"/>
    </row>
    <row r="91" spans="1:123" ht="14" outlineLevel="1">
      <c r="A91" s="179" t="s">
        <v>237</v>
      </c>
      <c r="B91" s="221" t="s">
        <v>24</v>
      </c>
      <c r="C91" s="220" t="s">
        <v>181</v>
      </c>
      <c r="D91" s="125"/>
      <c r="E91" s="107"/>
      <c r="F91" s="107"/>
      <c r="G91" s="107"/>
      <c r="H91" s="107"/>
      <c r="I91" s="107"/>
      <c r="J91" s="107"/>
      <c r="K91" s="107"/>
      <c r="L91" s="108"/>
      <c r="M91" s="109"/>
      <c r="N91" s="107"/>
      <c r="O91" s="107"/>
      <c r="P91" s="107"/>
      <c r="Q91" s="107"/>
      <c r="R91" s="107"/>
      <c r="S91" s="110"/>
      <c r="T91" s="109"/>
      <c r="U91" s="107"/>
      <c r="V91" s="107"/>
      <c r="W91" s="107"/>
      <c r="X91" s="107"/>
      <c r="Y91" s="111"/>
      <c r="Z91" s="112"/>
      <c r="AA91" s="113"/>
      <c r="AB91" s="111"/>
      <c r="AC91" s="111"/>
      <c r="AD91" s="111"/>
      <c r="AE91" s="111"/>
      <c r="AF91" s="111"/>
      <c r="AG91" s="112"/>
      <c r="AH91" s="114"/>
      <c r="AI91" s="115"/>
      <c r="AJ91" s="111"/>
      <c r="AK91" s="111"/>
      <c r="AL91" s="111"/>
      <c r="AM91" s="111"/>
      <c r="AN91" s="116"/>
      <c r="AO91" s="185"/>
      <c r="AP91" s="183"/>
      <c r="AQ91" s="183"/>
      <c r="AR91" s="183"/>
      <c r="AS91" s="183"/>
      <c r="AT91" s="183"/>
      <c r="AU91" s="186"/>
      <c r="AV91" s="185"/>
      <c r="AW91" s="183"/>
      <c r="AX91" s="183"/>
      <c r="AY91" s="183"/>
      <c r="AZ91" s="183"/>
      <c r="BA91" s="183"/>
      <c r="BB91" s="186"/>
      <c r="BC91" s="185"/>
      <c r="BD91" s="183"/>
      <c r="BE91" s="183"/>
      <c r="BF91" s="183"/>
      <c r="BG91" s="183"/>
      <c r="BH91" s="183"/>
      <c r="BI91" s="186"/>
      <c r="BJ91" s="185"/>
      <c r="BK91" s="183"/>
      <c r="BL91" s="183"/>
      <c r="BM91" s="184"/>
      <c r="BN91" s="193"/>
      <c r="BO91" s="183"/>
      <c r="BP91" s="186"/>
      <c r="BQ91" s="185"/>
      <c r="BR91" s="429"/>
      <c r="BS91" s="183"/>
      <c r="BT91" s="183"/>
      <c r="BU91" s="183"/>
      <c r="BV91" s="183"/>
      <c r="BW91" s="186"/>
      <c r="BX91" s="194"/>
      <c r="BY91" s="107"/>
      <c r="BZ91" s="107"/>
      <c r="CA91" s="107"/>
      <c r="CB91" s="159"/>
      <c r="CC91" s="225"/>
      <c r="CD91" s="226"/>
      <c r="CE91" s="173"/>
      <c r="CF91" s="171"/>
      <c r="CG91" s="171"/>
      <c r="CH91" s="171"/>
      <c r="CI91" s="171"/>
      <c r="CJ91" s="171"/>
      <c r="CK91" s="172"/>
      <c r="CL91" s="161"/>
      <c r="CM91" s="159"/>
      <c r="CN91" s="159"/>
      <c r="CO91" s="227"/>
      <c r="CP91" s="170"/>
      <c r="CQ91" s="159"/>
      <c r="CR91" s="162"/>
      <c r="CS91" s="161"/>
      <c r="CT91" s="159"/>
      <c r="CU91" s="159"/>
      <c r="CV91" s="159"/>
      <c r="CW91" s="159"/>
      <c r="CX91" s="159"/>
      <c r="CY91" s="162"/>
      <c r="CZ91" s="159"/>
      <c r="DA91" s="159"/>
      <c r="DB91" s="159"/>
      <c r="DC91" s="159"/>
      <c r="DD91" s="159"/>
      <c r="DE91" s="162"/>
      <c r="DF91" s="174"/>
      <c r="DG91" s="159"/>
      <c r="DH91" s="159"/>
      <c r="DI91" s="159"/>
      <c r="DJ91" s="159"/>
      <c r="DK91" s="159"/>
      <c r="DL91" s="162"/>
      <c r="DM91" s="170"/>
      <c r="DN91" s="159"/>
      <c r="DO91" s="159"/>
      <c r="DP91" s="159"/>
      <c r="DQ91" s="159"/>
      <c r="DR91" s="159"/>
      <c r="DS91" s="175"/>
    </row>
    <row r="92" spans="1:123" ht="14.5" outlineLevel="1" thickBot="1">
      <c r="A92" s="233" t="s">
        <v>238</v>
      </c>
      <c r="B92" s="221" t="s">
        <v>24</v>
      </c>
      <c r="C92" s="220" t="s">
        <v>181</v>
      </c>
      <c r="D92" s="125"/>
      <c r="E92" s="107"/>
      <c r="F92" s="107"/>
      <c r="G92" s="107"/>
      <c r="H92" s="107"/>
      <c r="I92" s="107"/>
      <c r="J92" s="107"/>
      <c r="K92" s="107"/>
      <c r="L92" s="108"/>
      <c r="M92" s="109"/>
      <c r="N92" s="107"/>
      <c r="O92" s="107"/>
      <c r="P92" s="107"/>
      <c r="Q92" s="107"/>
      <c r="R92" s="107"/>
      <c r="S92" s="110"/>
      <c r="T92" s="109"/>
      <c r="U92" s="107"/>
      <c r="V92" s="107"/>
      <c r="W92" s="107"/>
      <c r="X92" s="107"/>
      <c r="Y92" s="111"/>
      <c r="Z92" s="112"/>
      <c r="AA92" s="113"/>
      <c r="AB92" s="111"/>
      <c r="AC92" s="111"/>
      <c r="AD92" s="111"/>
      <c r="AE92" s="111"/>
      <c r="AF92" s="111"/>
      <c r="AG92" s="112"/>
      <c r="AH92" s="114"/>
      <c r="AI92" s="115"/>
      <c r="AJ92" s="111"/>
      <c r="AK92" s="111"/>
      <c r="AL92" s="111"/>
      <c r="AM92" s="111"/>
      <c r="AN92" s="116"/>
      <c r="AO92" s="185"/>
      <c r="AP92" s="183"/>
      <c r="AQ92" s="183"/>
      <c r="AR92" s="183"/>
      <c r="AS92" s="183"/>
      <c r="AT92" s="183"/>
      <c r="AU92" s="186"/>
      <c r="AV92" s="185"/>
      <c r="AW92" s="183"/>
      <c r="AX92" s="183"/>
      <c r="AY92" s="183"/>
      <c r="AZ92" s="183"/>
      <c r="BA92" s="183"/>
      <c r="BB92" s="186"/>
      <c r="BC92" s="185"/>
      <c r="BD92" s="183"/>
      <c r="BE92" s="183"/>
      <c r="BF92" s="183"/>
      <c r="BG92" s="183"/>
      <c r="BH92" s="183"/>
      <c r="BI92" s="186"/>
      <c r="BJ92" s="185"/>
      <c r="BK92" s="183"/>
      <c r="BL92" s="183"/>
      <c r="BM92" s="184"/>
      <c r="BN92" s="193"/>
      <c r="BO92" s="183"/>
      <c r="BP92" s="186"/>
      <c r="BQ92" s="185"/>
      <c r="BR92" s="429"/>
      <c r="BS92" s="183"/>
      <c r="BT92" s="183"/>
      <c r="BU92" s="183"/>
      <c r="BV92" s="183"/>
      <c r="BW92" s="186"/>
      <c r="BX92" s="194"/>
      <c r="BY92" s="107"/>
      <c r="BZ92" s="107"/>
      <c r="CA92" s="107"/>
      <c r="CB92" s="159"/>
      <c r="CC92" s="225"/>
      <c r="CD92" s="226"/>
      <c r="CE92" s="173"/>
      <c r="CF92" s="171"/>
      <c r="CG92" s="171"/>
      <c r="CH92" s="171"/>
      <c r="CI92" s="171"/>
      <c r="CJ92" s="171"/>
      <c r="CK92" s="172"/>
      <c r="CL92" s="161"/>
      <c r="CM92" s="159"/>
      <c r="CN92" s="159"/>
      <c r="CO92" s="227"/>
      <c r="CP92" s="170"/>
      <c r="CQ92" s="159"/>
      <c r="CR92" s="162"/>
      <c r="CS92" s="161"/>
      <c r="CT92" s="159"/>
      <c r="CU92" s="159"/>
      <c r="CV92" s="159"/>
      <c r="CW92" s="159"/>
      <c r="CX92" s="159"/>
      <c r="CY92" s="162"/>
      <c r="CZ92" s="159"/>
      <c r="DA92" s="159"/>
      <c r="DB92" s="159"/>
      <c r="DC92" s="159"/>
      <c r="DD92" s="159"/>
      <c r="DE92" s="162"/>
      <c r="DF92" s="174"/>
      <c r="DG92" s="159"/>
      <c r="DH92" s="159"/>
      <c r="DI92" s="159"/>
      <c r="DJ92" s="159"/>
      <c r="DK92" s="159"/>
      <c r="DL92" s="162"/>
      <c r="DM92" s="170"/>
      <c r="DN92" s="159"/>
      <c r="DO92" s="159"/>
      <c r="DP92" s="159"/>
      <c r="DQ92" s="159"/>
      <c r="DR92" s="159"/>
      <c r="DS92" s="175"/>
    </row>
    <row r="93" spans="1:123" ht="14">
      <c r="A93" s="228" t="s">
        <v>239</v>
      </c>
      <c r="B93" s="229"/>
      <c r="C93" s="229"/>
      <c r="D93" s="36"/>
      <c r="E93" s="37"/>
      <c r="F93" s="37"/>
      <c r="G93" s="37"/>
      <c r="H93" s="37"/>
      <c r="I93" s="37"/>
      <c r="J93" s="37"/>
      <c r="K93" s="37"/>
      <c r="L93" s="38"/>
      <c r="M93" s="39"/>
      <c r="N93" s="37"/>
      <c r="O93" s="37"/>
      <c r="P93" s="37"/>
      <c r="Q93" s="37"/>
      <c r="R93" s="37"/>
      <c r="S93" s="40"/>
      <c r="T93" s="39"/>
      <c r="U93" s="37"/>
      <c r="V93" s="37"/>
      <c r="W93" s="37"/>
      <c r="X93" s="37"/>
      <c r="Y93" s="132"/>
      <c r="Z93" s="133"/>
      <c r="AA93" s="134"/>
      <c r="AB93" s="132"/>
      <c r="AC93" s="132"/>
      <c r="AD93" s="132"/>
      <c r="AE93" s="132"/>
      <c r="AF93" s="132"/>
      <c r="AG93" s="133"/>
      <c r="AH93" s="135"/>
      <c r="AI93" s="136"/>
      <c r="AJ93" s="132"/>
      <c r="AK93" s="132"/>
      <c r="AL93" s="132"/>
      <c r="AM93" s="132"/>
      <c r="AN93" s="137"/>
      <c r="AO93" s="39"/>
      <c r="AP93" s="37"/>
      <c r="AQ93" s="37"/>
      <c r="AR93" s="37"/>
      <c r="AS93" s="37"/>
      <c r="AT93" s="37"/>
      <c r="AU93" s="40"/>
      <c r="AV93" s="39"/>
      <c r="AW93" s="37"/>
      <c r="AX93" s="37"/>
      <c r="AY93" s="37"/>
      <c r="AZ93" s="37"/>
      <c r="BA93" s="37"/>
      <c r="BB93" s="40"/>
      <c r="BC93" s="39"/>
      <c r="BD93" s="37"/>
      <c r="BE93" s="37"/>
      <c r="BF93" s="37"/>
      <c r="BG93" s="37"/>
      <c r="BH93" s="37"/>
      <c r="BI93" s="40"/>
      <c r="BJ93" s="39"/>
      <c r="BK93" s="37"/>
      <c r="BL93" s="37"/>
      <c r="BM93" s="38"/>
      <c r="BN93" s="41"/>
      <c r="BO93" s="37"/>
      <c r="BP93" s="40"/>
      <c r="BQ93" s="39"/>
      <c r="BR93" s="424"/>
      <c r="BS93" s="37"/>
      <c r="BT93" s="37"/>
      <c r="BU93" s="37"/>
      <c r="BV93" s="37"/>
      <c r="BW93" s="40"/>
      <c r="BX93" s="43"/>
      <c r="BY93" s="37"/>
      <c r="BZ93" s="37"/>
      <c r="CA93" s="37"/>
      <c r="CB93" s="159"/>
      <c r="CC93" s="146"/>
      <c r="CD93" s="147"/>
      <c r="CE93" s="148"/>
      <c r="CF93" s="146"/>
      <c r="CG93" s="146"/>
      <c r="CH93" s="146"/>
      <c r="CI93" s="146"/>
      <c r="CJ93" s="146"/>
      <c r="CK93" s="147"/>
      <c r="CL93" s="39"/>
      <c r="CM93" s="37"/>
      <c r="CN93" s="37"/>
      <c r="CO93" s="47"/>
      <c r="CP93" s="43"/>
      <c r="CQ93" s="37"/>
      <c r="CR93" s="40"/>
      <c r="CS93" s="39"/>
      <c r="CT93" s="37"/>
      <c r="CU93" s="37"/>
      <c r="CV93" s="37"/>
      <c r="CW93" s="37"/>
      <c r="CX93" s="37"/>
      <c r="CY93" s="162"/>
      <c r="CZ93" s="37"/>
      <c r="DA93" s="37"/>
      <c r="DB93" s="37"/>
      <c r="DC93" s="37"/>
      <c r="DD93" s="37"/>
      <c r="DE93" s="40"/>
      <c r="DF93" s="48"/>
      <c r="DG93" s="37"/>
      <c r="DH93" s="37"/>
      <c r="DI93" s="37"/>
      <c r="DJ93" s="37"/>
      <c r="DK93" s="37"/>
      <c r="DL93" s="40"/>
      <c r="DM93" s="43"/>
      <c r="DN93" s="37"/>
      <c r="DO93" s="37"/>
      <c r="DP93" s="37"/>
      <c r="DQ93" s="37"/>
      <c r="DR93" s="37"/>
      <c r="DS93" s="49"/>
    </row>
    <row r="94" spans="1:123" ht="14">
      <c r="A94" s="50" t="s">
        <v>240</v>
      </c>
      <c r="B94" s="77" t="s">
        <v>139</v>
      </c>
      <c r="C94" s="105" t="s">
        <v>178</v>
      </c>
      <c r="D94" s="158"/>
      <c r="E94" s="177"/>
      <c r="F94" s="177"/>
      <c r="G94" s="177"/>
      <c r="H94" s="177"/>
      <c r="I94" s="177"/>
      <c r="J94" s="177"/>
      <c r="K94" s="177"/>
      <c r="L94" s="234"/>
      <c r="M94" s="161"/>
      <c r="N94" s="159"/>
      <c r="O94" s="159"/>
      <c r="P94" s="159"/>
      <c r="Q94" s="159"/>
      <c r="R94" s="159"/>
      <c r="S94" s="162"/>
      <c r="T94" s="161"/>
      <c r="U94" s="159"/>
      <c r="V94" s="159"/>
      <c r="W94" s="159"/>
      <c r="X94" s="159"/>
      <c r="Y94" s="163"/>
      <c r="Z94" s="164"/>
      <c r="AA94" s="165"/>
      <c r="AB94" s="163"/>
      <c r="AC94" s="163"/>
      <c r="AD94" s="163"/>
      <c r="AE94" s="163"/>
      <c r="AF94" s="163"/>
      <c r="AG94" s="164"/>
      <c r="AH94" s="166"/>
      <c r="AI94" s="167"/>
      <c r="AJ94" s="163"/>
      <c r="AK94" s="163"/>
      <c r="AL94" s="163"/>
      <c r="AM94" s="163"/>
      <c r="AN94" s="168"/>
      <c r="AO94" s="161"/>
      <c r="AQ94" s="159"/>
      <c r="AR94" s="159"/>
      <c r="AS94" s="159"/>
      <c r="AT94" s="159"/>
      <c r="AU94" s="162"/>
      <c r="AV94" s="161"/>
      <c r="AW94" s="159"/>
      <c r="AX94" s="159"/>
      <c r="AY94" s="159"/>
      <c r="AZ94" s="159"/>
      <c r="BA94" s="159"/>
      <c r="BB94" s="162"/>
      <c r="BC94" s="161"/>
      <c r="BD94" s="159"/>
      <c r="BE94" s="159"/>
      <c r="BF94" s="159"/>
      <c r="BG94" s="159"/>
      <c r="BH94" s="159"/>
      <c r="BI94" s="162"/>
      <c r="BJ94" s="161"/>
      <c r="BK94" s="159"/>
      <c r="BL94" s="159"/>
      <c r="BM94" s="160"/>
      <c r="BN94" s="169"/>
      <c r="BO94" s="159"/>
      <c r="BP94" s="162"/>
      <c r="BQ94" s="161"/>
      <c r="BR94" s="428"/>
      <c r="BS94" s="159"/>
      <c r="BT94" s="159"/>
      <c r="BU94" s="159"/>
      <c r="BV94" s="159"/>
      <c r="BW94" s="162"/>
      <c r="BX94" s="170"/>
      <c r="BY94" s="159"/>
      <c r="BZ94" s="159"/>
      <c r="CA94" s="159"/>
      <c r="CB94" s="159"/>
      <c r="CC94" s="171"/>
      <c r="CD94" s="172"/>
      <c r="CE94" s="173"/>
      <c r="CF94" s="171"/>
      <c r="CG94" s="171"/>
      <c r="CH94" s="171"/>
      <c r="CI94" s="171"/>
      <c r="CJ94" s="171"/>
      <c r="CK94" s="172"/>
      <c r="CL94" s="161"/>
      <c r="CM94" s="159"/>
      <c r="CN94" s="159"/>
      <c r="CO94" s="227"/>
      <c r="CP94" s="170"/>
      <c r="CQ94" s="159"/>
      <c r="CR94" s="162"/>
      <c r="CS94" s="161"/>
      <c r="CT94" s="159"/>
      <c r="CU94" s="159"/>
      <c r="CV94" s="159"/>
      <c r="CW94" s="159"/>
      <c r="CX94" s="159"/>
      <c r="CY94" s="162"/>
      <c r="CZ94" s="159"/>
      <c r="DA94" s="159"/>
      <c r="DB94" s="159"/>
      <c r="DC94" s="159"/>
      <c r="DD94" s="159"/>
      <c r="DE94" s="162"/>
      <c r="DF94" s="174"/>
      <c r="DG94" s="159"/>
      <c r="DH94" s="159"/>
      <c r="DI94" s="159"/>
      <c r="DJ94" s="159"/>
      <c r="DK94" s="159"/>
      <c r="DL94" s="162"/>
      <c r="DM94" s="170"/>
      <c r="DN94" s="159"/>
      <c r="DO94" s="159"/>
      <c r="DP94" s="159"/>
      <c r="DQ94" s="159"/>
      <c r="DR94" s="159"/>
      <c r="DS94" s="175"/>
    </row>
    <row r="95" spans="1:123" ht="14">
      <c r="A95" s="50" t="s">
        <v>241</v>
      </c>
      <c r="B95" s="77" t="s">
        <v>139</v>
      </c>
      <c r="C95" s="105" t="s">
        <v>178</v>
      </c>
      <c r="D95" s="159"/>
      <c r="E95" s="159"/>
      <c r="F95" s="159"/>
      <c r="G95" s="159"/>
      <c r="H95" s="159"/>
      <c r="I95" s="159"/>
      <c r="J95" s="159"/>
      <c r="K95" s="159"/>
      <c r="L95" s="160"/>
      <c r="M95" s="214"/>
      <c r="N95" s="177"/>
      <c r="O95" s="177"/>
      <c r="P95" s="177"/>
      <c r="Q95" s="177"/>
      <c r="R95" s="177"/>
      <c r="S95" s="216"/>
      <c r="T95" s="161"/>
      <c r="U95" s="159"/>
      <c r="V95" s="159"/>
      <c r="W95" s="159"/>
      <c r="X95" s="159"/>
      <c r="Y95" s="163"/>
      <c r="Z95" s="164"/>
      <c r="AA95" s="165"/>
      <c r="AB95" s="163"/>
      <c r="AC95" s="163"/>
      <c r="AD95" s="163"/>
      <c r="AE95" s="163"/>
      <c r="AF95" s="163"/>
      <c r="AG95" s="164"/>
      <c r="AH95" s="166"/>
      <c r="AI95" s="167"/>
      <c r="AJ95" s="163"/>
      <c r="AK95" s="163"/>
      <c r="AL95" s="163"/>
      <c r="AM95" s="163"/>
      <c r="AN95" s="168"/>
      <c r="AO95" s="161"/>
      <c r="AP95" s="159"/>
      <c r="AQ95" s="159"/>
      <c r="AR95" s="159"/>
      <c r="AS95" s="159"/>
      <c r="AT95" s="159"/>
      <c r="AU95" s="162"/>
      <c r="AV95" s="161"/>
      <c r="AW95" s="159"/>
      <c r="AX95" s="159"/>
      <c r="AY95" s="159"/>
      <c r="AZ95" s="159"/>
      <c r="BA95" s="159"/>
      <c r="BB95" s="162"/>
      <c r="BC95" s="161"/>
      <c r="BD95" s="159"/>
      <c r="BE95" s="159"/>
      <c r="BF95" s="159"/>
      <c r="BG95" s="159"/>
      <c r="BH95" s="159"/>
      <c r="BI95" s="162"/>
      <c r="BJ95" s="161"/>
      <c r="BK95" s="159"/>
      <c r="BL95" s="159"/>
      <c r="BM95" s="160"/>
      <c r="BN95" s="169"/>
      <c r="BO95" s="159"/>
      <c r="BP95" s="162"/>
      <c r="BQ95" s="161"/>
      <c r="BR95" s="428"/>
      <c r="BS95" s="159"/>
      <c r="BT95" s="159"/>
      <c r="BU95" s="159"/>
      <c r="BV95" s="159"/>
      <c r="BW95" s="162"/>
      <c r="BX95" s="170"/>
      <c r="BY95" s="159"/>
      <c r="BZ95" s="159"/>
      <c r="CA95" s="159"/>
      <c r="CB95" s="159"/>
      <c r="CC95" s="171"/>
      <c r="CD95" s="172"/>
      <c r="CE95" s="173"/>
      <c r="CF95" s="171"/>
      <c r="CG95" s="171"/>
      <c r="CH95" s="171"/>
      <c r="CI95" s="171"/>
      <c r="CJ95" s="171"/>
      <c r="CK95" s="172"/>
      <c r="CL95" s="161"/>
      <c r="CM95" s="159"/>
      <c r="CN95" s="159"/>
      <c r="CO95" s="227"/>
      <c r="CP95" s="170"/>
      <c r="CQ95" s="159"/>
      <c r="CR95" s="162"/>
      <c r="CS95" s="161"/>
      <c r="CT95" s="159"/>
      <c r="CU95" s="159"/>
      <c r="CV95" s="159"/>
      <c r="CW95" s="159"/>
      <c r="CX95" s="159"/>
      <c r="CY95" s="162"/>
      <c r="CZ95" s="159"/>
      <c r="DA95" s="159"/>
      <c r="DB95" s="159"/>
      <c r="DC95" s="159"/>
      <c r="DD95" s="159"/>
      <c r="DE95" s="162"/>
      <c r="DF95" s="174"/>
      <c r="DG95" s="159"/>
      <c r="DH95" s="159"/>
      <c r="DI95" s="159"/>
      <c r="DJ95" s="159"/>
      <c r="DK95" s="159"/>
      <c r="DL95" s="162"/>
      <c r="DM95" s="170"/>
      <c r="DN95" s="159"/>
      <c r="DO95" s="159"/>
      <c r="DP95" s="159"/>
      <c r="DQ95" s="159"/>
      <c r="DR95" s="159"/>
      <c r="DS95" s="175"/>
    </row>
    <row r="96" spans="1:123" ht="14">
      <c r="A96" s="50" t="s">
        <v>242</v>
      </c>
      <c r="B96" s="77" t="s">
        <v>139</v>
      </c>
      <c r="C96" s="235" t="s">
        <v>178</v>
      </c>
      <c r="D96" s="125"/>
      <c r="E96" s="107"/>
      <c r="F96" s="107"/>
      <c r="G96" s="107"/>
      <c r="H96" s="107"/>
      <c r="I96" s="107"/>
      <c r="J96" s="107"/>
      <c r="K96" s="107"/>
      <c r="L96" s="108"/>
      <c r="M96" s="120"/>
      <c r="N96" s="121"/>
      <c r="O96" s="121"/>
      <c r="P96" s="121"/>
      <c r="Q96" s="121"/>
      <c r="R96" s="121"/>
      <c r="S96" s="142"/>
      <c r="T96" s="109"/>
      <c r="U96" s="107"/>
      <c r="V96" s="107"/>
      <c r="W96" s="107"/>
      <c r="X96" s="107"/>
      <c r="Y96" s="111"/>
      <c r="Z96" s="112"/>
      <c r="AA96" s="113"/>
      <c r="AB96" s="111"/>
      <c r="AC96" s="111"/>
      <c r="AD96" s="111"/>
      <c r="AE96" s="111"/>
      <c r="AF96" s="111"/>
      <c r="AG96" s="112"/>
      <c r="AH96" s="114"/>
      <c r="AI96" s="115"/>
      <c r="AJ96" s="111"/>
      <c r="AK96" s="111"/>
      <c r="AL96" s="111"/>
      <c r="AM96" s="111"/>
      <c r="AN96" s="116"/>
      <c r="AO96" s="109"/>
      <c r="AP96" s="122"/>
      <c r="AQ96" s="107"/>
      <c r="AR96" s="107"/>
      <c r="AS96" s="107"/>
      <c r="AT96" s="107"/>
      <c r="AU96" s="110"/>
      <c r="AV96" s="109"/>
      <c r="AW96" s="107"/>
      <c r="AX96" s="107"/>
      <c r="AY96" s="107"/>
      <c r="AZ96" s="107"/>
      <c r="BA96" s="107"/>
      <c r="BB96" s="110"/>
      <c r="BC96" s="109"/>
      <c r="BD96" s="107"/>
      <c r="BE96" s="107"/>
      <c r="BF96" s="107"/>
      <c r="BG96" s="107"/>
      <c r="BH96" s="107"/>
      <c r="BI96" s="110"/>
      <c r="BJ96" s="161"/>
      <c r="BK96" s="159"/>
      <c r="BL96" s="159"/>
      <c r="BM96" s="160"/>
      <c r="BN96" s="169"/>
      <c r="BO96" s="159"/>
      <c r="BP96" s="162"/>
      <c r="BQ96" s="161"/>
      <c r="BR96" s="428"/>
      <c r="BS96" s="159"/>
      <c r="BT96" s="159"/>
      <c r="BU96" s="159"/>
      <c r="BV96" s="159"/>
      <c r="BW96" s="162"/>
      <c r="BX96" s="170"/>
      <c r="BY96" s="159"/>
      <c r="BZ96" s="159"/>
      <c r="CA96" s="159"/>
      <c r="CB96" s="159"/>
      <c r="CC96" s="171"/>
      <c r="CD96" s="172"/>
      <c r="CE96" s="173"/>
      <c r="CF96" s="171"/>
      <c r="CG96" s="171"/>
      <c r="CH96" s="171"/>
      <c r="CI96" s="171"/>
      <c r="CJ96" s="171"/>
      <c r="CK96" s="172"/>
      <c r="CL96" s="161"/>
      <c r="CM96" s="159"/>
      <c r="CN96" s="159"/>
      <c r="CO96" s="227"/>
      <c r="CP96" s="170"/>
      <c r="CQ96" s="159"/>
      <c r="CR96" s="162"/>
      <c r="CS96" s="161"/>
      <c r="CT96" s="159"/>
      <c r="CU96" s="159"/>
      <c r="CV96" s="159"/>
      <c r="CW96" s="159"/>
      <c r="CX96" s="159"/>
      <c r="CY96" s="162"/>
      <c r="CZ96" s="159"/>
      <c r="DA96" s="159"/>
      <c r="DB96" s="159"/>
      <c r="DC96" s="159"/>
      <c r="DD96" s="159"/>
      <c r="DE96" s="162"/>
      <c r="DF96" s="174"/>
      <c r="DG96" s="159"/>
      <c r="DH96" s="159"/>
      <c r="DI96" s="159"/>
      <c r="DJ96" s="159"/>
      <c r="DK96" s="159"/>
      <c r="DL96" s="162"/>
      <c r="DM96" s="170"/>
      <c r="DN96" s="159"/>
      <c r="DO96" s="159"/>
      <c r="DP96" s="159"/>
      <c r="DQ96" s="159"/>
      <c r="DR96" s="159"/>
      <c r="DS96" s="175"/>
    </row>
    <row r="97" spans="1:123" ht="14">
      <c r="A97" s="50" t="s">
        <v>243</v>
      </c>
      <c r="B97" s="77" t="s">
        <v>139</v>
      </c>
      <c r="C97" s="236" t="s">
        <v>178</v>
      </c>
      <c r="D97" s="237"/>
      <c r="E97" s="238"/>
      <c r="F97" s="238"/>
      <c r="G97" s="238"/>
      <c r="H97" s="238"/>
      <c r="I97" s="238"/>
      <c r="J97" s="238"/>
      <c r="K97" s="238"/>
      <c r="L97" s="239"/>
      <c r="M97" s="240"/>
      <c r="N97" s="238"/>
      <c r="O97" s="238"/>
      <c r="P97" s="238"/>
      <c r="Q97" s="238"/>
      <c r="R97" s="238"/>
      <c r="S97" s="241"/>
      <c r="T97" s="240"/>
      <c r="U97" s="238"/>
      <c r="V97" s="238"/>
      <c r="W97" s="238"/>
      <c r="X97" s="238"/>
      <c r="Y97" s="242"/>
      <c r="Z97" s="243"/>
      <c r="AA97" s="244"/>
      <c r="AB97" s="242"/>
      <c r="AC97" s="242"/>
      <c r="AD97" s="242"/>
      <c r="AE97" s="242"/>
      <c r="AF97" s="242"/>
      <c r="AG97" s="243"/>
      <c r="AH97" s="245"/>
      <c r="AI97" s="246"/>
      <c r="AJ97" s="242"/>
      <c r="AK97" s="242"/>
      <c r="AL97" s="242"/>
      <c r="AM97" s="242"/>
      <c r="AN97" s="247"/>
      <c r="AO97" s="240"/>
      <c r="AP97" s="238"/>
      <c r="AQ97" s="248"/>
      <c r="AR97" s="248"/>
      <c r="AS97" s="248"/>
      <c r="AT97" s="248"/>
      <c r="AU97" s="249"/>
      <c r="AV97" s="250"/>
      <c r="AW97" s="248"/>
      <c r="AX97" s="238"/>
      <c r="AY97" s="238"/>
      <c r="AZ97" s="238"/>
      <c r="BA97" s="238"/>
      <c r="BB97" s="241"/>
      <c r="BC97" s="240"/>
      <c r="BD97" s="238"/>
      <c r="BE97" s="238"/>
      <c r="BF97" s="238"/>
      <c r="BG97" s="238"/>
      <c r="BH97" s="238"/>
      <c r="BI97" s="162"/>
      <c r="BJ97" s="161"/>
      <c r="BK97" s="159"/>
      <c r="BL97" s="159"/>
      <c r="BM97" s="160"/>
      <c r="BN97" s="169"/>
      <c r="BO97" s="159"/>
      <c r="BP97" s="162"/>
      <c r="BQ97" s="161"/>
      <c r="BR97" s="428"/>
      <c r="BS97" s="159"/>
      <c r="BT97" s="159"/>
      <c r="BU97" s="159"/>
      <c r="BV97" s="159"/>
      <c r="BW97" s="162"/>
      <c r="BX97" s="170"/>
      <c r="BY97" s="159"/>
      <c r="BZ97" s="159"/>
      <c r="CA97" s="159"/>
      <c r="CB97" s="159"/>
      <c r="CC97" s="171"/>
      <c r="CD97" s="172"/>
      <c r="CE97" s="173"/>
      <c r="CF97" s="171"/>
      <c r="CG97" s="171"/>
      <c r="CH97" s="171"/>
      <c r="CI97" s="171"/>
      <c r="CJ97" s="171"/>
      <c r="CK97" s="172"/>
      <c r="CL97" s="161"/>
      <c r="CM97" s="159"/>
      <c r="CN97" s="159"/>
      <c r="CO97" s="227"/>
      <c r="CP97" s="170"/>
      <c r="CQ97" s="159"/>
      <c r="CR97" s="162"/>
      <c r="CS97" s="161"/>
      <c r="CT97" s="159"/>
      <c r="CU97" s="159"/>
      <c r="CV97" s="159"/>
      <c r="CW97" s="159"/>
      <c r="CX97" s="159"/>
      <c r="CY97" s="162"/>
      <c r="CZ97" s="159"/>
      <c r="DA97" s="159"/>
      <c r="DB97" s="159"/>
      <c r="DC97" s="159"/>
      <c r="DD97" s="159"/>
      <c r="DE97" s="162"/>
      <c r="DF97" s="174"/>
      <c r="DG97" s="159"/>
      <c r="DH97" s="159"/>
      <c r="DI97" s="159"/>
      <c r="DJ97" s="159"/>
      <c r="DK97" s="159"/>
      <c r="DL97" s="162"/>
      <c r="DM97" s="170"/>
      <c r="DN97" s="159"/>
      <c r="DO97" s="159"/>
      <c r="DP97" s="159"/>
      <c r="DQ97" s="159"/>
      <c r="DR97" s="159"/>
      <c r="DS97" s="175"/>
    </row>
    <row r="98" spans="1:123" ht="14.5" thickBot="1">
      <c r="A98" s="154" t="s">
        <v>244</v>
      </c>
      <c r="B98" s="51" t="s">
        <v>139</v>
      </c>
      <c r="C98" s="251" t="s">
        <v>178</v>
      </c>
      <c r="D98" s="252"/>
      <c r="E98" s="253"/>
      <c r="F98" s="107"/>
      <c r="G98" s="107"/>
      <c r="H98" s="107"/>
      <c r="I98" s="107"/>
      <c r="J98" s="107"/>
      <c r="K98" s="107"/>
      <c r="L98" s="108"/>
      <c r="M98" s="109"/>
      <c r="N98" s="107"/>
      <c r="O98" s="107"/>
      <c r="P98" s="107"/>
      <c r="Q98" s="107"/>
      <c r="R98" s="107"/>
      <c r="S98" s="110"/>
      <c r="T98" s="109"/>
      <c r="U98" s="107"/>
      <c r="V98" s="107"/>
      <c r="W98" s="107"/>
      <c r="X98" s="107"/>
      <c r="Y98" s="111"/>
      <c r="Z98" s="112"/>
      <c r="AA98" s="113"/>
      <c r="AB98" s="111"/>
      <c r="AC98" s="111"/>
      <c r="AD98" s="111"/>
      <c r="AE98" s="111"/>
      <c r="AF98" s="111"/>
      <c r="AG98" s="112"/>
      <c r="AH98" s="114"/>
      <c r="AI98" s="115"/>
      <c r="AJ98" s="111"/>
      <c r="AK98" s="111"/>
      <c r="AL98" s="111"/>
      <c r="AM98" s="111"/>
      <c r="AN98" s="116"/>
      <c r="AO98" s="109"/>
      <c r="AP98" s="107"/>
      <c r="AQ98" s="107"/>
      <c r="AR98" s="107"/>
      <c r="AS98" s="107"/>
      <c r="AT98" s="107"/>
      <c r="AU98" s="110"/>
      <c r="AV98" s="109"/>
      <c r="AW98" s="107"/>
      <c r="AX98" s="254"/>
      <c r="AY98" s="121"/>
      <c r="AZ98" s="107"/>
      <c r="BA98" s="107"/>
      <c r="BB98" s="110"/>
      <c r="BC98" s="109"/>
      <c r="BD98" s="107"/>
      <c r="BE98" s="107"/>
      <c r="BF98" s="107"/>
      <c r="BG98" s="107"/>
      <c r="BH98" s="107"/>
      <c r="BI98" s="110"/>
      <c r="BJ98" s="161"/>
      <c r="BK98" s="159"/>
      <c r="BL98" s="159"/>
      <c r="BM98" s="160"/>
      <c r="BN98" s="169"/>
      <c r="BO98" s="159"/>
      <c r="BP98" s="162"/>
      <c r="BQ98" s="161"/>
      <c r="BR98" s="428"/>
      <c r="BS98" s="159"/>
      <c r="BT98" s="159"/>
      <c r="BU98" s="159"/>
      <c r="BV98" s="159"/>
      <c r="BW98" s="162"/>
      <c r="BX98" s="170"/>
      <c r="BY98" s="159"/>
      <c r="BZ98" s="159"/>
      <c r="CA98" s="159"/>
      <c r="CB98" s="159"/>
      <c r="CC98" s="171"/>
      <c r="CD98" s="172"/>
      <c r="CE98" s="173"/>
      <c r="CF98" s="171"/>
      <c r="CG98" s="171"/>
      <c r="CH98" s="171"/>
      <c r="CI98" s="171"/>
      <c r="CJ98" s="171"/>
      <c r="CK98" s="172"/>
      <c r="CL98" s="161"/>
      <c r="CM98" s="159"/>
      <c r="CN98" s="159"/>
      <c r="CO98" s="227"/>
      <c r="CP98" s="170"/>
      <c r="CQ98" s="159"/>
      <c r="CR98" s="162"/>
      <c r="CS98" s="161"/>
      <c r="CT98" s="159"/>
      <c r="CU98" s="159"/>
      <c r="CV98" s="159"/>
      <c r="CW98" s="159"/>
      <c r="CX98" s="159"/>
      <c r="CY98" s="162"/>
      <c r="CZ98" s="159"/>
      <c r="DA98" s="159"/>
      <c r="DB98" s="159"/>
      <c r="DC98" s="159"/>
      <c r="DD98" s="159"/>
      <c r="DE98" s="162"/>
      <c r="DF98" s="174"/>
      <c r="DG98" s="159"/>
      <c r="DH98" s="159"/>
      <c r="DI98" s="159"/>
      <c r="DJ98" s="159"/>
      <c r="DK98" s="159"/>
      <c r="DL98" s="162"/>
      <c r="DM98" s="170"/>
      <c r="DN98" s="159"/>
      <c r="DO98" s="159"/>
      <c r="DP98" s="159"/>
      <c r="DQ98" s="159"/>
      <c r="DR98" s="159"/>
      <c r="DS98" s="175"/>
    </row>
    <row r="99" spans="1:123" ht="14">
      <c r="A99" s="50" t="s">
        <v>245</v>
      </c>
      <c r="B99" s="51" t="s">
        <v>139</v>
      </c>
      <c r="C99" s="436" t="s">
        <v>190</v>
      </c>
      <c r="D99" s="255"/>
      <c r="E99" s="256"/>
      <c r="F99" s="256"/>
      <c r="G99" s="256"/>
      <c r="H99" s="256"/>
      <c r="I99" s="256"/>
      <c r="J99" s="256"/>
      <c r="K99" s="256"/>
      <c r="L99" s="257"/>
      <c r="M99" s="258"/>
      <c r="N99" s="256"/>
      <c r="O99" s="256"/>
      <c r="P99" s="256"/>
      <c r="Q99" s="256"/>
      <c r="R99" s="256"/>
      <c r="S99" s="259"/>
      <c r="T99" s="258"/>
      <c r="U99" s="256"/>
      <c r="V99" s="256"/>
      <c r="W99" s="256"/>
      <c r="X99" s="256"/>
      <c r="Y99" s="242"/>
      <c r="Z99" s="243"/>
      <c r="AA99" s="244"/>
      <c r="AB99" s="242"/>
      <c r="AC99" s="242"/>
      <c r="AD99" s="242"/>
      <c r="AE99" s="242"/>
      <c r="AF99" s="242"/>
      <c r="AG99" s="243"/>
      <c r="AH99" s="245"/>
      <c r="AI99" s="246"/>
      <c r="AJ99" s="242"/>
      <c r="AK99" s="242"/>
      <c r="AL99" s="242"/>
      <c r="AM99" s="242"/>
      <c r="AN99" s="247"/>
      <c r="AO99" s="258"/>
      <c r="AP99" s="256"/>
      <c r="AQ99" s="256"/>
      <c r="AR99" s="256"/>
      <c r="AS99" s="256"/>
      <c r="AT99" s="256"/>
      <c r="AU99" s="259"/>
      <c r="AV99" s="258"/>
      <c r="AW99" s="256"/>
      <c r="AX99" s="256"/>
      <c r="AY99" s="279"/>
      <c r="AZ99" s="279"/>
      <c r="BA99" s="279"/>
      <c r="BB99" s="437"/>
      <c r="BC99" s="278"/>
      <c r="BD99" s="279"/>
      <c r="BE99" s="279"/>
      <c r="BF99" s="279"/>
      <c r="BG99" s="279"/>
      <c r="BH99" s="279"/>
      <c r="BI99" s="438"/>
      <c r="BJ99" s="161"/>
      <c r="BK99" s="159"/>
      <c r="BL99" s="159"/>
      <c r="BM99" s="160"/>
      <c r="BN99" s="169"/>
      <c r="BO99" s="159"/>
      <c r="BP99" s="162"/>
      <c r="BQ99" s="161"/>
      <c r="BR99" s="428"/>
      <c r="BS99" s="159"/>
      <c r="BT99" s="159"/>
      <c r="BU99" s="159"/>
      <c r="BV99" s="159"/>
      <c r="BW99" s="162"/>
      <c r="BX99" s="170"/>
      <c r="BY99" s="159"/>
      <c r="BZ99" s="159"/>
      <c r="CA99" s="159"/>
      <c r="CB99" s="159"/>
      <c r="CC99" s="225"/>
      <c r="CD99" s="226"/>
      <c r="CE99" s="120"/>
      <c r="CF99" s="121"/>
      <c r="CG99" s="121"/>
      <c r="CH99" s="121"/>
      <c r="CI99" s="121"/>
      <c r="CJ99" s="225"/>
      <c r="CK99" s="226"/>
      <c r="CL99" s="161"/>
      <c r="CM99" s="159"/>
      <c r="CN99" s="159"/>
      <c r="CO99" s="227"/>
      <c r="CP99" s="170"/>
      <c r="CQ99" s="159"/>
      <c r="CR99" s="162"/>
      <c r="CS99" s="161"/>
      <c r="CT99" s="159"/>
      <c r="CU99" s="159"/>
      <c r="CV99" s="159"/>
      <c r="CW99" s="159"/>
      <c r="CX99" s="159"/>
      <c r="CY99" s="162"/>
      <c r="CZ99" s="159"/>
      <c r="DA99" s="159"/>
      <c r="DB99" s="159"/>
      <c r="DC99" s="159"/>
      <c r="DD99" s="159"/>
      <c r="DE99" s="162"/>
      <c r="DF99" s="174"/>
      <c r="DG99" s="159"/>
      <c r="DH99" s="159"/>
      <c r="DI99" s="159"/>
      <c r="DJ99" s="159"/>
      <c r="DK99" s="159"/>
      <c r="DL99" s="162"/>
      <c r="DM99" s="170"/>
      <c r="DN99" s="159"/>
      <c r="DO99" s="159"/>
      <c r="DP99" s="159"/>
      <c r="DQ99" s="159"/>
      <c r="DR99" s="159"/>
      <c r="DS99" s="175"/>
    </row>
    <row r="100" spans="1:123" ht="14">
      <c r="A100" s="207" t="s">
        <v>236</v>
      </c>
      <c r="B100" s="51" t="s">
        <v>139</v>
      </c>
      <c r="C100" s="263" t="s">
        <v>181</v>
      </c>
      <c r="D100" s="264"/>
      <c r="E100" s="265"/>
      <c r="F100" s="265"/>
      <c r="G100" s="265"/>
      <c r="H100" s="265"/>
      <c r="I100" s="265"/>
      <c r="J100" s="265"/>
      <c r="K100" s="265"/>
      <c r="L100" s="266"/>
      <c r="M100" s="267"/>
      <c r="N100" s="265"/>
      <c r="O100" s="265"/>
      <c r="P100" s="265"/>
      <c r="Q100" s="265"/>
      <c r="R100" s="265"/>
      <c r="S100" s="268"/>
      <c r="T100" s="267"/>
      <c r="U100" s="265"/>
      <c r="V100" s="265"/>
      <c r="W100" s="265"/>
      <c r="X100" s="265"/>
      <c r="Y100" s="111"/>
      <c r="Z100" s="112"/>
      <c r="AA100" s="113"/>
      <c r="AB100" s="111"/>
      <c r="AC100" s="111"/>
      <c r="AD100" s="111"/>
      <c r="AE100" s="111"/>
      <c r="AF100" s="111"/>
      <c r="AG100" s="112"/>
      <c r="AH100" s="114"/>
      <c r="AI100" s="115"/>
      <c r="AJ100" s="111"/>
      <c r="AK100" s="111"/>
      <c r="AL100" s="111"/>
      <c r="AM100" s="111"/>
      <c r="AN100" s="116"/>
      <c r="AO100" s="267"/>
      <c r="AP100" s="265"/>
      <c r="AQ100" s="265"/>
      <c r="AR100" s="265"/>
      <c r="AS100" s="265"/>
      <c r="AT100" s="265"/>
      <c r="AU100" s="268"/>
      <c r="AV100" s="267"/>
      <c r="AW100" s="265"/>
      <c r="AX100" s="265"/>
      <c r="AY100" s="265"/>
      <c r="AZ100" s="265"/>
      <c r="BA100" s="265"/>
      <c r="BB100" s="268"/>
      <c r="BC100" s="267"/>
      <c r="BD100" s="265"/>
      <c r="BE100" s="265"/>
      <c r="BF100" s="265"/>
      <c r="BG100" s="265"/>
      <c r="BH100" s="265"/>
      <c r="BI100" s="269"/>
      <c r="BJ100" s="161"/>
      <c r="BK100" s="159"/>
      <c r="BL100" s="159"/>
      <c r="BM100" s="160"/>
      <c r="BN100" s="169"/>
      <c r="BO100" s="159"/>
      <c r="BP100" s="162"/>
      <c r="BQ100" s="161"/>
      <c r="BR100" s="428"/>
      <c r="BS100" s="159"/>
      <c r="BT100" s="159"/>
      <c r="BU100" s="159"/>
      <c r="BV100" s="159"/>
      <c r="BW100" s="162"/>
      <c r="BX100" s="170"/>
      <c r="BY100" s="159"/>
      <c r="BZ100" s="159"/>
      <c r="CA100" s="159"/>
      <c r="CB100" s="159"/>
      <c r="CC100" s="225"/>
      <c r="CD100" s="226"/>
      <c r="CE100" s="224"/>
      <c r="CF100" s="225"/>
      <c r="CG100" s="225"/>
      <c r="CH100" s="225"/>
      <c r="CI100" s="121"/>
      <c r="CJ100" s="225"/>
      <c r="CK100" s="226"/>
      <c r="CL100" s="161"/>
      <c r="CM100" s="159"/>
      <c r="CN100" s="159"/>
      <c r="CO100" s="227"/>
      <c r="CP100" s="170"/>
      <c r="CQ100" s="159"/>
      <c r="CR100" s="162"/>
      <c r="CS100" s="161"/>
      <c r="CT100" s="159"/>
      <c r="CU100" s="159"/>
      <c r="CV100" s="159"/>
      <c r="CW100" s="159"/>
      <c r="CX100" s="159"/>
      <c r="CY100" s="162"/>
      <c r="CZ100" s="159"/>
      <c r="DA100" s="159"/>
      <c r="DB100" s="159"/>
      <c r="DC100" s="159"/>
      <c r="DD100" s="159"/>
      <c r="DE100" s="162"/>
      <c r="DF100" s="174"/>
      <c r="DG100" s="159"/>
      <c r="DH100" s="159"/>
      <c r="DI100" s="159"/>
      <c r="DJ100" s="159"/>
      <c r="DK100" s="159"/>
      <c r="DL100" s="162"/>
      <c r="DM100" s="170"/>
      <c r="DN100" s="159"/>
      <c r="DO100" s="159"/>
      <c r="DP100" s="159"/>
      <c r="DQ100" s="159"/>
      <c r="DR100" s="159"/>
      <c r="DS100" s="175"/>
    </row>
    <row r="101" spans="1:123" ht="14.5" outlineLevel="1" thickBot="1">
      <c r="A101" s="154" t="s">
        <v>246</v>
      </c>
      <c r="B101" s="308" t="s">
        <v>139</v>
      </c>
      <c r="C101" s="270" t="s">
        <v>181</v>
      </c>
      <c r="D101" s="271"/>
      <c r="E101" s="272"/>
      <c r="F101" s="272"/>
      <c r="G101" s="272"/>
      <c r="H101" s="272"/>
      <c r="I101" s="272"/>
      <c r="J101" s="272"/>
      <c r="K101" s="272"/>
      <c r="L101" s="273"/>
      <c r="M101" s="274"/>
      <c r="N101" s="272"/>
      <c r="O101" s="272"/>
      <c r="P101" s="272"/>
      <c r="Q101" s="272"/>
      <c r="R101" s="272"/>
      <c r="S101" s="275"/>
      <c r="T101" s="274"/>
      <c r="U101" s="272"/>
      <c r="V101" s="272"/>
      <c r="W101" s="272"/>
      <c r="X101" s="272"/>
      <c r="Y101" s="242"/>
      <c r="Z101" s="243"/>
      <c r="AA101" s="244"/>
      <c r="AB101" s="242"/>
      <c r="AC101" s="242"/>
      <c r="AD101" s="242"/>
      <c r="AE101" s="242"/>
      <c r="AF101" s="242"/>
      <c r="AG101" s="243"/>
      <c r="AH101" s="245"/>
      <c r="AI101" s="246"/>
      <c r="AJ101" s="242"/>
      <c r="AK101" s="242"/>
      <c r="AL101" s="111"/>
      <c r="AM101" s="111"/>
      <c r="AN101" s="116"/>
      <c r="AO101" s="274"/>
      <c r="AP101" s="272"/>
      <c r="AQ101" s="272"/>
      <c r="AR101" s="272"/>
      <c r="AS101" s="272"/>
      <c r="AT101" s="272"/>
      <c r="AU101" s="275"/>
      <c r="AV101" s="274"/>
      <c r="AW101" s="272"/>
      <c r="AX101" s="272"/>
      <c r="AY101" s="272"/>
      <c r="AZ101" s="272"/>
      <c r="BA101" s="272"/>
      <c r="BB101" s="275"/>
      <c r="BC101" s="274"/>
      <c r="BD101" s="272"/>
      <c r="BE101" s="272"/>
      <c r="BF101" s="272"/>
      <c r="BG101" s="272"/>
      <c r="BH101" s="272"/>
      <c r="BI101" s="275"/>
      <c r="BJ101" s="274"/>
      <c r="BK101" s="272"/>
      <c r="BL101" s="439"/>
      <c r="BM101" s="440"/>
      <c r="BN101" s="441"/>
      <c r="BO101" s="439"/>
      <c r="BP101" s="442"/>
      <c r="BQ101" s="443"/>
      <c r="BR101" s="444"/>
      <c r="BS101" s="439"/>
      <c r="BT101" s="439"/>
      <c r="BU101" s="439"/>
      <c r="BV101" s="439"/>
      <c r="BW101" s="442"/>
      <c r="BX101" s="443"/>
      <c r="BY101" s="439"/>
      <c r="BZ101" s="439"/>
      <c r="CA101" s="439"/>
      <c r="CB101" s="439"/>
      <c r="CC101" s="445"/>
      <c r="CD101" s="446"/>
      <c r="CE101" s="447"/>
      <c r="CF101" s="445"/>
      <c r="CG101" s="445"/>
      <c r="CH101" s="445"/>
      <c r="CI101" s="445"/>
      <c r="CJ101" s="445"/>
      <c r="CK101" s="446"/>
      <c r="CL101" s="448"/>
      <c r="CM101" s="449"/>
      <c r="CN101" s="449"/>
      <c r="CO101" s="450"/>
      <c r="CP101" s="451"/>
      <c r="CQ101" s="439"/>
      <c r="CR101" s="442"/>
      <c r="CS101" s="443"/>
      <c r="CT101" s="439"/>
      <c r="CU101" s="439"/>
      <c r="CV101" s="439"/>
      <c r="CW101" s="439"/>
      <c r="CX101" s="439"/>
      <c r="CY101" s="442"/>
      <c r="CZ101" s="439"/>
      <c r="DA101" s="439"/>
      <c r="DB101" s="439"/>
      <c r="DC101" s="439"/>
      <c r="DD101" s="439"/>
      <c r="DE101" s="442"/>
      <c r="DF101" s="452"/>
      <c r="DG101" s="439"/>
      <c r="DH101" s="439"/>
      <c r="DI101" s="439"/>
      <c r="DJ101" s="439"/>
      <c r="DK101" s="439"/>
      <c r="DL101" s="442"/>
      <c r="DM101" s="170"/>
      <c r="DN101" s="159"/>
      <c r="DO101" s="159"/>
      <c r="DP101" s="159"/>
      <c r="DQ101" s="159"/>
      <c r="DR101" s="159"/>
      <c r="DS101" s="175"/>
    </row>
    <row r="102" spans="1:123" ht="14" outlineLevel="1">
      <c r="A102" s="297" t="s">
        <v>260</v>
      </c>
      <c r="B102" s="309"/>
      <c r="C102" s="301"/>
      <c r="D102" s="125"/>
      <c r="E102" s="107"/>
      <c r="F102" s="107"/>
      <c r="G102" s="107"/>
      <c r="H102" s="107"/>
      <c r="I102" s="107"/>
      <c r="J102" s="107"/>
      <c r="K102" s="107"/>
      <c r="L102" s="108"/>
      <c r="M102" s="109"/>
      <c r="N102" s="107"/>
      <c r="O102" s="107"/>
      <c r="P102" s="107"/>
      <c r="Q102" s="107"/>
      <c r="R102" s="107"/>
      <c r="S102" s="110"/>
      <c r="T102" s="109"/>
      <c r="U102" s="107"/>
      <c r="V102" s="107"/>
      <c r="W102" s="107"/>
      <c r="X102" s="107"/>
      <c r="Y102" s="163"/>
      <c r="Z102" s="164"/>
      <c r="AA102" s="165"/>
      <c r="AB102" s="163"/>
      <c r="AC102" s="163"/>
      <c r="AD102" s="163"/>
      <c r="AE102" s="163"/>
      <c r="AF102" s="163"/>
      <c r="AG102" s="164"/>
      <c r="AH102" s="166"/>
      <c r="AI102" s="167"/>
      <c r="AJ102" s="163"/>
      <c r="AK102" s="163"/>
      <c r="AL102" s="111"/>
      <c r="AM102" s="111"/>
      <c r="AN102" s="116"/>
      <c r="AO102" s="109"/>
      <c r="AP102" s="107"/>
      <c r="AQ102" s="107"/>
      <c r="AR102" s="107"/>
      <c r="AS102" s="107"/>
      <c r="AT102" s="107"/>
      <c r="AU102" s="110"/>
      <c r="AV102" s="109"/>
      <c r="AW102" s="107"/>
      <c r="AX102" s="107"/>
      <c r="AY102" s="107"/>
      <c r="AZ102" s="107"/>
      <c r="BA102" s="107"/>
      <c r="BB102" s="110"/>
      <c r="BC102" s="109"/>
      <c r="BD102" s="107"/>
      <c r="BE102" s="107"/>
      <c r="BF102" s="107"/>
      <c r="BG102" s="107"/>
      <c r="BH102" s="107"/>
      <c r="BI102" s="110"/>
      <c r="BJ102" s="109"/>
      <c r="BK102" s="107"/>
      <c r="BL102" s="107"/>
      <c r="BM102" s="108"/>
      <c r="BN102" s="123"/>
      <c r="BO102" s="107"/>
      <c r="BP102" s="110"/>
      <c r="BQ102" s="109"/>
      <c r="BR102" s="427"/>
      <c r="BS102" s="107"/>
      <c r="BT102" s="107"/>
      <c r="BU102" s="107"/>
      <c r="BV102" s="107"/>
      <c r="BW102" s="110"/>
      <c r="BX102" s="125"/>
      <c r="BY102" s="107"/>
      <c r="BZ102" s="107"/>
      <c r="CA102" s="107"/>
      <c r="CB102" s="159"/>
      <c r="CC102" s="225"/>
      <c r="CD102" s="226"/>
      <c r="CE102" s="224"/>
      <c r="CF102" s="225"/>
      <c r="CG102" s="225"/>
      <c r="CH102" s="225"/>
      <c r="CI102" s="225"/>
      <c r="CJ102" s="225"/>
      <c r="CK102" s="226"/>
      <c r="CL102" s="161"/>
      <c r="CM102" s="159"/>
      <c r="CN102" s="159"/>
      <c r="CO102" s="227"/>
      <c r="CP102" s="170"/>
      <c r="CQ102" s="159"/>
      <c r="CR102" s="162"/>
      <c r="CS102" s="161"/>
      <c r="CT102" s="159"/>
      <c r="CU102" s="159"/>
      <c r="CV102" s="159"/>
      <c r="CW102" s="159"/>
      <c r="CX102" s="159"/>
      <c r="CY102" s="162"/>
      <c r="CZ102" s="159"/>
      <c r="DA102" s="159"/>
      <c r="DB102" s="159"/>
      <c r="DC102" s="159"/>
      <c r="DD102" s="159"/>
      <c r="DE102" s="162"/>
      <c r="DF102" s="174"/>
      <c r="DG102" s="159"/>
      <c r="DH102" s="159"/>
      <c r="DI102" s="159"/>
      <c r="DJ102" s="159"/>
      <c r="DK102" s="159"/>
      <c r="DL102" s="162"/>
      <c r="DM102" s="170"/>
      <c r="DN102" s="159"/>
      <c r="DO102" s="159"/>
      <c r="DP102" s="159"/>
      <c r="DQ102" s="159"/>
      <c r="DR102" s="159"/>
      <c r="DS102" s="175"/>
    </row>
    <row r="103" spans="1:123" ht="14" outlineLevel="1">
      <c r="A103" s="315" t="s">
        <v>263</v>
      </c>
      <c r="B103" s="310" t="s">
        <v>106</v>
      </c>
      <c r="C103" s="302" t="s">
        <v>178</v>
      </c>
      <c r="D103" s="125"/>
      <c r="E103" s="107"/>
      <c r="F103" s="107"/>
      <c r="G103" s="107"/>
      <c r="H103" s="107"/>
      <c r="I103" s="107"/>
      <c r="J103" s="107"/>
      <c r="K103" s="107"/>
      <c r="L103" s="108"/>
      <c r="M103" s="109"/>
      <c r="N103" s="107"/>
      <c r="O103" s="107"/>
      <c r="P103" s="107"/>
      <c r="Q103" s="107"/>
      <c r="R103" s="107"/>
      <c r="S103" s="110"/>
      <c r="T103" s="109"/>
      <c r="U103" s="107"/>
      <c r="V103" s="107"/>
      <c r="W103" s="107"/>
      <c r="X103" s="107"/>
      <c r="Y103" s="163"/>
      <c r="Z103" s="164"/>
      <c r="AA103" s="165"/>
      <c r="AB103" s="163"/>
      <c r="AC103" s="163"/>
      <c r="AD103" s="163"/>
      <c r="AE103" s="163"/>
      <c r="AF103" s="163"/>
      <c r="AG103" s="164"/>
      <c r="AH103" s="166"/>
      <c r="AI103" s="167"/>
      <c r="AJ103" s="163"/>
      <c r="AK103" s="163"/>
      <c r="AL103" s="111"/>
      <c r="AM103" s="111"/>
      <c r="AN103" s="116"/>
      <c r="AO103" s="120"/>
      <c r="AP103" s="121"/>
      <c r="AQ103" s="121"/>
      <c r="AR103" s="121"/>
      <c r="AS103" s="121"/>
      <c r="AT103" s="121"/>
      <c r="AU103" s="142"/>
      <c r="AV103" s="267"/>
      <c r="AW103" s="265"/>
      <c r="AX103" s="265"/>
      <c r="AY103" s="265"/>
      <c r="AZ103" s="265"/>
      <c r="BA103" s="265"/>
      <c r="BB103" s="268"/>
      <c r="BC103" s="109"/>
      <c r="BD103" s="107"/>
      <c r="BE103" s="107"/>
      <c r="BF103" s="107"/>
      <c r="BG103" s="107"/>
      <c r="BH103" s="107"/>
      <c r="BI103" s="110"/>
      <c r="BJ103" s="109"/>
      <c r="BK103" s="107"/>
      <c r="BL103" s="107"/>
      <c r="BM103" s="108"/>
      <c r="BN103" s="123"/>
      <c r="BO103" s="107"/>
      <c r="BP103" s="110"/>
      <c r="BQ103" s="109"/>
      <c r="BR103" s="427"/>
      <c r="BS103" s="107"/>
      <c r="BT103" s="107"/>
      <c r="BU103" s="107"/>
      <c r="BV103" s="107"/>
      <c r="BW103" s="110"/>
      <c r="BX103" s="125"/>
      <c r="BY103" s="107"/>
      <c r="BZ103" s="107"/>
      <c r="CA103" s="107"/>
      <c r="CB103" s="159"/>
      <c r="CC103" s="225"/>
      <c r="CD103" s="226"/>
      <c r="CE103" s="224"/>
      <c r="CF103" s="225"/>
      <c r="CG103" s="225"/>
      <c r="CH103" s="225"/>
      <c r="CI103" s="225"/>
      <c r="CJ103" s="225"/>
      <c r="CK103" s="226"/>
      <c r="CL103" s="161"/>
      <c r="CM103" s="159"/>
      <c r="CN103" s="159"/>
      <c r="CO103" s="227"/>
      <c r="CP103" s="170"/>
      <c r="CQ103" s="159"/>
      <c r="CR103" s="162"/>
      <c r="CS103" s="161"/>
      <c r="CT103" s="159"/>
      <c r="CU103" s="159"/>
      <c r="CV103" s="159"/>
      <c r="CW103" s="159"/>
      <c r="CX103" s="159"/>
      <c r="CY103" s="162"/>
      <c r="CZ103" s="159"/>
      <c r="DA103" s="159"/>
      <c r="DB103" s="159"/>
      <c r="DC103" s="159"/>
      <c r="DD103" s="159"/>
      <c r="DE103" s="162"/>
      <c r="DF103" s="174"/>
      <c r="DG103" s="159"/>
      <c r="DH103" s="159"/>
      <c r="DI103" s="159"/>
      <c r="DJ103" s="159"/>
      <c r="DK103" s="159"/>
      <c r="DL103" s="162"/>
      <c r="DM103" s="170"/>
      <c r="DN103" s="159"/>
      <c r="DO103" s="159"/>
      <c r="DP103" s="159"/>
      <c r="DQ103" s="159"/>
      <c r="DR103" s="159"/>
      <c r="DS103" s="175"/>
    </row>
    <row r="104" spans="1:123" ht="14" outlineLevel="1">
      <c r="A104" s="316" t="s">
        <v>262</v>
      </c>
      <c r="B104" s="310" t="s">
        <v>106</v>
      </c>
      <c r="C104" s="303" t="s">
        <v>190</v>
      </c>
      <c r="D104" s="125"/>
      <c r="E104" s="107"/>
      <c r="F104" s="107"/>
      <c r="G104" s="107"/>
      <c r="H104" s="107"/>
      <c r="I104" s="107"/>
      <c r="J104" s="107"/>
      <c r="K104" s="107"/>
      <c r="L104" s="108"/>
      <c r="M104" s="109"/>
      <c r="N104" s="107"/>
      <c r="O104" s="107"/>
      <c r="P104" s="107"/>
      <c r="Q104" s="107"/>
      <c r="R104" s="107"/>
      <c r="S104" s="110"/>
      <c r="T104" s="109"/>
      <c r="U104" s="107"/>
      <c r="V104" s="107"/>
      <c r="W104" s="107"/>
      <c r="X104" s="107"/>
      <c r="Y104" s="163"/>
      <c r="Z104" s="164"/>
      <c r="AA104" s="165"/>
      <c r="AB104" s="163"/>
      <c r="AC104" s="163"/>
      <c r="AD104" s="163"/>
      <c r="AE104" s="163"/>
      <c r="AF104" s="163"/>
      <c r="AG104" s="164"/>
      <c r="AH104" s="166"/>
      <c r="AI104" s="167"/>
      <c r="AJ104" s="163"/>
      <c r="AK104" s="163"/>
      <c r="AL104" s="111"/>
      <c r="AM104" s="111"/>
      <c r="AN104" s="116"/>
      <c r="AO104" s="109"/>
      <c r="AP104" s="107"/>
      <c r="AQ104" s="107"/>
      <c r="AR104" s="107"/>
      <c r="AS104" s="107"/>
      <c r="AT104" s="107"/>
      <c r="AU104" s="110"/>
      <c r="AV104" s="267"/>
      <c r="AW104" s="265"/>
      <c r="AX104" s="265"/>
      <c r="AY104" s="265"/>
      <c r="AZ104" s="265"/>
      <c r="BA104" s="265"/>
      <c r="BB104" s="268"/>
      <c r="BC104" s="120"/>
      <c r="BD104" s="121"/>
      <c r="BE104" s="121"/>
      <c r="BF104" s="121"/>
      <c r="BG104" s="121"/>
      <c r="BH104" s="121"/>
      <c r="BI104" s="142"/>
      <c r="BJ104" s="326"/>
      <c r="BK104" s="107"/>
      <c r="BL104" s="107"/>
      <c r="BM104" s="108"/>
      <c r="BN104" s="123"/>
      <c r="BO104" s="107"/>
      <c r="BP104" s="110"/>
      <c r="BQ104" s="109"/>
      <c r="BR104" s="427"/>
      <c r="BS104" s="107"/>
      <c r="BT104" s="107"/>
      <c r="BU104" s="107"/>
      <c r="BV104" s="107"/>
      <c r="BW104" s="110"/>
      <c r="BX104" s="125"/>
      <c r="BY104" s="107"/>
      <c r="BZ104" s="107"/>
      <c r="CA104" s="107"/>
      <c r="CB104" s="159"/>
      <c r="CC104" s="225"/>
      <c r="CD104" s="226"/>
      <c r="CE104" s="224"/>
      <c r="CF104" s="225"/>
      <c r="CG104" s="225"/>
      <c r="CH104" s="225"/>
      <c r="CI104" s="225"/>
      <c r="CJ104" s="225"/>
      <c r="CK104" s="226"/>
      <c r="CL104" s="59"/>
      <c r="CM104" s="57"/>
      <c r="CN104" s="57"/>
      <c r="CO104" s="73"/>
      <c r="CP104" s="170"/>
      <c r="CQ104" s="159"/>
      <c r="CR104" s="162"/>
      <c r="CS104" s="161"/>
      <c r="CT104" s="159"/>
      <c r="CU104" s="159"/>
      <c r="CV104" s="159"/>
      <c r="CW104" s="159"/>
      <c r="CX104" s="159"/>
      <c r="CY104" s="162"/>
      <c r="CZ104" s="159"/>
      <c r="DA104" s="159"/>
      <c r="DB104" s="159"/>
      <c r="DC104" s="159"/>
      <c r="DD104" s="159"/>
      <c r="DE104" s="162"/>
      <c r="DF104" s="174"/>
      <c r="DG104" s="159"/>
      <c r="DH104" s="159"/>
      <c r="DI104" s="159"/>
      <c r="DJ104" s="159"/>
      <c r="DK104" s="159"/>
      <c r="DL104" s="162"/>
      <c r="DM104" s="170"/>
      <c r="DN104" s="159"/>
      <c r="DO104" s="159"/>
      <c r="DP104" s="159"/>
      <c r="DQ104" s="159"/>
      <c r="DR104" s="159"/>
      <c r="DS104" s="175"/>
    </row>
    <row r="105" spans="1:123" ht="14" outlineLevel="1">
      <c r="A105" s="316" t="s">
        <v>264</v>
      </c>
      <c r="B105" s="310" t="s">
        <v>12</v>
      </c>
      <c r="C105" s="302" t="s">
        <v>178</v>
      </c>
      <c r="D105" s="125"/>
      <c r="E105" s="107"/>
      <c r="F105" s="107"/>
      <c r="G105" s="107"/>
      <c r="H105" s="107"/>
      <c r="I105" s="107"/>
      <c r="J105" s="107"/>
      <c r="K105" s="107"/>
      <c r="L105" s="108"/>
      <c r="M105" s="109"/>
      <c r="N105" s="107"/>
      <c r="O105" s="107"/>
      <c r="P105" s="107"/>
      <c r="Q105" s="107"/>
      <c r="R105" s="107"/>
      <c r="S105" s="110"/>
      <c r="T105" s="120"/>
      <c r="U105" s="121"/>
      <c r="V105" s="121"/>
      <c r="W105" s="121"/>
      <c r="X105" s="121"/>
      <c r="Y105" s="163"/>
      <c r="Z105" s="164"/>
      <c r="AA105" s="165"/>
      <c r="AB105" s="163"/>
      <c r="AC105" s="163"/>
      <c r="AD105" s="163"/>
      <c r="AE105" s="163"/>
      <c r="AF105" s="163"/>
      <c r="AG105" s="164"/>
      <c r="AH105" s="166"/>
      <c r="AI105" s="167"/>
      <c r="AJ105" s="163"/>
      <c r="AK105" s="163"/>
      <c r="AL105" s="111"/>
      <c r="AM105" s="111"/>
      <c r="AN105" s="116"/>
      <c r="AO105" s="109"/>
      <c r="AP105" s="107"/>
      <c r="AQ105" s="107"/>
      <c r="AR105" s="107"/>
      <c r="AS105" s="107"/>
      <c r="AT105" s="107"/>
      <c r="AU105" s="110"/>
      <c r="AV105" s="267"/>
      <c r="AW105" s="265"/>
      <c r="AX105" s="265"/>
      <c r="AY105" s="265"/>
      <c r="AZ105" s="265"/>
      <c r="BA105" s="265"/>
      <c r="BB105" s="268"/>
      <c r="BC105" s="109"/>
      <c r="BD105" s="107"/>
      <c r="BE105" s="107"/>
      <c r="BF105" s="107"/>
      <c r="BG105" s="107"/>
      <c r="BH105" s="107"/>
      <c r="BI105" s="110"/>
      <c r="BJ105" s="267"/>
      <c r="BK105" s="265"/>
      <c r="BL105" s="265"/>
      <c r="BM105" s="160"/>
      <c r="BN105" s="169"/>
      <c r="BO105" s="265"/>
      <c r="BP105" s="268"/>
      <c r="BQ105" s="109"/>
      <c r="BR105" s="427"/>
      <c r="BS105" s="107"/>
      <c r="BT105" s="107"/>
      <c r="BU105" s="107"/>
      <c r="BV105" s="107"/>
      <c r="BW105" s="110"/>
      <c r="BX105" s="125"/>
      <c r="BY105" s="107"/>
      <c r="BZ105" s="107"/>
      <c r="CA105" s="107"/>
      <c r="CB105" s="159"/>
      <c r="CC105" s="225"/>
      <c r="CD105" s="226"/>
      <c r="CE105" s="224"/>
      <c r="CF105" s="225"/>
      <c r="CG105" s="225"/>
      <c r="CH105" s="225"/>
      <c r="CI105" s="225"/>
      <c r="CJ105" s="225"/>
      <c r="CK105" s="226"/>
      <c r="CL105" s="161"/>
      <c r="CM105" s="159"/>
      <c r="CN105" s="159"/>
      <c r="CO105" s="227"/>
      <c r="CP105" s="170"/>
      <c r="CQ105" s="159"/>
      <c r="CR105" s="162"/>
      <c r="CS105" s="161"/>
      <c r="CT105" s="159"/>
      <c r="CU105" s="159"/>
      <c r="CV105" s="159"/>
      <c r="CW105" s="159"/>
      <c r="CX105" s="159"/>
      <c r="CY105" s="162"/>
      <c r="CZ105" s="159"/>
      <c r="DA105" s="159"/>
      <c r="DB105" s="159"/>
      <c r="DC105" s="159"/>
      <c r="DD105" s="159"/>
      <c r="DE105" s="162"/>
      <c r="DF105" s="174"/>
      <c r="DG105" s="159"/>
      <c r="DH105" s="159"/>
      <c r="DI105" s="159"/>
      <c r="DJ105" s="159"/>
      <c r="DK105" s="159"/>
      <c r="DL105" s="162"/>
      <c r="DM105" s="170"/>
      <c r="DN105" s="159"/>
      <c r="DO105" s="159"/>
      <c r="DP105" s="159"/>
      <c r="DQ105" s="159"/>
      <c r="DR105" s="159"/>
      <c r="DS105" s="175"/>
    </row>
    <row r="106" spans="1:123" ht="14" outlineLevel="1">
      <c r="A106" s="316" t="s">
        <v>265</v>
      </c>
      <c r="B106" s="310" t="s">
        <v>12</v>
      </c>
      <c r="C106" s="302" t="s">
        <v>178</v>
      </c>
      <c r="D106" s="125"/>
      <c r="E106" s="107"/>
      <c r="F106" s="107"/>
      <c r="G106" s="107"/>
      <c r="H106" s="107"/>
      <c r="I106" s="107"/>
      <c r="J106" s="107"/>
      <c r="K106" s="107"/>
      <c r="L106" s="108"/>
      <c r="M106" s="109"/>
      <c r="N106" s="107"/>
      <c r="O106" s="107"/>
      <c r="P106" s="107"/>
      <c r="Q106" s="107"/>
      <c r="R106" s="107"/>
      <c r="S106" s="110"/>
      <c r="T106" s="109"/>
      <c r="U106" s="107"/>
      <c r="V106" s="107"/>
      <c r="W106" s="107"/>
      <c r="X106" s="107"/>
      <c r="Y106" s="163"/>
      <c r="Z106" s="164"/>
      <c r="AA106" s="165"/>
      <c r="AB106" s="163"/>
      <c r="AC106" s="163"/>
      <c r="AD106" s="163"/>
      <c r="AE106" s="163"/>
      <c r="AF106" s="163"/>
      <c r="AG106" s="164"/>
      <c r="AH106" s="166"/>
      <c r="AI106" s="167"/>
      <c r="AJ106" s="163"/>
      <c r="AK106" s="163"/>
      <c r="AL106" s="111"/>
      <c r="AM106" s="111"/>
      <c r="AN106" s="116"/>
      <c r="AO106" s="120"/>
      <c r="AP106" s="121"/>
      <c r="AQ106" s="121"/>
      <c r="AR106" s="121"/>
      <c r="AS106" s="121"/>
      <c r="AT106" s="121"/>
      <c r="AU106" s="142"/>
      <c r="AV106" s="267"/>
      <c r="AW106" s="265"/>
      <c r="AX106" s="265"/>
      <c r="AY106" s="265"/>
      <c r="AZ106" s="265"/>
      <c r="BA106" s="265"/>
      <c r="BB106" s="268"/>
      <c r="BC106" s="109"/>
      <c r="BD106" s="107"/>
      <c r="BE106" s="107"/>
      <c r="BF106" s="107"/>
      <c r="BG106" s="107"/>
      <c r="BH106" s="107"/>
      <c r="BI106" s="110"/>
      <c r="BJ106" s="267"/>
      <c r="BK106" s="265"/>
      <c r="BL106" s="265"/>
      <c r="BM106" s="160"/>
      <c r="BN106" s="169"/>
      <c r="BO106" s="265"/>
      <c r="BP106" s="268"/>
      <c r="BQ106" s="109"/>
      <c r="BR106" s="427"/>
      <c r="BS106" s="107"/>
      <c r="BT106" s="107"/>
      <c r="BU106" s="107"/>
      <c r="BV106" s="107"/>
      <c r="BW106" s="110"/>
      <c r="BX106" s="125"/>
      <c r="BY106" s="107"/>
      <c r="BZ106" s="107"/>
      <c r="CA106" s="107"/>
      <c r="CB106" s="159"/>
      <c r="CC106" s="225"/>
      <c r="CD106" s="226"/>
      <c r="CE106" s="224"/>
      <c r="CF106" s="225"/>
      <c r="CG106" s="225"/>
      <c r="CH106" s="225"/>
      <c r="CI106" s="225"/>
      <c r="CJ106" s="225"/>
      <c r="CK106" s="226"/>
      <c r="CL106" s="161"/>
      <c r="CM106" s="159"/>
      <c r="CN106" s="159"/>
      <c r="CO106" s="227"/>
      <c r="CP106" s="170"/>
      <c r="CQ106" s="159"/>
      <c r="CR106" s="162"/>
      <c r="CS106" s="161"/>
      <c r="CT106" s="159"/>
      <c r="CU106" s="159"/>
      <c r="CV106" s="159"/>
      <c r="CW106" s="159"/>
      <c r="CX106" s="159"/>
      <c r="CY106" s="162"/>
      <c r="CZ106" s="159"/>
      <c r="DA106" s="159"/>
      <c r="DB106" s="159"/>
      <c r="DC106" s="159"/>
      <c r="DD106" s="159"/>
      <c r="DE106" s="162"/>
      <c r="DF106" s="174"/>
      <c r="DG106" s="159"/>
      <c r="DH106" s="159"/>
      <c r="DI106" s="159"/>
      <c r="DJ106" s="159"/>
      <c r="DK106" s="159"/>
      <c r="DL106" s="162"/>
      <c r="DM106" s="170"/>
      <c r="DN106" s="159"/>
      <c r="DO106" s="159"/>
      <c r="DP106" s="159"/>
      <c r="DQ106" s="159"/>
      <c r="DR106" s="159"/>
      <c r="DS106" s="175"/>
    </row>
    <row r="107" spans="1:123" ht="14" outlineLevel="1">
      <c r="A107" s="317" t="s">
        <v>270</v>
      </c>
      <c r="B107" s="310" t="s">
        <v>18</v>
      </c>
      <c r="C107" s="302" t="s">
        <v>178</v>
      </c>
      <c r="D107" s="125"/>
      <c r="E107" s="107"/>
      <c r="F107" s="107"/>
      <c r="G107" s="107"/>
      <c r="H107" s="107"/>
      <c r="I107" s="107"/>
      <c r="J107" s="107"/>
      <c r="K107" s="107"/>
      <c r="L107" s="108"/>
      <c r="M107" s="109"/>
      <c r="N107" s="107"/>
      <c r="O107" s="107"/>
      <c r="P107" s="107"/>
      <c r="Q107" s="107"/>
      <c r="R107" s="107"/>
      <c r="S107" s="110"/>
      <c r="T107" s="109"/>
      <c r="U107" s="107"/>
      <c r="V107" s="107"/>
      <c r="W107" s="107"/>
      <c r="X107" s="107"/>
      <c r="Y107" s="163"/>
      <c r="Z107" s="164"/>
      <c r="AA107" s="165"/>
      <c r="AB107" s="163"/>
      <c r="AC107" s="163"/>
      <c r="AD107" s="163"/>
      <c r="AE107" s="163"/>
      <c r="AF107" s="163"/>
      <c r="AG107" s="164"/>
      <c r="AH107" s="166"/>
      <c r="AI107" s="167"/>
      <c r="AJ107" s="163"/>
      <c r="AK107" s="163"/>
      <c r="AL107" s="111"/>
      <c r="AM107" s="111"/>
      <c r="AN107" s="116"/>
      <c r="AO107" s="267"/>
      <c r="AP107" s="265"/>
      <c r="AQ107" s="265"/>
      <c r="AR107" s="265"/>
      <c r="AS107" s="265"/>
      <c r="AT107" s="265"/>
      <c r="AU107" s="268"/>
      <c r="AV107" s="267"/>
      <c r="AW107" s="265"/>
      <c r="AX107" s="265"/>
      <c r="AY107" s="265"/>
      <c r="AZ107" s="265"/>
      <c r="BA107" s="265"/>
      <c r="BB107" s="268"/>
      <c r="BC107" s="109"/>
      <c r="BD107" s="107"/>
      <c r="BE107" s="107"/>
      <c r="BF107" s="107"/>
      <c r="BG107" s="107"/>
      <c r="BH107" s="107"/>
      <c r="BI107" s="110"/>
      <c r="BJ107" s="267"/>
      <c r="BK107" s="265"/>
      <c r="BL107" s="265"/>
      <c r="BM107" s="160"/>
      <c r="BN107" s="169"/>
      <c r="BO107" s="265"/>
      <c r="BP107" s="268"/>
      <c r="BQ107" s="109"/>
      <c r="BR107" s="427"/>
      <c r="BS107" s="107"/>
      <c r="BT107" s="107"/>
      <c r="BU107" s="107"/>
      <c r="BV107" s="107"/>
      <c r="BW107" s="110"/>
      <c r="BX107" s="125"/>
      <c r="BY107" s="107"/>
      <c r="BZ107" s="107"/>
      <c r="CA107" s="107"/>
      <c r="CB107" s="159"/>
      <c r="CC107" s="225"/>
      <c r="CD107" s="226"/>
      <c r="CE107" s="224"/>
      <c r="CF107" s="225"/>
      <c r="CG107" s="225"/>
      <c r="CH107" s="225"/>
      <c r="CI107" s="225"/>
      <c r="CJ107" s="225"/>
      <c r="CK107" s="226"/>
      <c r="CL107" s="161"/>
      <c r="CM107" s="159"/>
      <c r="CN107" s="159"/>
      <c r="CO107" s="227"/>
      <c r="CP107" s="170"/>
      <c r="CQ107" s="159"/>
      <c r="CR107" s="162"/>
      <c r="CS107" s="161"/>
      <c r="CT107" s="159"/>
      <c r="CU107" s="159"/>
      <c r="CV107" s="159"/>
      <c r="CW107" s="159"/>
      <c r="CX107" s="159"/>
      <c r="CY107" s="162"/>
      <c r="CZ107" s="159"/>
      <c r="DA107" s="159"/>
      <c r="DB107" s="159"/>
      <c r="DC107" s="159"/>
      <c r="DD107" s="159"/>
      <c r="DE107" s="162"/>
      <c r="DF107" s="174"/>
      <c r="DG107" s="159"/>
      <c r="DH107" s="159"/>
      <c r="DI107" s="159"/>
      <c r="DJ107" s="159"/>
      <c r="DK107" s="159"/>
      <c r="DL107" s="162"/>
      <c r="DM107" s="170"/>
      <c r="DN107" s="159"/>
      <c r="DO107" s="159"/>
      <c r="DP107" s="159"/>
      <c r="DQ107" s="159"/>
      <c r="DR107" s="159"/>
      <c r="DS107" s="175"/>
    </row>
    <row r="108" spans="1:123" ht="14" outlineLevel="1">
      <c r="A108" s="317" t="s">
        <v>319</v>
      </c>
      <c r="B108" s="310" t="s">
        <v>9</v>
      </c>
      <c r="C108" s="453" t="s">
        <v>178</v>
      </c>
      <c r="D108" s="125"/>
      <c r="E108" s="107"/>
      <c r="F108" s="107"/>
      <c r="G108" s="107"/>
      <c r="H108" s="107"/>
      <c r="I108" s="107"/>
      <c r="J108" s="107"/>
      <c r="K108" s="107"/>
      <c r="L108" s="108"/>
      <c r="M108" s="109"/>
      <c r="N108" s="107"/>
      <c r="O108" s="107"/>
      <c r="P108" s="107"/>
      <c r="Q108" s="107"/>
      <c r="R108" s="107"/>
      <c r="S108" s="110"/>
      <c r="T108" s="109"/>
      <c r="U108" s="107"/>
      <c r="V108" s="107"/>
      <c r="W108" s="107"/>
      <c r="X108" s="107"/>
      <c r="Y108" s="163"/>
      <c r="Z108" s="164"/>
      <c r="AA108" s="165"/>
      <c r="AB108" s="163"/>
      <c r="AC108" s="163"/>
      <c r="AD108" s="163"/>
      <c r="AE108" s="163"/>
      <c r="AF108" s="163"/>
      <c r="AG108" s="164"/>
      <c r="AH108" s="166"/>
      <c r="AI108" s="167"/>
      <c r="AJ108" s="163"/>
      <c r="AK108" s="163"/>
      <c r="AL108" s="111"/>
      <c r="AM108" s="111"/>
      <c r="AN108" s="116"/>
      <c r="AO108" s="267"/>
      <c r="AP108" s="265"/>
      <c r="AQ108" s="265"/>
      <c r="AR108" s="265"/>
      <c r="AS108" s="265"/>
      <c r="AT108" s="265"/>
      <c r="AU108" s="268"/>
      <c r="AV108" s="267"/>
      <c r="AW108" s="265"/>
      <c r="AX108" s="265"/>
      <c r="AY108" s="265"/>
      <c r="AZ108" s="265"/>
      <c r="BA108" s="265"/>
      <c r="BB108" s="268"/>
      <c r="BC108" s="109"/>
      <c r="BD108" s="107"/>
      <c r="BE108" s="107"/>
      <c r="BF108" s="107"/>
      <c r="BG108" s="107"/>
      <c r="BH108" s="107"/>
      <c r="BI108" s="110"/>
      <c r="BJ108" s="267"/>
      <c r="BK108" s="265"/>
      <c r="BL108" s="265"/>
      <c r="BM108" s="160"/>
      <c r="BN108" s="169"/>
      <c r="BO108" s="265"/>
      <c r="BP108" s="268"/>
      <c r="BQ108" s="109"/>
      <c r="BR108" s="427"/>
      <c r="BS108" s="107"/>
      <c r="BT108" s="107"/>
      <c r="BU108" s="107"/>
      <c r="BV108" s="107"/>
      <c r="BW108" s="110"/>
      <c r="BX108" s="125"/>
      <c r="BY108" s="107"/>
      <c r="BZ108" s="107"/>
      <c r="CA108" s="107"/>
      <c r="CB108" s="159"/>
      <c r="CC108" s="225"/>
      <c r="CD108" s="226"/>
      <c r="CE108" s="224"/>
      <c r="CF108" s="225"/>
      <c r="CG108" s="225"/>
      <c r="CH108" s="225"/>
      <c r="CI108" s="225"/>
      <c r="CJ108" s="225"/>
      <c r="CK108" s="226"/>
      <c r="CL108" s="161"/>
      <c r="CM108" s="159"/>
      <c r="CN108" s="159"/>
      <c r="CO108" s="227"/>
      <c r="CP108" s="170"/>
      <c r="CQ108" s="159"/>
      <c r="CR108" s="162"/>
      <c r="CS108" s="161"/>
      <c r="CT108" s="159"/>
      <c r="CU108" s="159"/>
      <c r="CV108" s="159"/>
      <c r="CW108" s="159"/>
      <c r="CX108" s="159"/>
      <c r="CY108" s="162"/>
      <c r="CZ108" s="159"/>
      <c r="DA108" s="159"/>
      <c r="DB108" s="159"/>
      <c r="DC108" s="159"/>
      <c r="DD108" s="159"/>
      <c r="DE108" s="162"/>
      <c r="DF108" s="174"/>
      <c r="DG108" s="159"/>
      <c r="DH108" s="159"/>
      <c r="DI108" s="159"/>
      <c r="DJ108" s="159"/>
      <c r="DK108" s="159"/>
      <c r="DL108" s="162"/>
      <c r="DM108" s="170"/>
      <c r="DN108" s="159"/>
      <c r="DO108" s="159"/>
      <c r="DP108" s="159"/>
      <c r="DQ108" s="159"/>
      <c r="DR108" s="159"/>
      <c r="DS108" s="175"/>
    </row>
    <row r="109" spans="1:123" ht="14" outlineLevel="1">
      <c r="A109" s="317" t="s">
        <v>269</v>
      </c>
      <c r="B109" s="310" t="s">
        <v>9</v>
      </c>
      <c r="C109" s="303" t="s">
        <v>190</v>
      </c>
      <c r="D109" s="125"/>
      <c r="E109" s="107"/>
      <c r="F109" s="107"/>
      <c r="G109" s="107"/>
      <c r="H109" s="107"/>
      <c r="I109" s="107"/>
      <c r="J109" s="107"/>
      <c r="K109" s="107"/>
      <c r="L109" s="108"/>
      <c r="M109" s="109"/>
      <c r="N109" s="107"/>
      <c r="O109" s="107"/>
      <c r="P109" s="107"/>
      <c r="Q109" s="107"/>
      <c r="R109" s="107"/>
      <c r="S109" s="110"/>
      <c r="T109" s="109"/>
      <c r="U109" s="107"/>
      <c r="V109" s="107"/>
      <c r="W109" s="107"/>
      <c r="X109" s="107"/>
      <c r="Y109" s="163"/>
      <c r="Z109" s="164"/>
      <c r="AA109" s="165"/>
      <c r="AB109" s="163"/>
      <c r="AC109" s="163"/>
      <c r="AD109" s="163"/>
      <c r="AE109" s="163"/>
      <c r="AF109" s="163"/>
      <c r="AG109" s="164"/>
      <c r="AH109" s="166"/>
      <c r="AI109" s="167"/>
      <c r="AJ109" s="163"/>
      <c r="AK109" s="163"/>
      <c r="AL109" s="111"/>
      <c r="AM109" s="111"/>
      <c r="AN109" s="116"/>
      <c r="AO109" s="267"/>
      <c r="AP109" s="265"/>
      <c r="AQ109" s="265"/>
      <c r="AR109" s="265"/>
      <c r="AS109" s="265"/>
      <c r="AT109" s="265"/>
      <c r="AU109" s="268"/>
      <c r="AV109" s="267"/>
      <c r="AW109" s="265"/>
      <c r="AX109" s="265"/>
      <c r="AY109" s="265"/>
      <c r="AZ109" s="265"/>
      <c r="BA109" s="265"/>
      <c r="BB109" s="268"/>
      <c r="BC109" s="267"/>
      <c r="BD109" s="265"/>
      <c r="BE109" s="265"/>
      <c r="BF109" s="265"/>
      <c r="BG109" s="265"/>
      <c r="BH109" s="265"/>
      <c r="BI109" s="268"/>
      <c r="BJ109" s="267"/>
      <c r="BK109" s="265"/>
      <c r="BL109" s="265"/>
      <c r="BM109" s="160"/>
      <c r="BN109" s="169"/>
      <c r="BO109" s="265"/>
      <c r="BP109" s="268"/>
      <c r="BQ109" s="109"/>
      <c r="BR109" s="427"/>
      <c r="BS109" s="107"/>
      <c r="BT109" s="107"/>
      <c r="BU109" s="107"/>
      <c r="BV109" s="107"/>
      <c r="BW109" s="110"/>
      <c r="BX109" s="125"/>
      <c r="BY109" s="107"/>
      <c r="BZ109" s="107"/>
      <c r="CA109" s="107"/>
      <c r="CB109" s="159"/>
      <c r="CC109" s="225"/>
      <c r="CD109" s="226"/>
      <c r="CE109" s="224"/>
      <c r="CF109" s="225"/>
      <c r="CG109" s="225"/>
      <c r="CH109" s="225"/>
      <c r="CI109" s="225"/>
      <c r="CJ109" s="225"/>
      <c r="CK109" s="226"/>
      <c r="CL109" s="161"/>
      <c r="CM109" s="159"/>
      <c r="CN109" s="159"/>
      <c r="CO109" s="227"/>
      <c r="CP109" s="170"/>
      <c r="CQ109" s="159"/>
      <c r="CR109" s="162"/>
      <c r="CS109" s="161"/>
      <c r="CT109" s="159"/>
      <c r="CU109" s="159"/>
      <c r="CV109" s="159"/>
      <c r="CW109" s="159"/>
      <c r="CX109" s="159"/>
      <c r="CY109" s="162"/>
      <c r="CZ109" s="159"/>
      <c r="DA109" s="159"/>
      <c r="DB109" s="159"/>
      <c r="DC109" s="159"/>
      <c r="DD109" s="159"/>
      <c r="DE109" s="162"/>
      <c r="DF109" s="174"/>
      <c r="DG109" s="159"/>
      <c r="DH109" s="159"/>
      <c r="DI109" s="159"/>
      <c r="DJ109" s="159"/>
      <c r="DK109" s="159"/>
      <c r="DL109" s="162"/>
      <c r="DM109" s="170"/>
      <c r="DN109" s="159"/>
      <c r="DO109" s="159"/>
      <c r="DP109" s="159"/>
      <c r="DQ109" s="159"/>
      <c r="DR109" s="159"/>
      <c r="DS109" s="175"/>
    </row>
    <row r="110" spans="1:123" ht="14" outlineLevel="1">
      <c r="A110" s="317" t="s">
        <v>273</v>
      </c>
      <c r="B110" s="310" t="s">
        <v>21</v>
      </c>
      <c r="C110" s="303" t="s">
        <v>190</v>
      </c>
      <c r="D110" s="125"/>
      <c r="E110" s="107"/>
      <c r="F110" s="107"/>
      <c r="G110" s="107"/>
      <c r="H110" s="107"/>
      <c r="I110" s="107"/>
      <c r="J110" s="107"/>
      <c r="K110" s="107"/>
      <c r="L110" s="108"/>
      <c r="M110" s="109"/>
      <c r="N110" s="107"/>
      <c r="O110" s="107"/>
      <c r="P110" s="107"/>
      <c r="Q110" s="107"/>
      <c r="R110" s="107"/>
      <c r="S110" s="110"/>
      <c r="T110" s="109"/>
      <c r="U110" s="107"/>
      <c r="V110" s="107"/>
      <c r="W110" s="107"/>
      <c r="X110" s="107"/>
      <c r="Y110" s="163"/>
      <c r="Z110" s="164"/>
      <c r="AA110" s="165"/>
      <c r="AB110" s="163"/>
      <c r="AC110" s="163"/>
      <c r="AD110" s="163"/>
      <c r="AE110" s="163"/>
      <c r="AF110" s="163"/>
      <c r="AG110" s="164"/>
      <c r="AH110" s="166"/>
      <c r="AI110" s="167"/>
      <c r="AJ110" s="163"/>
      <c r="AK110" s="163"/>
      <c r="AL110" s="111"/>
      <c r="AM110" s="111"/>
      <c r="AN110" s="116"/>
      <c r="AO110" s="267"/>
      <c r="AP110" s="265"/>
      <c r="AQ110" s="265"/>
      <c r="AR110" s="265"/>
      <c r="AS110" s="265"/>
      <c r="AT110" s="265"/>
      <c r="AU110" s="268"/>
      <c r="AV110" s="267"/>
      <c r="AW110" s="265"/>
      <c r="AX110" s="265"/>
      <c r="AY110" s="265"/>
      <c r="AZ110" s="265"/>
      <c r="BA110" s="265"/>
      <c r="BB110" s="268"/>
      <c r="BC110" s="267"/>
      <c r="BD110" s="265"/>
      <c r="BE110" s="265"/>
      <c r="BF110" s="265"/>
      <c r="BG110" s="265"/>
      <c r="BH110" s="265"/>
      <c r="BI110" s="268"/>
      <c r="BJ110" s="267"/>
      <c r="BK110" s="265"/>
      <c r="BL110" s="265"/>
      <c r="BM110" s="160"/>
      <c r="BN110" s="169"/>
      <c r="BO110" s="265"/>
      <c r="BP110" s="268"/>
      <c r="BQ110" s="109"/>
      <c r="BR110" s="427"/>
      <c r="BS110" s="107"/>
      <c r="BT110" s="107"/>
      <c r="BU110" s="107"/>
      <c r="BV110" s="107"/>
      <c r="BW110" s="110"/>
      <c r="BX110" s="125"/>
      <c r="BY110" s="107"/>
      <c r="BZ110" s="107"/>
      <c r="CA110" s="107"/>
      <c r="CB110" s="159"/>
      <c r="CC110" s="225"/>
      <c r="CD110" s="226"/>
      <c r="CE110" s="224"/>
      <c r="CF110" s="225"/>
      <c r="CG110" s="225"/>
      <c r="CH110" s="225"/>
      <c r="CI110" s="225"/>
      <c r="CJ110" s="225"/>
      <c r="CK110" s="226"/>
      <c r="CL110" s="161"/>
      <c r="CM110" s="159"/>
      <c r="CN110" s="159"/>
      <c r="CO110" s="227"/>
      <c r="CP110" s="170"/>
      <c r="CQ110" s="159"/>
      <c r="CR110" s="162"/>
      <c r="CS110" s="161"/>
      <c r="CT110" s="159"/>
      <c r="CU110" s="159"/>
      <c r="CV110" s="159"/>
      <c r="CW110" s="159"/>
      <c r="CX110" s="159"/>
      <c r="CY110" s="162"/>
      <c r="CZ110" s="159"/>
      <c r="DA110" s="159"/>
      <c r="DB110" s="159"/>
      <c r="DC110" s="159"/>
      <c r="DD110" s="159"/>
      <c r="DE110" s="162"/>
      <c r="DF110" s="174"/>
      <c r="DG110" s="159"/>
      <c r="DH110" s="159"/>
      <c r="DI110" s="159"/>
      <c r="DJ110" s="159"/>
      <c r="DK110" s="159"/>
      <c r="DL110" s="162"/>
      <c r="DM110" s="170"/>
      <c r="DN110" s="159"/>
      <c r="DO110" s="159"/>
      <c r="DP110" s="159"/>
      <c r="DQ110" s="159"/>
      <c r="DR110" s="159"/>
      <c r="DS110" s="175"/>
    </row>
    <row r="111" spans="1:123" ht="14" outlineLevel="1">
      <c r="A111" s="318" t="s">
        <v>321</v>
      </c>
      <c r="B111" s="310" t="s">
        <v>5</v>
      </c>
      <c r="C111" s="453" t="s">
        <v>178</v>
      </c>
      <c r="D111" s="125"/>
      <c r="E111" s="107"/>
      <c r="F111" s="107"/>
      <c r="G111" s="107"/>
      <c r="H111" s="107"/>
      <c r="I111" s="107"/>
      <c r="J111" s="107"/>
      <c r="K111" s="107"/>
      <c r="L111" s="108"/>
      <c r="M111" s="109"/>
      <c r="N111" s="107"/>
      <c r="O111" s="107"/>
      <c r="P111" s="107"/>
      <c r="Q111" s="107"/>
      <c r="R111" s="107"/>
      <c r="S111" s="110"/>
      <c r="T111" s="109"/>
      <c r="U111" s="107"/>
      <c r="V111" s="107"/>
      <c r="W111" s="107"/>
      <c r="X111" s="107"/>
      <c r="Y111" s="163"/>
      <c r="Z111" s="164"/>
      <c r="AA111" s="165"/>
      <c r="AB111" s="163"/>
      <c r="AC111" s="163"/>
      <c r="AD111" s="163"/>
      <c r="AE111" s="163"/>
      <c r="AF111" s="163"/>
      <c r="AG111" s="164"/>
      <c r="AH111" s="166"/>
      <c r="AI111" s="167"/>
      <c r="AJ111" s="163"/>
      <c r="AK111" s="163"/>
      <c r="AL111" s="111"/>
      <c r="AM111" s="111"/>
      <c r="AN111" s="116"/>
      <c r="AO111" s="267"/>
      <c r="AP111" s="265"/>
      <c r="AQ111" s="265"/>
      <c r="AR111" s="265"/>
      <c r="AS111" s="265"/>
      <c r="AT111" s="265"/>
      <c r="AU111" s="268"/>
      <c r="AV111" s="267"/>
      <c r="AW111" s="265"/>
      <c r="AX111" s="265"/>
      <c r="AY111" s="265"/>
      <c r="AZ111" s="265"/>
      <c r="BA111" s="265"/>
      <c r="BB111" s="268"/>
      <c r="BC111" s="267"/>
      <c r="BD111" s="265"/>
      <c r="BE111" s="265"/>
      <c r="BF111" s="265"/>
      <c r="BG111" s="265"/>
      <c r="BH111" s="265"/>
      <c r="BI111" s="268"/>
      <c r="BJ111" s="267"/>
      <c r="BK111" s="265"/>
      <c r="BL111" s="265"/>
      <c r="BM111" s="160"/>
      <c r="BN111" s="169"/>
      <c r="BO111" s="265"/>
      <c r="BP111" s="268"/>
      <c r="BQ111" s="109"/>
      <c r="BR111" s="427"/>
      <c r="BS111" s="107"/>
      <c r="BT111" s="107"/>
      <c r="BU111" s="107"/>
      <c r="BV111" s="107"/>
      <c r="BW111" s="110"/>
      <c r="BX111" s="125"/>
      <c r="BY111" s="107"/>
      <c r="BZ111" s="107"/>
      <c r="CA111" s="107"/>
      <c r="CB111" s="159"/>
      <c r="CC111" s="225"/>
      <c r="CD111" s="226"/>
      <c r="CE111" s="224"/>
      <c r="CF111" s="225"/>
      <c r="CG111" s="225"/>
      <c r="CH111" s="225"/>
      <c r="CI111" s="225"/>
      <c r="CJ111" s="225"/>
      <c r="CK111" s="226"/>
      <c r="CL111" s="161"/>
      <c r="CM111" s="159"/>
      <c r="CN111" s="159"/>
      <c r="CO111" s="227"/>
      <c r="CP111" s="170"/>
      <c r="CQ111" s="159"/>
      <c r="CR111" s="162"/>
      <c r="CS111" s="161"/>
      <c r="CT111" s="159"/>
      <c r="CU111" s="159"/>
      <c r="CV111" s="159"/>
      <c r="CW111" s="159"/>
      <c r="CX111" s="159"/>
      <c r="CY111" s="162"/>
      <c r="CZ111" s="159"/>
      <c r="DA111" s="159"/>
      <c r="DB111" s="159"/>
      <c r="DC111" s="159"/>
      <c r="DD111" s="159"/>
      <c r="DE111" s="162"/>
      <c r="DF111" s="174"/>
      <c r="DG111" s="159"/>
      <c r="DH111" s="159"/>
      <c r="DI111" s="159"/>
      <c r="DJ111" s="159"/>
      <c r="DK111" s="159"/>
      <c r="DL111" s="162"/>
      <c r="DM111" s="170"/>
      <c r="DN111" s="159"/>
      <c r="DO111" s="159"/>
      <c r="DP111" s="159"/>
      <c r="DQ111" s="159"/>
      <c r="DR111" s="159"/>
      <c r="DS111" s="175"/>
    </row>
    <row r="112" spans="1:123" ht="14" outlineLevel="1">
      <c r="A112" s="318" t="s">
        <v>320</v>
      </c>
      <c r="B112" s="310" t="s">
        <v>33</v>
      </c>
      <c r="C112" s="453" t="s">
        <v>178</v>
      </c>
      <c r="D112" s="125"/>
      <c r="E112" s="107"/>
      <c r="F112" s="107"/>
      <c r="G112" s="107"/>
      <c r="H112" s="107"/>
      <c r="I112" s="107"/>
      <c r="J112" s="107"/>
      <c r="K112" s="107"/>
      <c r="L112" s="108"/>
      <c r="M112" s="109"/>
      <c r="N112" s="107"/>
      <c r="O112" s="107"/>
      <c r="P112" s="107"/>
      <c r="Q112" s="107"/>
      <c r="R112" s="107"/>
      <c r="S112" s="110"/>
      <c r="T112" s="109"/>
      <c r="U112" s="107"/>
      <c r="V112" s="107"/>
      <c r="W112" s="107"/>
      <c r="X112" s="107"/>
      <c r="Y112" s="163"/>
      <c r="Z112" s="164"/>
      <c r="AA112" s="165"/>
      <c r="AB112" s="163"/>
      <c r="AC112" s="163"/>
      <c r="AD112" s="163"/>
      <c r="AE112" s="163"/>
      <c r="AF112" s="163"/>
      <c r="AG112" s="164"/>
      <c r="AH112" s="166"/>
      <c r="AI112" s="167"/>
      <c r="AJ112" s="163"/>
      <c r="AK112" s="163"/>
      <c r="AL112" s="111"/>
      <c r="AM112" s="111"/>
      <c r="AN112" s="116"/>
      <c r="AO112" s="267"/>
      <c r="AP112" s="265"/>
      <c r="AQ112" s="265"/>
      <c r="AR112" s="265"/>
      <c r="AS112" s="265"/>
      <c r="AT112" s="265"/>
      <c r="AU112" s="268"/>
      <c r="AV112" s="267"/>
      <c r="AW112" s="265"/>
      <c r="AX112" s="265"/>
      <c r="AY112" s="265"/>
      <c r="AZ112" s="265"/>
      <c r="BA112" s="265"/>
      <c r="BB112" s="268"/>
      <c r="BC112" s="267"/>
      <c r="BD112" s="265"/>
      <c r="BE112" s="265"/>
      <c r="BF112" s="265"/>
      <c r="BG112" s="265"/>
      <c r="BH112" s="265"/>
      <c r="BI112" s="268"/>
      <c r="BJ112" s="267"/>
      <c r="BK112" s="265"/>
      <c r="BL112" s="265"/>
      <c r="BM112" s="160"/>
      <c r="BN112" s="169"/>
      <c r="BO112" s="265"/>
      <c r="BP112" s="268"/>
      <c r="BQ112" s="109"/>
      <c r="BR112" s="427"/>
      <c r="BS112" s="107"/>
      <c r="BT112" s="107"/>
      <c r="BU112" s="107"/>
      <c r="BV112" s="107"/>
      <c r="BW112" s="110"/>
      <c r="BX112" s="125"/>
      <c r="BY112" s="107"/>
      <c r="BZ112" s="107"/>
      <c r="CA112" s="107"/>
      <c r="CB112" s="159"/>
      <c r="CC112" s="225"/>
      <c r="CD112" s="226"/>
      <c r="CE112" s="224"/>
      <c r="CF112" s="225"/>
      <c r="CG112" s="225"/>
      <c r="CH112" s="225"/>
      <c r="CI112" s="225"/>
      <c r="CJ112" s="225"/>
      <c r="CK112" s="226"/>
      <c r="CL112" s="161"/>
      <c r="CM112" s="159"/>
      <c r="CN112" s="159"/>
      <c r="CO112" s="227"/>
      <c r="CP112" s="170"/>
      <c r="CQ112" s="159"/>
      <c r="CR112" s="162"/>
      <c r="CS112" s="161"/>
      <c r="CT112" s="159"/>
      <c r="CU112" s="159"/>
      <c r="CV112" s="159"/>
      <c r="CW112" s="159"/>
      <c r="CX112" s="159"/>
      <c r="CY112" s="162"/>
      <c r="CZ112" s="159"/>
      <c r="DA112" s="159"/>
      <c r="DB112" s="159"/>
      <c r="DC112" s="159"/>
      <c r="DD112" s="159"/>
      <c r="DE112" s="162"/>
      <c r="DF112" s="174"/>
      <c r="DG112" s="159"/>
      <c r="DH112" s="159"/>
      <c r="DI112" s="159"/>
      <c r="DJ112" s="159"/>
      <c r="DK112" s="159"/>
      <c r="DL112" s="162"/>
      <c r="DM112" s="170"/>
      <c r="DN112" s="159"/>
      <c r="DO112" s="159"/>
      <c r="DP112" s="159"/>
      <c r="DQ112" s="159"/>
      <c r="DR112" s="159"/>
      <c r="DS112" s="175"/>
    </row>
    <row r="113" spans="1:123" ht="14" outlineLevel="1">
      <c r="A113" s="319" t="s">
        <v>266</v>
      </c>
      <c r="B113" s="310" t="s">
        <v>15</v>
      </c>
      <c r="C113" s="304" t="s">
        <v>181</v>
      </c>
      <c r="D113" s="125"/>
      <c r="E113" s="107"/>
      <c r="F113" s="107"/>
      <c r="G113" s="107"/>
      <c r="H113" s="107"/>
      <c r="I113" s="107"/>
      <c r="J113" s="107"/>
      <c r="K113" s="107"/>
      <c r="L113" s="108"/>
      <c r="M113" s="109"/>
      <c r="N113" s="107"/>
      <c r="O113" s="107"/>
      <c r="P113" s="107"/>
      <c r="Q113" s="107"/>
      <c r="R113" s="107"/>
      <c r="S113" s="110"/>
      <c r="T113" s="109"/>
      <c r="U113" s="107"/>
      <c r="V113" s="107"/>
      <c r="W113" s="107"/>
      <c r="X113" s="107"/>
      <c r="Y113" s="163"/>
      <c r="Z113" s="164"/>
      <c r="AA113" s="165"/>
      <c r="AB113" s="163"/>
      <c r="AC113" s="163"/>
      <c r="AD113" s="163"/>
      <c r="AE113" s="163"/>
      <c r="AF113" s="163"/>
      <c r="AG113" s="164"/>
      <c r="AH113" s="166"/>
      <c r="AI113" s="167"/>
      <c r="AJ113" s="163"/>
      <c r="AK113" s="163"/>
      <c r="AL113" s="111"/>
      <c r="AM113" s="111"/>
      <c r="AN113" s="116"/>
      <c r="AO113" s="267"/>
      <c r="AP113" s="265"/>
      <c r="AQ113" s="265"/>
      <c r="AR113" s="265"/>
      <c r="AS113" s="265"/>
      <c r="AT113" s="265"/>
      <c r="AU113" s="268"/>
      <c r="AV113" s="267"/>
      <c r="AW113" s="265"/>
      <c r="AX113" s="265"/>
      <c r="AY113" s="265"/>
      <c r="AZ113" s="265"/>
      <c r="BA113" s="265"/>
      <c r="BB113" s="268"/>
      <c r="BC113" s="267"/>
      <c r="BD113" s="265"/>
      <c r="BE113" s="265"/>
      <c r="BF113" s="265"/>
      <c r="BG113" s="265"/>
      <c r="BH113" s="265"/>
      <c r="BI113" s="268"/>
      <c r="BJ113" s="267"/>
      <c r="BK113" s="265"/>
      <c r="BL113" s="265"/>
      <c r="BM113" s="160"/>
      <c r="BN113" s="169"/>
      <c r="BO113" s="265"/>
      <c r="BP113" s="268"/>
      <c r="BQ113" s="109"/>
      <c r="BR113" s="427"/>
      <c r="BS113" s="107"/>
      <c r="BT113" s="107"/>
      <c r="BU113" s="107"/>
      <c r="BV113" s="107"/>
      <c r="BW113" s="110"/>
      <c r="BX113" s="125"/>
      <c r="BY113" s="107"/>
      <c r="BZ113" s="107"/>
      <c r="CA113" s="107"/>
      <c r="CB113" s="159"/>
      <c r="CC113" s="225"/>
      <c r="CD113" s="226"/>
      <c r="CE113" s="224"/>
      <c r="CF113" s="225"/>
      <c r="CG113" s="225"/>
      <c r="CH113" s="225"/>
      <c r="CI113" s="225"/>
      <c r="CJ113" s="225"/>
      <c r="CK113" s="226"/>
      <c r="CL113" s="161"/>
      <c r="CM113" s="159"/>
      <c r="CN113" s="159"/>
      <c r="CO113" s="227"/>
      <c r="CP113" s="170"/>
      <c r="CQ113" s="159"/>
      <c r="CR113" s="162"/>
      <c r="CS113" s="161"/>
      <c r="CT113" s="159"/>
      <c r="CU113" s="159"/>
      <c r="CV113" s="159"/>
      <c r="CW113" s="159"/>
      <c r="CX113" s="159"/>
      <c r="CY113" s="162"/>
      <c r="CZ113" s="159"/>
      <c r="DA113" s="159"/>
      <c r="DB113" s="159"/>
      <c r="DC113" s="159"/>
      <c r="DD113" s="159"/>
      <c r="DE113" s="162"/>
      <c r="DF113" s="174"/>
      <c r="DG113" s="159"/>
      <c r="DH113" s="159"/>
      <c r="DI113" s="159"/>
      <c r="DJ113" s="159"/>
      <c r="DK113" s="159"/>
      <c r="DL113" s="162"/>
      <c r="DM113" s="170"/>
      <c r="DN113" s="159"/>
      <c r="DO113" s="159"/>
      <c r="DP113" s="159"/>
      <c r="DQ113" s="159"/>
      <c r="DR113" s="159"/>
      <c r="DS113" s="175"/>
    </row>
    <row r="114" spans="1:123" ht="14" outlineLevel="1">
      <c r="A114" s="319" t="s">
        <v>267</v>
      </c>
      <c r="B114" s="310" t="s">
        <v>15</v>
      </c>
      <c r="C114" s="305" t="s">
        <v>181</v>
      </c>
      <c r="D114" s="125"/>
      <c r="E114" s="107"/>
      <c r="F114" s="107"/>
      <c r="G114" s="107"/>
      <c r="H114" s="107"/>
      <c r="I114" s="107"/>
      <c r="J114" s="107"/>
      <c r="K114" s="107"/>
      <c r="L114" s="108"/>
      <c r="M114" s="109"/>
      <c r="N114" s="107"/>
      <c r="O114" s="107"/>
      <c r="P114" s="107"/>
      <c r="Q114" s="107"/>
      <c r="R114" s="107"/>
      <c r="S114" s="110"/>
      <c r="T114" s="109"/>
      <c r="U114" s="107"/>
      <c r="V114" s="107"/>
      <c r="W114" s="107"/>
      <c r="X114" s="107"/>
      <c r="Y114" s="163"/>
      <c r="Z114" s="164"/>
      <c r="AA114" s="165"/>
      <c r="AB114" s="163"/>
      <c r="AC114" s="163"/>
      <c r="AD114" s="163"/>
      <c r="AE114" s="163"/>
      <c r="AF114" s="163"/>
      <c r="AG114" s="164"/>
      <c r="AH114" s="166"/>
      <c r="AI114" s="167"/>
      <c r="AJ114" s="163"/>
      <c r="AK114" s="163"/>
      <c r="AL114" s="111"/>
      <c r="AM114" s="111"/>
      <c r="AN114" s="116"/>
      <c r="AO114" s="267"/>
      <c r="AP114" s="265"/>
      <c r="AQ114" s="265"/>
      <c r="AR114" s="265"/>
      <c r="AS114" s="265"/>
      <c r="AT114" s="265"/>
      <c r="AU114" s="268"/>
      <c r="AV114" s="267"/>
      <c r="AW114" s="265"/>
      <c r="AX114" s="265"/>
      <c r="AY114" s="265"/>
      <c r="AZ114" s="265"/>
      <c r="BA114" s="265"/>
      <c r="BB114" s="268"/>
      <c r="BC114" s="267"/>
      <c r="BD114" s="265"/>
      <c r="BE114" s="265"/>
      <c r="BF114" s="265"/>
      <c r="BG114" s="265"/>
      <c r="BH114" s="265"/>
      <c r="BI114" s="268"/>
      <c r="BJ114" s="267"/>
      <c r="BK114" s="265"/>
      <c r="BL114" s="265"/>
      <c r="BM114" s="160"/>
      <c r="BN114" s="169"/>
      <c r="BO114" s="265"/>
      <c r="BP114" s="268"/>
      <c r="BQ114" s="109"/>
      <c r="BR114" s="427"/>
      <c r="BS114" s="107"/>
      <c r="BT114" s="107"/>
      <c r="BU114" s="107"/>
      <c r="BV114" s="107"/>
      <c r="BW114" s="110"/>
      <c r="BX114" s="125"/>
      <c r="BY114" s="107"/>
      <c r="BZ114" s="107"/>
      <c r="CA114" s="107"/>
      <c r="CB114" s="159"/>
      <c r="CC114" s="225"/>
      <c r="CD114" s="226"/>
      <c r="CE114" s="224"/>
      <c r="CF114" s="225"/>
      <c r="CG114" s="225"/>
      <c r="CH114" s="225"/>
      <c r="CI114" s="225"/>
      <c r="CJ114" s="225"/>
      <c r="CK114" s="226"/>
      <c r="CL114" s="59"/>
      <c r="CM114" s="57"/>
      <c r="CN114" s="57"/>
      <c r="CO114" s="73"/>
      <c r="CP114" s="170"/>
      <c r="CQ114" s="159"/>
      <c r="CR114" s="162"/>
      <c r="CS114" s="161"/>
      <c r="CT114" s="159"/>
      <c r="CU114" s="159"/>
      <c r="CV114" s="159"/>
      <c r="CW114" s="159"/>
      <c r="CX114" s="159"/>
      <c r="CY114" s="391"/>
      <c r="CZ114" s="159"/>
      <c r="DA114" s="159"/>
      <c r="DB114" s="159"/>
      <c r="DC114" s="159"/>
      <c r="DD114" s="159"/>
      <c r="DE114" s="162"/>
      <c r="DF114" s="174"/>
      <c r="DG114" s="159"/>
      <c r="DH114" s="159"/>
      <c r="DI114" s="159"/>
      <c r="DJ114" s="159"/>
      <c r="DK114" s="159"/>
      <c r="DL114" s="162"/>
      <c r="DM114" s="170"/>
      <c r="DN114" s="159"/>
      <c r="DO114" s="159"/>
      <c r="DP114" s="159"/>
      <c r="DQ114" s="159"/>
      <c r="DR114" s="159"/>
      <c r="DS114" s="175"/>
    </row>
    <row r="115" spans="1:123" ht="14" outlineLevel="1">
      <c r="A115" s="320" t="s">
        <v>268</v>
      </c>
      <c r="B115" s="310" t="s">
        <v>15</v>
      </c>
      <c r="C115" s="306" t="s">
        <v>181</v>
      </c>
      <c r="D115" s="125"/>
      <c r="E115" s="107"/>
      <c r="F115" s="107"/>
      <c r="G115" s="107"/>
      <c r="H115" s="107"/>
      <c r="I115" s="107"/>
      <c r="J115" s="107"/>
      <c r="K115" s="107"/>
      <c r="L115" s="108"/>
      <c r="M115" s="109"/>
      <c r="N115" s="107"/>
      <c r="O115" s="107"/>
      <c r="P115" s="107"/>
      <c r="Q115" s="107"/>
      <c r="R115" s="107"/>
      <c r="S115" s="110"/>
      <c r="T115" s="109"/>
      <c r="U115" s="107"/>
      <c r="V115" s="107"/>
      <c r="W115" s="107"/>
      <c r="X115" s="107"/>
      <c r="Y115" s="163"/>
      <c r="Z115" s="164"/>
      <c r="AA115" s="165"/>
      <c r="AB115" s="163"/>
      <c r="AC115" s="163"/>
      <c r="AD115" s="163"/>
      <c r="AE115" s="163"/>
      <c r="AF115" s="163"/>
      <c r="AG115" s="164"/>
      <c r="AH115" s="166"/>
      <c r="AI115" s="167"/>
      <c r="AJ115" s="163"/>
      <c r="AK115" s="163"/>
      <c r="AL115" s="111"/>
      <c r="AM115" s="111"/>
      <c r="AN115" s="116"/>
      <c r="AO115" s="267"/>
      <c r="AP115" s="265"/>
      <c r="AQ115" s="265"/>
      <c r="AR115" s="265"/>
      <c r="AS115" s="265"/>
      <c r="AT115" s="265"/>
      <c r="AU115" s="268"/>
      <c r="AV115" s="267"/>
      <c r="AW115" s="265"/>
      <c r="AX115" s="265"/>
      <c r="AY115" s="265"/>
      <c r="AZ115" s="265"/>
      <c r="BA115" s="265"/>
      <c r="BB115" s="268"/>
      <c r="BC115" s="267"/>
      <c r="BD115" s="265"/>
      <c r="BE115" s="265"/>
      <c r="BF115" s="265"/>
      <c r="BG115" s="265"/>
      <c r="BH115" s="265"/>
      <c r="BI115" s="268"/>
      <c r="BJ115" s="267"/>
      <c r="BK115" s="265"/>
      <c r="BL115" s="265"/>
      <c r="BM115" s="160"/>
      <c r="BN115" s="169"/>
      <c r="BO115" s="265"/>
      <c r="BP115" s="268"/>
      <c r="BQ115" s="109"/>
      <c r="BR115" s="427"/>
      <c r="BS115" s="107"/>
      <c r="BT115" s="107"/>
      <c r="BU115" s="107"/>
      <c r="BV115" s="107"/>
      <c r="BW115" s="110"/>
      <c r="BX115" s="125"/>
      <c r="BY115" s="107"/>
      <c r="BZ115" s="107"/>
      <c r="CA115" s="107"/>
      <c r="CB115" s="159"/>
      <c r="CC115" s="225"/>
      <c r="CD115" s="226"/>
      <c r="CE115" s="224"/>
      <c r="CF115" s="225"/>
      <c r="CG115" s="225"/>
      <c r="CH115" s="225"/>
      <c r="CI115" s="225"/>
      <c r="CJ115" s="225"/>
      <c r="CK115" s="226"/>
      <c r="CL115" s="161"/>
      <c r="CM115" s="159"/>
      <c r="CN115" s="159"/>
      <c r="CO115" s="227"/>
      <c r="CP115" s="170"/>
      <c r="CQ115" s="159"/>
      <c r="CR115" s="162"/>
      <c r="CS115" s="161"/>
      <c r="CT115" s="159"/>
      <c r="CU115" s="159"/>
      <c r="CV115" s="159"/>
      <c r="CW115" s="159"/>
      <c r="CX115" s="159"/>
      <c r="CY115" s="391"/>
      <c r="CZ115" s="159"/>
      <c r="DA115" s="159"/>
      <c r="DB115" s="159"/>
      <c r="DC115" s="159"/>
      <c r="DD115" s="159"/>
      <c r="DE115" s="162"/>
      <c r="DF115" s="174"/>
      <c r="DG115" s="159"/>
      <c r="DH115" s="159"/>
      <c r="DI115" s="159"/>
      <c r="DJ115" s="159"/>
      <c r="DK115" s="159"/>
      <c r="DL115" s="162"/>
      <c r="DM115" s="170"/>
      <c r="DN115" s="159"/>
      <c r="DO115" s="159"/>
      <c r="DP115" s="159"/>
      <c r="DQ115" s="159"/>
      <c r="DR115" s="159"/>
      <c r="DS115" s="175"/>
    </row>
    <row r="116" spans="1:123" ht="14" outlineLevel="1">
      <c r="A116" s="408" t="s">
        <v>345</v>
      </c>
      <c r="B116" s="310" t="s">
        <v>5</v>
      </c>
      <c r="C116" s="306" t="s">
        <v>181</v>
      </c>
      <c r="D116" s="125"/>
      <c r="E116" s="107"/>
      <c r="F116" s="107"/>
      <c r="G116" s="107"/>
      <c r="H116" s="107"/>
      <c r="I116" s="107"/>
      <c r="J116" s="107"/>
      <c r="K116" s="107"/>
      <c r="L116" s="108"/>
      <c r="M116" s="109"/>
      <c r="N116" s="107"/>
      <c r="O116" s="107"/>
      <c r="P116" s="107"/>
      <c r="Q116" s="107"/>
      <c r="R116" s="107"/>
      <c r="S116" s="110"/>
      <c r="T116" s="109"/>
      <c r="U116" s="107"/>
      <c r="V116" s="107"/>
      <c r="W116" s="107"/>
      <c r="X116" s="107"/>
      <c r="Y116" s="163"/>
      <c r="Z116" s="164"/>
      <c r="AA116" s="165"/>
      <c r="AB116" s="163"/>
      <c r="AC116" s="163"/>
      <c r="AD116" s="163"/>
      <c r="AE116" s="163"/>
      <c r="AF116" s="163"/>
      <c r="AG116" s="164"/>
      <c r="AH116" s="166"/>
      <c r="AI116" s="167"/>
      <c r="AJ116" s="163"/>
      <c r="AK116" s="163"/>
      <c r="AL116" s="111"/>
      <c r="AM116" s="111"/>
      <c r="AN116" s="116"/>
      <c r="AO116" s="267"/>
      <c r="AP116" s="265"/>
      <c r="AQ116" s="265"/>
      <c r="AR116" s="265"/>
      <c r="AS116" s="265"/>
      <c r="AT116" s="265"/>
      <c r="AU116" s="268"/>
      <c r="AV116" s="267"/>
      <c r="AW116" s="265"/>
      <c r="AX116" s="265"/>
      <c r="AY116" s="265"/>
      <c r="AZ116" s="265"/>
      <c r="BA116" s="265"/>
      <c r="BB116" s="268"/>
      <c r="BC116" s="267"/>
      <c r="BD116" s="265"/>
      <c r="BE116" s="265"/>
      <c r="BF116" s="265"/>
      <c r="BG116" s="265"/>
      <c r="BH116" s="265"/>
      <c r="BI116" s="268"/>
      <c r="BJ116" s="267"/>
      <c r="BK116" s="265"/>
      <c r="BL116" s="265"/>
      <c r="BM116" s="160"/>
      <c r="BN116" s="169"/>
      <c r="BO116" s="265"/>
      <c r="BP116" s="268"/>
      <c r="BQ116" s="109"/>
      <c r="BR116" s="427"/>
      <c r="BS116" s="107"/>
      <c r="BT116" s="107"/>
      <c r="BU116" s="107"/>
      <c r="BV116" s="107"/>
      <c r="BW116" s="110"/>
      <c r="BX116" s="125"/>
      <c r="BY116" s="107"/>
      <c r="BZ116" s="107"/>
      <c r="CA116" s="107"/>
      <c r="CB116" s="159"/>
      <c r="CC116" s="225"/>
      <c r="CD116" s="226"/>
      <c r="CE116" s="224"/>
      <c r="CF116" s="225"/>
      <c r="CG116" s="225"/>
      <c r="CH116" s="225"/>
      <c r="CI116" s="225"/>
      <c r="CJ116" s="225"/>
      <c r="CK116" s="226"/>
      <c r="CL116" s="161"/>
      <c r="CM116" s="159"/>
      <c r="CN116" s="159"/>
      <c r="CO116" s="227"/>
      <c r="CP116" s="170"/>
      <c r="CQ116" s="159"/>
      <c r="CR116" s="162"/>
      <c r="CS116" s="161"/>
      <c r="CT116" s="159"/>
      <c r="CU116" s="159"/>
      <c r="CV116" s="159"/>
      <c r="CW116" s="159"/>
      <c r="CX116" s="159"/>
      <c r="CY116" s="161"/>
      <c r="CZ116" s="159"/>
      <c r="DA116" s="159"/>
      <c r="DB116" s="159"/>
      <c r="DC116" s="159"/>
      <c r="DD116" s="159"/>
      <c r="DE116" s="162"/>
      <c r="DF116" s="174"/>
      <c r="DG116" s="159"/>
      <c r="DH116" s="159"/>
      <c r="DI116" s="159"/>
      <c r="DJ116" s="159"/>
      <c r="DK116" s="159"/>
      <c r="DL116" s="162"/>
      <c r="DM116" s="170"/>
      <c r="DN116" s="159"/>
      <c r="DO116" s="159"/>
      <c r="DP116" s="159"/>
      <c r="DQ116" s="159"/>
      <c r="DR116" s="159"/>
      <c r="DS116" s="175"/>
    </row>
    <row r="117" spans="1:123" ht="14" outlineLevel="1">
      <c r="A117" s="297" t="s">
        <v>274</v>
      </c>
      <c r="B117" s="311"/>
      <c r="C117" s="301"/>
      <c r="D117" s="125"/>
      <c r="E117" s="107"/>
      <c r="F117" s="107"/>
      <c r="G117" s="107"/>
      <c r="H117" s="107"/>
      <c r="I117" s="107"/>
      <c r="J117" s="107"/>
      <c r="K117" s="107"/>
      <c r="L117" s="108"/>
      <c r="M117" s="109"/>
      <c r="N117" s="107"/>
      <c r="O117" s="107"/>
      <c r="P117" s="107"/>
      <c r="Q117" s="107"/>
      <c r="R117" s="107"/>
      <c r="S117" s="110"/>
      <c r="T117" s="109"/>
      <c r="U117" s="107"/>
      <c r="V117" s="107"/>
      <c r="W117" s="107"/>
      <c r="X117" s="107"/>
      <c r="Y117" s="163"/>
      <c r="Z117" s="164"/>
      <c r="AA117" s="165"/>
      <c r="AB117" s="163"/>
      <c r="AC117" s="163"/>
      <c r="AD117" s="163"/>
      <c r="AE117" s="163"/>
      <c r="AF117" s="163"/>
      <c r="AG117" s="164"/>
      <c r="AH117" s="166"/>
      <c r="AI117" s="167"/>
      <c r="AJ117" s="163"/>
      <c r="AK117" s="163"/>
      <c r="AL117" s="111"/>
      <c r="AM117" s="111"/>
      <c r="AN117" s="116"/>
      <c r="AO117" s="267"/>
      <c r="AP117" s="265"/>
      <c r="AQ117" s="265"/>
      <c r="AR117" s="265"/>
      <c r="AS117" s="265"/>
      <c r="AT117" s="265"/>
      <c r="AU117" s="268"/>
      <c r="AV117" s="267"/>
      <c r="AW117" s="265"/>
      <c r="AX117" s="265"/>
      <c r="AY117" s="265"/>
      <c r="AZ117" s="265"/>
      <c r="BA117" s="265"/>
      <c r="BB117" s="268"/>
      <c r="BC117" s="267"/>
      <c r="BD117" s="265"/>
      <c r="BE117" s="265"/>
      <c r="BF117" s="265"/>
      <c r="BG117" s="265"/>
      <c r="BH117" s="265"/>
      <c r="BI117" s="268"/>
      <c r="BJ117" s="267"/>
      <c r="BK117" s="265"/>
      <c r="BL117" s="265"/>
      <c r="BM117" s="160"/>
      <c r="BN117" s="169"/>
      <c r="BO117" s="265"/>
      <c r="BP117" s="268"/>
      <c r="BQ117" s="109"/>
      <c r="BR117" s="427"/>
      <c r="BS117" s="107"/>
      <c r="BT117" s="107"/>
      <c r="BU117" s="107"/>
      <c r="BV117" s="107"/>
      <c r="BW117" s="110"/>
      <c r="BX117" s="454"/>
      <c r="BY117" s="331"/>
      <c r="BZ117" s="331"/>
      <c r="CA117" s="331"/>
      <c r="CB117" s="159"/>
      <c r="CC117" s="225"/>
      <c r="CD117" s="226"/>
      <c r="CE117" s="224"/>
      <c r="CF117" s="225"/>
      <c r="CG117" s="225"/>
      <c r="CH117" s="225"/>
      <c r="CI117" s="225"/>
      <c r="CJ117" s="225"/>
      <c r="CK117" s="226"/>
      <c r="CL117" s="161"/>
      <c r="CM117" s="159"/>
      <c r="CN117" s="159"/>
      <c r="CO117" s="227"/>
      <c r="CP117" s="170"/>
      <c r="CQ117" s="159"/>
      <c r="CR117" s="162"/>
      <c r="CS117" s="161"/>
      <c r="CT117" s="159"/>
      <c r="CU117" s="159"/>
      <c r="CV117" s="159"/>
      <c r="CW117" s="159"/>
      <c r="CX117" s="159"/>
      <c r="CY117" s="161"/>
      <c r="CZ117" s="159"/>
      <c r="DA117" s="159"/>
      <c r="DB117" s="159"/>
      <c r="DC117" s="159"/>
      <c r="DD117" s="159"/>
      <c r="DE117" s="162"/>
      <c r="DF117" s="174"/>
      <c r="DG117" s="159"/>
      <c r="DH117" s="159"/>
      <c r="DI117" s="159"/>
      <c r="DJ117" s="159"/>
      <c r="DK117" s="159"/>
      <c r="DL117" s="162"/>
      <c r="DM117" s="170"/>
      <c r="DN117" s="159"/>
      <c r="DO117" s="159"/>
      <c r="DP117" s="159"/>
      <c r="DQ117" s="159"/>
      <c r="DR117" s="159"/>
      <c r="DS117" s="175"/>
    </row>
    <row r="118" spans="1:123" ht="14" outlineLevel="1">
      <c r="A118" s="298" t="s">
        <v>275</v>
      </c>
      <c r="B118" s="310" t="s">
        <v>5</v>
      </c>
      <c r="C118" s="302" t="s">
        <v>178</v>
      </c>
      <c r="D118" s="125"/>
      <c r="E118" s="107"/>
      <c r="F118" s="107"/>
      <c r="G118" s="107"/>
      <c r="H118" s="107"/>
      <c r="I118" s="107"/>
      <c r="J118" s="107"/>
      <c r="K118" s="107"/>
      <c r="L118" s="108"/>
      <c r="M118" s="109"/>
      <c r="N118" s="107"/>
      <c r="O118" s="107"/>
      <c r="P118" s="107"/>
      <c r="Q118" s="107"/>
      <c r="R118" s="107"/>
      <c r="S118" s="110"/>
      <c r="T118" s="109"/>
      <c r="U118" s="107"/>
      <c r="V118" s="107"/>
      <c r="W118" s="107"/>
      <c r="X118" s="107"/>
      <c r="Y118" s="163"/>
      <c r="Z118" s="164"/>
      <c r="AA118" s="165"/>
      <c r="AB118" s="163"/>
      <c r="AC118" s="163"/>
      <c r="AD118" s="163"/>
      <c r="AE118" s="163"/>
      <c r="AF118" s="163"/>
      <c r="AG118" s="164"/>
      <c r="AH118" s="166"/>
      <c r="AI118" s="167"/>
      <c r="AJ118" s="163"/>
      <c r="AK118" s="163"/>
      <c r="AL118" s="111"/>
      <c r="AM118" s="111"/>
      <c r="AN118" s="116"/>
      <c r="AO118" s="267"/>
      <c r="AP118" s="265"/>
      <c r="AQ118" s="265"/>
      <c r="AR118" s="265"/>
      <c r="AS118" s="265"/>
      <c r="AT118" s="265"/>
      <c r="AU118" s="268"/>
      <c r="AV118" s="267"/>
      <c r="AW118" s="265"/>
      <c r="AX118" s="265"/>
      <c r="AY118" s="265"/>
      <c r="AZ118" s="265"/>
      <c r="BA118" s="265"/>
      <c r="BB118" s="268"/>
      <c r="BC118" s="267"/>
      <c r="BD118" s="265"/>
      <c r="BE118" s="265"/>
      <c r="BF118" s="265"/>
      <c r="BG118" s="265"/>
      <c r="BH118" s="265"/>
      <c r="BI118" s="268"/>
      <c r="BJ118" s="267"/>
      <c r="BK118" s="265"/>
      <c r="BL118" s="265"/>
      <c r="BM118" s="160"/>
      <c r="BN118" s="169"/>
      <c r="BO118" s="265"/>
      <c r="BP118" s="268"/>
      <c r="BQ118" s="109"/>
      <c r="BR118" s="427"/>
      <c r="BS118" s="107"/>
      <c r="BT118" s="107"/>
      <c r="BU118" s="107"/>
      <c r="BV118" s="107"/>
      <c r="BW118" s="110"/>
      <c r="BX118" s="125"/>
      <c r="BY118" s="107"/>
      <c r="BZ118" s="107"/>
      <c r="CA118" s="107"/>
      <c r="CB118" s="159"/>
      <c r="CC118" s="225"/>
      <c r="CD118" s="226"/>
      <c r="CE118" s="224"/>
      <c r="CF118" s="225"/>
      <c r="CG118" s="225"/>
      <c r="CH118" s="225"/>
      <c r="CI118" s="225"/>
      <c r="CJ118" s="225"/>
      <c r="CK118" s="226"/>
      <c r="CL118" s="161"/>
      <c r="CM118" s="159"/>
      <c r="CN118" s="159"/>
      <c r="CO118" s="227"/>
      <c r="CP118" s="170"/>
      <c r="CQ118" s="159"/>
      <c r="CR118" s="162"/>
      <c r="CS118" s="161"/>
      <c r="CT118" s="159"/>
      <c r="CU118" s="159"/>
      <c r="CV118" s="159"/>
      <c r="CW118" s="159"/>
      <c r="CX118" s="159"/>
      <c r="CY118" s="161"/>
      <c r="CZ118" s="159"/>
      <c r="DA118" s="159"/>
      <c r="DB118" s="159"/>
      <c r="DC118" s="159"/>
      <c r="DD118" s="159"/>
      <c r="DE118" s="162"/>
      <c r="DF118" s="174"/>
      <c r="DG118" s="159"/>
      <c r="DH118" s="159"/>
      <c r="DI118" s="159"/>
      <c r="DJ118" s="159"/>
      <c r="DK118" s="159"/>
      <c r="DL118" s="162"/>
      <c r="DM118" s="170"/>
      <c r="DN118" s="159"/>
      <c r="DO118" s="159"/>
      <c r="DP118" s="159"/>
      <c r="DQ118" s="159"/>
      <c r="DR118" s="159"/>
      <c r="DS118" s="175"/>
    </row>
    <row r="119" spans="1:123" ht="14" outlineLevel="1">
      <c r="A119" s="299" t="s">
        <v>276</v>
      </c>
      <c r="B119" s="310" t="s">
        <v>33</v>
      </c>
      <c r="C119" s="302" t="s">
        <v>178</v>
      </c>
      <c r="D119" s="125"/>
      <c r="E119" s="107"/>
      <c r="F119" s="107"/>
      <c r="G119" s="107"/>
      <c r="H119" s="107"/>
      <c r="I119" s="107"/>
      <c r="J119" s="107"/>
      <c r="K119" s="107"/>
      <c r="L119" s="108"/>
      <c r="M119" s="109"/>
      <c r="N119" s="107"/>
      <c r="O119" s="107"/>
      <c r="P119" s="107"/>
      <c r="Q119" s="107"/>
      <c r="R119" s="107"/>
      <c r="S119" s="110"/>
      <c r="T119" s="109"/>
      <c r="U119" s="107"/>
      <c r="V119" s="107"/>
      <c r="W119" s="107"/>
      <c r="X119" s="107"/>
      <c r="Y119" s="163"/>
      <c r="Z119" s="164"/>
      <c r="AA119" s="165"/>
      <c r="AB119" s="163"/>
      <c r="AC119" s="163"/>
      <c r="AD119" s="163"/>
      <c r="AE119" s="163"/>
      <c r="AF119" s="163"/>
      <c r="AG119" s="164"/>
      <c r="AH119" s="166"/>
      <c r="AI119" s="167"/>
      <c r="AJ119" s="163"/>
      <c r="AK119" s="163"/>
      <c r="AL119" s="111"/>
      <c r="AM119" s="111"/>
      <c r="AN119" s="116"/>
      <c r="AO119" s="267"/>
      <c r="AP119" s="265"/>
      <c r="AQ119" s="265"/>
      <c r="AR119" s="265"/>
      <c r="AS119" s="265"/>
      <c r="AT119" s="265"/>
      <c r="AU119" s="268"/>
      <c r="AV119" s="267"/>
      <c r="AW119" s="265"/>
      <c r="AX119" s="265"/>
      <c r="AY119" s="265"/>
      <c r="AZ119" s="265"/>
      <c r="BA119" s="265"/>
      <c r="BB119" s="268"/>
      <c r="BC119" s="267"/>
      <c r="BD119" s="265"/>
      <c r="BE119" s="265"/>
      <c r="BF119" s="265"/>
      <c r="BG119" s="265"/>
      <c r="BH119" s="265"/>
      <c r="BI119" s="268"/>
      <c r="BJ119" s="267"/>
      <c r="BK119" s="265"/>
      <c r="BL119" s="265"/>
      <c r="BM119" s="160"/>
      <c r="BN119" s="169"/>
      <c r="BO119" s="265"/>
      <c r="BP119" s="268"/>
      <c r="BQ119" s="109"/>
      <c r="BR119" s="427"/>
      <c r="BS119" s="107"/>
      <c r="BT119" s="107"/>
      <c r="BU119" s="107"/>
      <c r="BV119" s="107"/>
      <c r="BW119" s="110"/>
      <c r="BX119" s="125"/>
      <c r="BY119" s="107"/>
      <c r="BZ119" s="107"/>
      <c r="CA119" s="107"/>
      <c r="CB119" s="159"/>
      <c r="CC119" s="225"/>
      <c r="CD119" s="226"/>
      <c r="CE119" s="224"/>
      <c r="CF119" s="225"/>
      <c r="CG119" s="225"/>
      <c r="CH119" s="225"/>
      <c r="CI119" s="225"/>
      <c r="CJ119" s="225"/>
      <c r="CK119" s="226"/>
      <c r="CL119" s="161"/>
      <c r="CM119" s="159"/>
      <c r="CN119" s="159"/>
      <c r="CO119" s="227"/>
      <c r="CP119" s="170"/>
      <c r="CQ119" s="159"/>
      <c r="CR119" s="162"/>
      <c r="CS119" s="161"/>
      <c r="CT119" s="159"/>
      <c r="CU119" s="159"/>
      <c r="CV119" s="159"/>
      <c r="CW119" s="159"/>
      <c r="CX119" s="159"/>
      <c r="CY119" s="161"/>
      <c r="CZ119" s="159"/>
      <c r="DA119" s="159"/>
      <c r="DB119" s="159"/>
      <c r="DC119" s="159"/>
      <c r="DD119" s="159"/>
      <c r="DE119" s="162"/>
      <c r="DF119" s="174"/>
      <c r="DG119" s="159"/>
      <c r="DH119" s="159"/>
      <c r="DI119" s="159"/>
      <c r="DJ119" s="159"/>
      <c r="DK119" s="159"/>
      <c r="DL119" s="162"/>
      <c r="DM119" s="170"/>
      <c r="DN119" s="159"/>
      <c r="DO119" s="159"/>
      <c r="DP119" s="159"/>
      <c r="DQ119" s="159"/>
      <c r="DR119" s="159"/>
      <c r="DS119" s="175"/>
    </row>
    <row r="120" spans="1:123" ht="14" outlineLevel="1">
      <c r="A120" s="300" t="s">
        <v>277</v>
      </c>
      <c r="B120" s="310" t="s">
        <v>15</v>
      </c>
      <c r="C120" s="302" t="s">
        <v>178</v>
      </c>
      <c r="D120" s="125"/>
      <c r="E120" s="107"/>
      <c r="F120" s="107"/>
      <c r="G120" s="107"/>
      <c r="H120" s="107"/>
      <c r="I120" s="107"/>
      <c r="J120" s="107"/>
      <c r="K120" s="107"/>
      <c r="L120" s="108"/>
      <c r="M120" s="109"/>
      <c r="N120" s="107"/>
      <c r="O120" s="107"/>
      <c r="P120" s="107"/>
      <c r="Q120" s="107"/>
      <c r="R120" s="107"/>
      <c r="S120" s="110"/>
      <c r="T120" s="109"/>
      <c r="U120" s="107"/>
      <c r="V120" s="107"/>
      <c r="W120" s="107"/>
      <c r="X120" s="107"/>
      <c r="Y120" s="163"/>
      <c r="Z120" s="164"/>
      <c r="AA120" s="165"/>
      <c r="AB120" s="163"/>
      <c r="AC120" s="163"/>
      <c r="AD120" s="163"/>
      <c r="AE120" s="163"/>
      <c r="AF120" s="163"/>
      <c r="AG120" s="164"/>
      <c r="AH120" s="166"/>
      <c r="AI120" s="167"/>
      <c r="AJ120" s="163"/>
      <c r="AK120" s="163"/>
      <c r="AL120" s="111"/>
      <c r="AM120" s="111"/>
      <c r="AN120" s="116"/>
      <c r="AO120" s="267"/>
      <c r="AP120" s="265"/>
      <c r="AQ120" s="265"/>
      <c r="AR120" s="265"/>
      <c r="AS120" s="265"/>
      <c r="AT120" s="265"/>
      <c r="AU120" s="268"/>
      <c r="AV120" s="267"/>
      <c r="AW120" s="265"/>
      <c r="AX120" s="265"/>
      <c r="AY120" s="265"/>
      <c r="AZ120" s="265"/>
      <c r="BA120" s="265"/>
      <c r="BB120" s="268"/>
      <c r="BC120" s="267"/>
      <c r="BD120" s="265"/>
      <c r="BE120" s="265"/>
      <c r="BF120" s="265"/>
      <c r="BG120" s="265"/>
      <c r="BH120" s="265"/>
      <c r="BI120" s="268"/>
      <c r="BJ120" s="267"/>
      <c r="BK120" s="265"/>
      <c r="BL120" s="265"/>
      <c r="BM120" s="160"/>
      <c r="BN120" s="169"/>
      <c r="BO120" s="265"/>
      <c r="BP120" s="268"/>
      <c r="BQ120" s="109"/>
      <c r="BR120" s="427"/>
      <c r="BS120" s="107"/>
      <c r="BT120" s="107"/>
      <c r="BU120" s="107"/>
      <c r="BV120" s="107"/>
      <c r="BW120" s="110"/>
      <c r="BX120" s="125"/>
      <c r="BY120" s="107"/>
      <c r="BZ120" s="107"/>
      <c r="CA120" s="107"/>
      <c r="CB120" s="159"/>
      <c r="CC120" s="225"/>
      <c r="CD120" s="226"/>
      <c r="CE120" s="224"/>
      <c r="CF120" s="225"/>
      <c r="CG120" s="225"/>
      <c r="CH120" s="225"/>
      <c r="CI120" s="225"/>
      <c r="CJ120" s="225"/>
      <c r="CK120" s="226"/>
      <c r="CL120" s="161"/>
      <c r="CM120" s="159"/>
      <c r="CN120" s="159"/>
      <c r="CO120" s="227"/>
      <c r="CP120" s="170"/>
      <c r="CQ120" s="159"/>
      <c r="CR120" s="162"/>
      <c r="CS120" s="161"/>
      <c r="CT120" s="159"/>
      <c r="CU120" s="159"/>
      <c r="CV120" s="159"/>
      <c r="CW120" s="159"/>
      <c r="CX120" s="159"/>
      <c r="CY120" s="161"/>
      <c r="CZ120" s="159"/>
      <c r="DA120" s="159"/>
      <c r="DB120" s="159"/>
      <c r="DC120" s="159"/>
      <c r="DD120" s="159"/>
      <c r="DE120" s="162"/>
      <c r="DF120" s="174"/>
      <c r="DG120" s="159"/>
      <c r="DH120" s="159"/>
      <c r="DI120" s="159"/>
      <c r="DJ120" s="159"/>
      <c r="DK120" s="159"/>
      <c r="DL120" s="162"/>
      <c r="DM120" s="170"/>
      <c r="DN120" s="159"/>
      <c r="DO120" s="159"/>
      <c r="DP120" s="159"/>
      <c r="DQ120" s="159"/>
      <c r="DR120" s="159"/>
      <c r="DS120" s="175"/>
    </row>
    <row r="121" spans="1:123" ht="14" outlineLevel="1">
      <c r="A121" s="297" t="s">
        <v>327</v>
      </c>
      <c r="B121" s="312"/>
      <c r="C121" s="307"/>
      <c r="D121" s="125"/>
      <c r="E121" s="107"/>
      <c r="F121" s="107"/>
      <c r="G121" s="107"/>
      <c r="H121" s="107"/>
      <c r="I121" s="107"/>
      <c r="J121" s="107"/>
      <c r="K121" s="107"/>
      <c r="L121" s="108"/>
      <c r="M121" s="109"/>
      <c r="N121" s="107"/>
      <c r="O121" s="107"/>
      <c r="P121" s="107"/>
      <c r="Q121" s="107"/>
      <c r="R121" s="107"/>
      <c r="S121" s="110"/>
      <c r="T121" s="109"/>
      <c r="U121" s="107"/>
      <c r="V121" s="107"/>
      <c r="W121" s="107"/>
      <c r="X121" s="107"/>
      <c r="Y121" s="163"/>
      <c r="Z121" s="164"/>
      <c r="AA121" s="165"/>
      <c r="AB121" s="163"/>
      <c r="AC121" s="163"/>
      <c r="AD121" s="163"/>
      <c r="AE121" s="163"/>
      <c r="AF121" s="163"/>
      <c r="AG121" s="164"/>
      <c r="AH121" s="166"/>
      <c r="AI121" s="167"/>
      <c r="AJ121" s="163"/>
      <c r="AK121" s="163"/>
      <c r="AL121" s="111"/>
      <c r="AM121" s="111"/>
      <c r="AN121" s="116"/>
      <c r="AO121" s="267"/>
      <c r="AP121" s="265"/>
      <c r="AQ121" s="265"/>
      <c r="AR121" s="265"/>
      <c r="AS121" s="265"/>
      <c r="AT121" s="265"/>
      <c r="AU121" s="268"/>
      <c r="AV121" s="267"/>
      <c r="AW121" s="265"/>
      <c r="AX121" s="265"/>
      <c r="AY121" s="265"/>
      <c r="AZ121" s="265"/>
      <c r="BA121" s="265"/>
      <c r="BB121" s="268"/>
      <c r="BC121" s="267"/>
      <c r="BD121" s="265"/>
      <c r="BE121" s="265"/>
      <c r="BF121" s="265"/>
      <c r="BG121" s="265"/>
      <c r="BH121" s="265"/>
      <c r="BI121" s="268"/>
      <c r="BJ121" s="267"/>
      <c r="BK121" s="265"/>
      <c r="BL121" s="265"/>
      <c r="BM121" s="160"/>
      <c r="BN121" s="169"/>
      <c r="BO121" s="265"/>
      <c r="BP121" s="268"/>
      <c r="BQ121" s="109"/>
      <c r="BR121" s="427"/>
      <c r="BS121" s="107"/>
      <c r="BT121" s="107"/>
      <c r="BU121" s="107"/>
      <c r="BV121" s="107"/>
      <c r="BW121" s="110"/>
      <c r="BX121" s="125"/>
      <c r="BY121" s="107"/>
      <c r="BZ121" s="107"/>
      <c r="CA121" s="107"/>
      <c r="CB121" s="159"/>
      <c r="CC121" s="225"/>
      <c r="CD121" s="226"/>
      <c r="CE121" s="224"/>
      <c r="CF121" s="225"/>
      <c r="CG121" s="225"/>
      <c r="CH121" s="225"/>
      <c r="CI121" s="225"/>
      <c r="CJ121" s="225"/>
      <c r="CK121" s="226"/>
      <c r="CL121" s="161"/>
      <c r="CM121" s="159"/>
      <c r="CN121" s="159"/>
      <c r="CO121" s="227"/>
      <c r="CP121" s="170"/>
      <c r="CQ121" s="159"/>
      <c r="CR121" s="162"/>
      <c r="CS121" s="161"/>
      <c r="CT121" s="159"/>
      <c r="CU121" s="159"/>
      <c r="CV121" s="159"/>
      <c r="CW121" s="159"/>
      <c r="CX121" s="159"/>
      <c r="CY121" s="161"/>
      <c r="CZ121" s="159"/>
      <c r="DA121" s="159"/>
      <c r="DB121" s="159"/>
      <c r="DC121" s="159"/>
      <c r="DD121" s="159"/>
      <c r="DE121" s="162"/>
      <c r="DF121" s="174"/>
      <c r="DG121" s="159"/>
      <c r="DH121" s="159"/>
      <c r="DI121" s="159"/>
      <c r="DJ121" s="159"/>
      <c r="DK121" s="159"/>
      <c r="DL121" s="162"/>
      <c r="DM121" s="170"/>
      <c r="DN121" s="159"/>
      <c r="DO121" s="159"/>
      <c r="DP121" s="159"/>
      <c r="DQ121" s="159"/>
      <c r="DR121" s="159"/>
      <c r="DS121" s="175"/>
    </row>
    <row r="122" spans="1:123" ht="14" outlineLevel="1">
      <c r="A122" s="281" t="s">
        <v>328</v>
      </c>
      <c r="B122" s="310" t="s">
        <v>27</v>
      </c>
      <c r="C122" s="293" t="s">
        <v>178</v>
      </c>
      <c r="D122" s="125"/>
      <c r="E122" s="107"/>
      <c r="F122" s="107"/>
      <c r="G122" s="107"/>
      <c r="H122" s="107"/>
      <c r="I122" s="107"/>
      <c r="J122" s="107"/>
      <c r="K122" s="107"/>
      <c r="L122" s="108"/>
      <c r="M122" s="109"/>
      <c r="N122" s="107"/>
      <c r="O122" s="107"/>
      <c r="P122" s="107"/>
      <c r="Q122" s="107"/>
      <c r="R122" s="107"/>
      <c r="S122" s="110"/>
      <c r="T122" s="109"/>
      <c r="U122" s="107"/>
      <c r="V122" s="107"/>
      <c r="W122" s="107"/>
      <c r="X122" s="107"/>
      <c r="Y122" s="163"/>
      <c r="Z122" s="164"/>
      <c r="AA122" s="165"/>
      <c r="AB122" s="163"/>
      <c r="AC122" s="163"/>
      <c r="AD122" s="163"/>
      <c r="AE122" s="163"/>
      <c r="AF122" s="163"/>
      <c r="AG122" s="164"/>
      <c r="AH122" s="166"/>
      <c r="AI122" s="167"/>
      <c r="AJ122" s="163"/>
      <c r="AK122" s="163"/>
      <c r="AL122" s="111"/>
      <c r="AM122" s="111"/>
      <c r="AN122" s="116"/>
      <c r="AO122" s="267"/>
      <c r="AP122" s="265"/>
      <c r="AQ122" s="265"/>
      <c r="AR122" s="265"/>
      <c r="AS122" s="265"/>
      <c r="AT122" s="265"/>
      <c r="AU122" s="268"/>
      <c r="AV122" s="267"/>
      <c r="AW122" s="265"/>
      <c r="AX122" s="265"/>
      <c r="AY122" s="265"/>
      <c r="AZ122" s="265"/>
      <c r="BA122" s="265"/>
      <c r="BB122" s="268"/>
      <c r="BC122" s="267"/>
      <c r="BD122" s="265"/>
      <c r="BE122" s="265"/>
      <c r="BF122" s="265"/>
      <c r="BG122" s="265"/>
      <c r="BH122" s="265"/>
      <c r="BI122" s="268"/>
      <c r="BJ122" s="120"/>
      <c r="BK122" s="121"/>
      <c r="BL122" s="121"/>
      <c r="BM122" s="385"/>
      <c r="BN122" s="384"/>
      <c r="BO122" s="121"/>
      <c r="BP122" s="142"/>
      <c r="BQ122" s="120"/>
      <c r="BR122" s="427"/>
      <c r="BS122" s="121"/>
      <c r="BT122" s="121"/>
      <c r="BU122" s="121"/>
      <c r="BV122" s="121"/>
      <c r="BW122" s="142"/>
      <c r="BX122" s="223"/>
      <c r="BY122" s="121"/>
      <c r="BZ122" s="107"/>
      <c r="CA122" s="107"/>
      <c r="CB122" s="159"/>
      <c r="CC122" s="225"/>
      <c r="CD122" s="226"/>
      <c r="CE122" s="224"/>
      <c r="CF122" s="225"/>
      <c r="CG122" s="225"/>
      <c r="CH122" s="225"/>
      <c r="CI122" s="225"/>
      <c r="CJ122" s="225"/>
      <c r="CK122" s="226"/>
      <c r="CL122" s="161"/>
      <c r="CM122" s="159"/>
      <c r="CN122" s="159"/>
      <c r="CO122" s="227"/>
      <c r="CP122" s="170"/>
      <c r="CQ122" s="159"/>
      <c r="CR122" s="162"/>
      <c r="CS122" s="161"/>
      <c r="CT122" s="159"/>
      <c r="CU122" s="159"/>
      <c r="CV122" s="159"/>
      <c r="CW122" s="159"/>
      <c r="CX122" s="159"/>
      <c r="CY122" s="161"/>
      <c r="CZ122" s="159"/>
      <c r="DA122" s="159"/>
      <c r="DB122" s="159"/>
      <c r="DC122" s="159"/>
      <c r="DD122" s="159"/>
      <c r="DE122" s="162"/>
      <c r="DF122" s="174"/>
      <c r="DG122" s="159"/>
      <c r="DH122" s="159"/>
      <c r="DI122" s="159"/>
      <c r="DJ122" s="159"/>
      <c r="DK122" s="159"/>
      <c r="DL122" s="162"/>
      <c r="DM122" s="170"/>
      <c r="DN122" s="159"/>
      <c r="DO122" s="159"/>
      <c r="DP122" s="159"/>
      <c r="DQ122" s="159"/>
      <c r="DR122" s="159"/>
      <c r="DS122" s="175"/>
    </row>
    <row r="123" spans="1:123" ht="14" outlineLevel="1">
      <c r="A123" s="281" t="s">
        <v>329</v>
      </c>
      <c r="B123" s="310" t="s">
        <v>27</v>
      </c>
      <c r="C123" s="293" t="s">
        <v>178</v>
      </c>
      <c r="D123" s="125"/>
      <c r="E123" s="107"/>
      <c r="F123" s="107"/>
      <c r="G123" s="107"/>
      <c r="H123" s="107"/>
      <c r="I123" s="107"/>
      <c r="J123" s="107"/>
      <c r="K123" s="107"/>
      <c r="L123" s="108"/>
      <c r="M123" s="109"/>
      <c r="N123" s="107"/>
      <c r="O123" s="107"/>
      <c r="P123" s="107"/>
      <c r="Q123" s="107"/>
      <c r="R123" s="107"/>
      <c r="S123" s="110"/>
      <c r="T123" s="109"/>
      <c r="U123" s="107"/>
      <c r="V123" s="107"/>
      <c r="W123" s="107"/>
      <c r="X123" s="107"/>
      <c r="Y123" s="163"/>
      <c r="Z123" s="164"/>
      <c r="AA123" s="165"/>
      <c r="AB123" s="163"/>
      <c r="AC123" s="163"/>
      <c r="AD123" s="163"/>
      <c r="AE123" s="163"/>
      <c r="AF123" s="163"/>
      <c r="AG123" s="164"/>
      <c r="AH123" s="166"/>
      <c r="AI123" s="167"/>
      <c r="AJ123" s="163"/>
      <c r="AK123" s="163"/>
      <c r="AL123" s="111"/>
      <c r="AM123" s="111"/>
      <c r="AN123" s="116"/>
      <c r="AO123" s="267"/>
      <c r="AP123" s="265"/>
      <c r="AQ123" s="265"/>
      <c r="AR123" s="265"/>
      <c r="AS123" s="265"/>
      <c r="AT123" s="265"/>
      <c r="AU123" s="268"/>
      <c r="AV123" s="267"/>
      <c r="AW123" s="265"/>
      <c r="AX123" s="265"/>
      <c r="AY123" s="265"/>
      <c r="AZ123" s="265"/>
      <c r="BA123" s="265"/>
      <c r="BB123" s="268"/>
      <c r="BC123" s="120"/>
      <c r="BD123" s="121"/>
      <c r="BE123" s="121"/>
      <c r="BF123" s="121"/>
      <c r="BG123" s="121"/>
      <c r="BH123" s="121"/>
      <c r="BI123" s="142"/>
      <c r="BJ123" s="120"/>
      <c r="BK123" s="121"/>
      <c r="BL123" s="121"/>
      <c r="BM123" s="385"/>
      <c r="BN123" s="384"/>
      <c r="BO123" s="121"/>
      <c r="BP123" s="142"/>
      <c r="BQ123" s="120"/>
      <c r="BR123" s="427"/>
      <c r="BS123" s="121"/>
      <c r="BT123" s="107"/>
      <c r="BU123" s="107"/>
      <c r="BV123" s="107"/>
      <c r="BW123" s="110"/>
      <c r="BX123" s="125"/>
      <c r="BY123" s="107"/>
      <c r="BZ123" s="107"/>
      <c r="CA123" s="107"/>
      <c r="CB123" s="159"/>
      <c r="CC123" s="225"/>
      <c r="CD123" s="226"/>
      <c r="CE123" s="224"/>
      <c r="CF123" s="225"/>
      <c r="CG123" s="225"/>
      <c r="CH123" s="225"/>
      <c r="CI123" s="225"/>
      <c r="CJ123" s="225"/>
      <c r="CK123" s="226"/>
      <c r="CL123" s="161"/>
      <c r="CM123" s="159"/>
      <c r="CN123" s="159"/>
      <c r="CO123" s="227"/>
      <c r="CP123" s="170"/>
      <c r="CQ123" s="159"/>
      <c r="CR123" s="162"/>
      <c r="CS123" s="161"/>
      <c r="CT123" s="159"/>
      <c r="CU123" s="159"/>
      <c r="CV123" s="159"/>
      <c r="CW123" s="159"/>
      <c r="CX123" s="159"/>
      <c r="CY123" s="161"/>
      <c r="CZ123" s="159"/>
      <c r="DA123" s="159"/>
      <c r="DB123" s="159"/>
      <c r="DC123" s="159"/>
      <c r="DD123" s="159"/>
      <c r="DE123" s="162"/>
      <c r="DF123" s="174"/>
      <c r="DG123" s="159"/>
      <c r="DH123" s="159"/>
      <c r="DI123" s="159"/>
      <c r="DJ123" s="159"/>
      <c r="DK123" s="159"/>
      <c r="DL123" s="162"/>
      <c r="DM123" s="170"/>
      <c r="DN123" s="159"/>
      <c r="DO123" s="159"/>
      <c r="DP123" s="159"/>
      <c r="DQ123" s="159"/>
      <c r="DR123" s="159"/>
      <c r="DS123" s="175"/>
    </row>
    <row r="124" spans="1:123" ht="14" outlineLevel="1">
      <c r="A124" s="281" t="s">
        <v>330</v>
      </c>
      <c r="B124" s="310" t="s">
        <v>27</v>
      </c>
      <c r="C124" s="294" t="s">
        <v>190</v>
      </c>
      <c r="D124" s="125"/>
      <c r="E124" s="107"/>
      <c r="F124" s="107"/>
      <c r="G124" s="107"/>
      <c r="H124" s="107"/>
      <c r="I124" s="107"/>
      <c r="J124" s="107"/>
      <c r="K124" s="107"/>
      <c r="L124" s="108"/>
      <c r="M124" s="109"/>
      <c r="N124" s="107"/>
      <c r="O124" s="107"/>
      <c r="P124" s="107"/>
      <c r="Q124" s="107"/>
      <c r="R124" s="107"/>
      <c r="S124" s="110"/>
      <c r="T124" s="109"/>
      <c r="U124" s="107"/>
      <c r="V124" s="107"/>
      <c r="W124" s="107"/>
      <c r="X124" s="107"/>
      <c r="Y124" s="163"/>
      <c r="Z124" s="164"/>
      <c r="AA124" s="165"/>
      <c r="AB124" s="163"/>
      <c r="AC124" s="163"/>
      <c r="AD124" s="163"/>
      <c r="AE124" s="163"/>
      <c r="AF124" s="163"/>
      <c r="AG124" s="164"/>
      <c r="AH124" s="166"/>
      <c r="AI124" s="167"/>
      <c r="AJ124" s="163"/>
      <c r="AK124" s="163"/>
      <c r="AL124" s="111"/>
      <c r="AM124" s="111"/>
      <c r="AN124" s="116"/>
      <c r="AO124" s="267"/>
      <c r="AP124" s="265"/>
      <c r="AQ124" s="265"/>
      <c r="AR124" s="265"/>
      <c r="AS124" s="265"/>
      <c r="AT124" s="265"/>
      <c r="AU124" s="268"/>
      <c r="AV124" s="267"/>
      <c r="AW124" s="265"/>
      <c r="AX124" s="265"/>
      <c r="AY124" s="265"/>
      <c r="AZ124" s="265"/>
      <c r="BA124" s="265"/>
      <c r="BB124" s="268"/>
      <c r="BC124" s="267"/>
      <c r="BD124" s="265"/>
      <c r="BE124" s="265"/>
      <c r="BF124" s="265"/>
      <c r="BG124" s="265"/>
      <c r="BH124" s="265"/>
      <c r="BI124" s="268"/>
      <c r="BJ124" s="267"/>
      <c r="BK124" s="265"/>
      <c r="BL124" s="265"/>
      <c r="BM124" s="160"/>
      <c r="BN124" s="169"/>
      <c r="BO124" s="265"/>
      <c r="BP124" s="268"/>
      <c r="BQ124" s="109"/>
      <c r="BR124" s="427"/>
      <c r="BS124" s="107"/>
      <c r="BT124" s="121"/>
      <c r="BU124" s="121"/>
      <c r="BV124" s="121"/>
      <c r="BW124" s="142"/>
      <c r="BX124" s="223"/>
      <c r="BY124" s="121"/>
      <c r="BZ124" s="121"/>
      <c r="CA124" s="121"/>
      <c r="CB124" s="159"/>
      <c r="CC124" s="225"/>
      <c r="CD124" s="226"/>
      <c r="CE124" s="224"/>
      <c r="CF124" s="225"/>
      <c r="CG124" s="225"/>
      <c r="CH124" s="225"/>
      <c r="CI124" s="225"/>
      <c r="CJ124" s="225"/>
      <c r="CK124" s="226"/>
      <c r="CL124" s="161"/>
      <c r="CM124" s="159"/>
      <c r="CN124" s="159"/>
      <c r="CO124" s="227"/>
      <c r="CP124" s="170"/>
      <c r="CQ124" s="159"/>
      <c r="CR124" s="162"/>
      <c r="CS124" s="161"/>
      <c r="CT124" s="159"/>
      <c r="CU124" s="159"/>
      <c r="CV124" s="159"/>
      <c r="CW124" s="159"/>
      <c r="CX124" s="159"/>
      <c r="CY124" s="161"/>
      <c r="CZ124" s="159"/>
      <c r="DA124" s="159"/>
      <c r="DB124" s="159"/>
      <c r="DC124" s="159"/>
      <c r="DD124" s="159"/>
      <c r="DE124" s="162"/>
      <c r="DF124" s="174"/>
      <c r="DG124" s="159"/>
      <c r="DH124" s="159"/>
      <c r="DI124" s="159"/>
      <c r="DJ124" s="159"/>
      <c r="DK124" s="159"/>
      <c r="DL124" s="162"/>
      <c r="DM124" s="170"/>
      <c r="DN124" s="159"/>
      <c r="DO124" s="159"/>
      <c r="DP124" s="159"/>
      <c r="DQ124" s="159"/>
      <c r="DR124" s="159"/>
      <c r="DS124" s="175"/>
    </row>
    <row r="125" spans="1:123" ht="14" outlineLevel="1">
      <c r="A125" s="281" t="s">
        <v>331</v>
      </c>
      <c r="B125" s="310" t="s">
        <v>27</v>
      </c>
      <c r="C125" s="293" t="s">
        <v>178</v>
      </c>
      <c r="D125" s="125"/>
      <c r="E125" s="107"/>
      <c r="F125" s="107"/>
      <c r="G125" s="107"/>
      <c r="H125" s="107"/>
      <c r="I125" s="107"/>
      <c r="J125" s="107"/>
      <c r="K125" s="107"/>
      <c r="L125" s="108"/>
      <c r="M125" s="109"/>
      <c r="N125" s="107"/>
      <c r="O125" s="107"/>
      <c r="P125" s="107"/>
      <c r="Q125" s="107"/>
      <c r="R125" s="107"/>
      <c r="S125" s="110"/>
      <c r="T125" s="109"/>
      <c r="U125" s="107"/>
      <c r="V125" s="107"/>
      <c r="W125" s="107"/>
      <c r="X125" s="107"/>
      <c r="Y125" s="163"/>
      <c r="Z125" s="164"/>
      <c r="AA125" s="165"/>
      <c r="AB125" s="163"/>
      <c r="AC125" s="163"/>
      <c r="AD125" s="163"/>
      <c r="AE125" s="163"/>
      <c r="AF125" s="163"/>
      <c r="AG125" s="164"/>
      <c r="AH125" s="166"/>
      <c r="AI125" s="167"/>
      <c r="AJ125" s="163"/>
      <c r="AK125" s="163"/>
      <c r="AL125" s="111"/>
      <c r="AM125" s="111"/>
      <c r="AN125" s="116"/>
      <c r="AO125" s="267"/>
      <c r="AP125" s="265"/>
      <c r="AQ125" s="265"/>
      <c r="AR125" s="265"/>
      <c r="AS125" s="265"/>
      <c r="AT125" s="265"/>
      <c r="AU125" s="268"/>
      <c r="AV125" s="267"/>
      <c r="AW125" s="265"/>
      <c r="AX125" s="265"/>
      <c r="AY125" s="265"/>
      <c r="AZ125" s="265"/>
      <c r="BA125" s="265"/>
      <c r="BB125" s="268"/>
      <c r="BC125" s="267"/>
      <c r="BD125" s="265"/>
      <c r="BE125" s="265"/>
      <c r="BF125" s="265"/>
      <c r="BG125" s="265"/>
      <c r="BH125" s="265"/>
      <c r="BI125" s="268"/>
      <c r="BJ125" s="267"/>
      <c r="BK125" s="265"/>
      <c r="BL125" s="265"/>
      <c r="BM125" s="160"/>
      <c r="BN125" s="169"/>
      <c r="BO125" s="265"/>
      <c r="BP125" s="268"/>
      <c r="BQ125" s="120"/>
      <c r="BR125" s="427"/>
      <c r="BS125" s="121"/>
      <c r="BT125" s="107"/>
      <c r="BU125" s="107"/>
      <c r="BV125" s="107"/>
      <c r="BW125" s="110"/>
      <c r="BX125" s="125"/>
      <c r="BY125" s="107"/>
      <c r="BZ125" s="107"/>
      <c r="CA125" s="107"/>
      <c r="CB125" s="159"/>
      <c r="CC125" s="225"/>
      <c r="CD125" s="226"/>
      <c r="CE125" s="224"/>
      <c r="CF125" s="225"/>
      <c r="CG125" s="225"/>
      <c r="CH125" s="225"/>
      <c r="CI125" s="225"/>
      <c r="CJ125" s="225"/>
      <c r="CK125" s="226"/>
      <c r="CL125" s="161"/>
      <c r="CM125" s="159"/>
      <c r="CN125" s="159"/>
      <c r="CO125" s="227"/>
      <c r="CP125" s="170"/>
      <c r="CQ125" s="159"/>
      <c r="CR125" s="162"/>
      <c r="CS125" s="161"/>
      <c r="CT125" s="159"/>
      <c r="CU125" s="159"/>
      <c r="CV125" s="159"/>
      <c r="CW125" s="159"/>
      <c r="CX125" s="159"/>
      <c r="CY125" s="161"/>
      <c r="CZ125" s="159"/>
      <c r="DA125" s="159"/>
      <c r="DB125" s="159"/>
      <c r="DC125" s="159"/>
      <c r="DD125" s="159"/>
      <c r="DE125" s="162"/>
      <c r="DF125" s="174"/>
      <c r="DG125" s="159"/>
      <c r="DH125" s="159"/>
      <c r="DI125" s="159"/>
      <c r="DJ125" s="159"/>
      <c r="DK125" s="159"/>
      <c r="DL125" s="162"/>
      <c r="DM125" s="170"/>
      <c r="DN125" s="159"/>
      <c r="DO125" s="159"/>
      <c r="DP125" s="159"/>
      <c r="DQ125" s="159"/>
      <c r="DR125" s="159"/>
      <c r="DS125" s="175"/>
    </row>
    <row r="126" spans="1:123" ht="14" outlineLevel="1">
      <c r="A126" s="281" t="s">
        <v>334</v>
      </c>
      <c r="B126" s="310" t="s">
        <v>27</v>
      </c>
      <c r="C126" s="294" t="s">
        <v>190</v>
      </c>
      <c r="D126" s="125"/>
      <c r="E126" s="107"/>
      <c r="F126" s="107"/>
      <c r="G126" s="107"/>
      <c r="H126" s="107"/>
      <c r="I126" s="107"/>
      <c r="J126" s="107"/>
      <c r="K126" s="107"/>
      <c r="L126" s="108"/>
      <c r="M126" s="109"/>
      <c r="N126" s="107"/>
      <c r="O126" s="107"/>
      <c r="P126" s="107"/>
      <c r="Q126" s="107"/>
      <c r="R126" s="107"/>
      <c r="S126" s="110"/>
      <c r="T126" s="109"/>
      <c r="U126" s="107"/>
      <c r="V126" s="107"/>
      <c r="W126" s="107"/>
      <c r="X126" s="107"/>
      <c r="Y126" s="163"/>
      <c r="Z126" s="164"/>
      <c r="AA126" s="165"/>
      <c r="AB126" s="163"/>
      <c r="AC126" s="163"/>
      <c r="AD126" s="163"/>
      <c r="AE126" s="163"/>
      <c r="AF126" s="163"/>
      <c r="AG126" s="164"/>
      <c r="AH126" s="166"/>
      <c r="AI126" s="167"/>
      <c r="AJ126" s="163"/>
      <c r="AK126" s="163"/>
      <c r="AL126" s="111"/>
      <c r="AM126" s="111"/>
      <c r="AN126" s="116"/>
      <c r="AO126" s="267"/>
      <c r="AP126" s="265"/>
      <c r="AQ126" s="265"/>
      <c r="AR126" s="265"/>
      <c r="AS126" s="265"/>
      <c r="AT126" s="265"/>
      <c r="AU126" s="268"/>
      <c r="AV126" s="267"/>
      <c r="AW126" s="265"/>
      <c r="AX126" s="265"/>
      <c r="AY126" s="265"/>
      <c r="AZ126" s="265"/>
      <c r="BA126" s="265"/>
      <c r="BB126" s="268"/>
      <c r="BC126" s="267"/>
      <c r="BD126" s="265"/>
      <c r="BE126" s="265"/>
      <c r="BF126" s="265"/>
      <c r="BG126" s="265"/>
      <c r="BH126" s="265"/>
      <c r="BI126" s="268"/>
      <c r="BJ126" s="267"/>
      <c r="BK126" s="265"/>
      <c r="BL126" s="265"/>
      <c r="BM126" s="160"/>
      <c r="BN126" s="169"/>
      <c r="BO126" s="265"/>
      <c r="BP126" s="268"/>
      <c r="BQ126" s="109"/>
      <c r="BR126" s="427"/>
      <c r="BS126" s="121"/>
      <c r="BT126" s="121"/>
      <c r="BU126" s="121"/>
      <c r="BV126" s="107"/>
      <c r="BW126" s="110"/>
      <c r="BX126" s="125"/>
      <c r="BY126" s="107"/>
      <c r="BZ126" s="107"/>
      <c r="CA126" s="107"/>
      <c r="CB126" s="159"/>
      <c r="CC126" s="225"/>
      <c r="CD126" s="226"/>
      <c r="CE126" s="224"/>
      <c r="CF126" s="225"/>
      <c r="CG126" s="225"/>
      <c r="CH126" s="225"/>
      <c r="CI126" s="225"/>
      <c r="CJ126" s="225"/>
      <c r="CK126" s="226"/>
      <c r="CL126" s="161"/>
      <c r="CM126" s="159"/>
      <c r="CN126" s="159"/>
      <c r="CO126" s="227"/>
      <c r="CP126" s="170"/>
      <c r="CQ126" s="159"/>
      <c r="CR126" s="162"/>
      <c r="CS126" s="161"/>
      <c r="CT126" s="159"/>
      <c r="CU126" s="159"/>
      <c r="CV126" s="159"/>
      <c r="CW126" s="159"/>
      <c r="CX126" s="159"/>
      <c r="CY126" s="161"/>
      <c r="CZ126" s="159"/>
      <c r="DA126" s="159"/>
      <c r="DB126" s="159"/>
      <c r="DC126" s="159"/>
      <c r="DD126" s="159"/>
      <c r="DE126" s="162"/>
      <c r="DF126" s="174"/>
      <c r="DG126" s="159"/>
      <c r="DH126" s="159"/>
      <c r="DI126" s="159"/>
      <c r="DJ126" s="159"/>
      <c r="DK126" s="159"/>
      <c r="DL126" s="162"/>
      <c r="DM126" s="170"/>
      <c r="DN126" s="159"/>
      <c r="DO126" s="159"/>
      <c r="DP126" s="159"/>
      <c r="DQ126" s="159"/>
      <c r="DR126" s="159"/>
      <c r="DS126" s="175"/>
    </row>
    <row r="127" spans="1:123" ht="14" outlineLevel="1">
      <c r="A127" s="281" t="s">
        <v>343</v>
      </c>
      <c r="B127" s="310" t="s">
        <v>27</v>
      </c>
      <c r="C127" s="294" t="s">
        <v>190</v>
      </c>
      <c r="D127" s="125"/>
      <c r="E127" s="107"/>
      <c r="F127" s="107"/>
      <c r="G127" s="107"/>
      <c r="H127" s="107"/>
      <c r="I127" s="107"/>
      <c r="J127" s="107"/>
      <c r="K127" s="107"/>
      <c r="L127" s="108"/>
      <c r="M127" s="109"/>
      <c r="N127" s="107"/>
      <c r="O127" s="107"/>
      <c r="P127" s="107"/>
      <c r="Q127" s="107"/>
      <c r="R127" s="107"/>
      <c r="S127" s="110"/>
      <c r="T127" s="109"/>
      <c r="U127" s="107"/>
      <c r="V127" s="107"/>
      <c r="W127" s="107"/>
      <c r="X127" s="107"/>
      <c r="Y127" s="163"/>
      <c r="Z127" s="164"/>
      <c r="AA127" s="165"/>
      <c r="AB127" s="163"/>
      <c r="AC127" s="163"/>
      <c r="AD127" s="163"/>
      <c r="AE127" s="163"/>
      <c r="AF127" s="163"/>
      <c r="AG127" s="164"/>
      <c r="AH127" s="166"/>
      <c r="AI127" s="167"/>
      <c r="AJ127" s="163"/>
      <c r="AK127" s="163"/>
      <c r="AL127" s="111"/>
      <c r="AM127" s="111"/>
      <c r="AN127" s="116"/>
      <c r="AO127" s="267"/>
      <c r="AP127" s="265"/>
      <c r="AQ127" s="265"/>
      <c r="AR127" s="265"/>
      <c r="AS127" s="265"/>
      <c r="AT127" s="265"/>
      <c r="AU127" s="268"/>
      <c r="AV127" s="267"/>
      <c r="AW127" s="265"/>
      <c r="AX127" s="265"/>
      <c r="AY127" s="265"/>
      <c r="AZ127" s="265"/>
      <c r="BA127" s="265"/>
      <c r="BB127" s="268"/>
      <c r="BC127" s="267"/>
      <c r="BD127" s="265"/>
      <c r="BE127" s="265"/>
      <c r="BF127" s="265"/>
      <c r="BG127" s="265"/>
      <c r="BH127" s="265"/>
      <c r="BI127" s="268"/>
      <c r="BJ127" s="267"/>
      <c r="BK127" s="265"/>
      <c r="BL127" s="265"/>
      <c r="BM127" s="160"/>
      <c r="BN127" s="169"/>
      <c r="BO127" s="265"/>
      <c r="BP127" s="268"/>
      <c r="BQ127" s="109"/>
      <c r="BR127" s="427"/>
      <c r="BS127" s="121"/>
      <c r="BT127" s="121"/>
      <c r="BU127" s="121"/>
      <c r="BV127" s="121"/>
      <c r="BW127" s="142"/>
      <c r="BX127" s="223"/>
      <c r="BY127" s="121"/>
      <c r="BZ127" s="121"/>
      <c r="CA127" s="121"/>
      <c r="CB127" s="159"/>
      <c r="CC127" s="225"/>
      <c r="CD127" s="226"/>
      <c r="CE127" s="224"/>
      <c r="CF127" s="225"/>
      <c r="CG127" s="225"/>
      <c r="CH127" s="225"/>
      <c r="CI127" s="225"/>
      <c r="CJ127" s="225"/>
      <c r="CK127" s="226"/>
      <c r="CL127" s="161"/>
      <c r="CM127" s="159"/>
      <c r="CN127" s="159"/>
      <c r="CO127" s="227"/>
      <c r="CP127" s="170"/>
      <c r="CQ127" s="159"/>
      <c r="CR127" s="162"/>
      <c r="CS127" s="161"/>
      <c r="CT127" s="159"/>
      <c r="CU127" s="159"/>
      <c r="CV127" s="159"/>
      <c r="CW127" s="159"/>
      <c r="CX127" s="159"/>
      <c r="CY127" s="161"/>
      <c r="CZ127" s="159"/>
      <c r="DA127" s="159"/>
      <c r="DB127" s="159"/>
      <c r="DC127" s="159"/>
      <c r="DD127" s="159"/>
      <c r="DE127" s="162"/>
      <c r="DF127" s="174"/>
      <c r="DG127" s="159"/>
      <c r="DH127" s="159"/>
      <c r="DI127" s="159"/>
      <c r="DJ127" s="159"/>
      <c r="DK127" s="159"/>
      <c r="DL127" s="162"/>
      <c r="DM127" s="170"/>
      <c r="DN127" s="159"/>
      <c r="DO127" s="159"/>
      <c r="DP127" s="159"/>
      <c r="DQ127" s="159"/>
      <c r="DR127" s="159"/>
      <c r="DS127" s="175"/>
    </row>
    <row r="128" spans="1:123" ht="14" outlineLevel="1">
      <c r="A128" s="281" t="s">
        <v>344</v>
      </c>
      <c r="B128" s="310" t="s">
        <v>27</v>
      </c>
      <c r="C128" s="294" t="s">
        <v>190</v>
      </c>
      <c r="D128" s="125"/>
      <c r="E128" s="107"/>
      <c r="F128" s="107"/>
      <c r="G128" s="107"/>
      <c r="H128" s="107"/>
      <c r="I128" s="107"/>
      <c r="J128" s="107"/>
      <c r="K128" s="107"/>
      <c r="L128" s="108"/>
      <c r="M128" s="109"/>
      <c r="N128" s="107"/>
      <c r="O128" s="107"/>
      <c r="P128" s="107"/>
      <c r="Q128" s="107"/>
      <c r="R128" s="107"/>
      <c r="S128" s="110"/>
      <c r="T128" s="109"/>
      <c r="U128" s="107"/>
      <c r="V128" s="107"/>
      <c r="W128" s="107"/>
      <c r="X128" s="107"/>
      <c r="Y128" s="163"/>
      <c r="Z128" s="164"/>
      <c r="AA128" s="165"/>
      <c r="AB128" s="163"/>
      <c r="AC128" s="163"/>
      <c r="AD128" s="163"/>
      <c r="AE128" s="163"/>
      <c r="AF128" s="163"/>
      <c r="AG128" s="164"/>
      <c r="AH128" s="166"/>
      <c r="AI128" s="167"/>
      <c r="AJ128" s="163"/>
      <c r="AK128" s="163"/>
      <c r="AL128" s="111"/>
      <c r="AM128" s="111"/>
      <c r="AN128" s="116"/>
      <c r="AO128" s="267"/>
      <c r="AP128" s="265"/>
      <c r="AQ128" s="265"/>
      <c r="AR128" s="265"/>
      <c r="AS128" s="265"/>
      <c r="AT128" s="265"/>
      <c r="AU128" s="268"/>
      <c r="AV128" s="267"/>
      <c r="AW128" s="265"/>
      <c r="AX128" s="265"/>
      <c r="AY128" s="265"/>
      <c r="AZ128" s="265"/>
      <c r="BA128" s="265"/>
      <c r="BB128" s="268"/>
      <c r="BC128" s="267"/>
      <c r="BD128" s="265"/>
      <c r="BE128" s="265"/>
      <c r="BF128" s="265"/>
      <c r="BG128" s="265"/>
      <c r="BH128" s="265"/>
      <c r="BI128" s="268"/>
      <c r="BJ128" s="267"/>
      <c r="BK128" s="265"/>
      <c r="BL128" s="265"/>
      <c r="BM128" s="160"/>
      <c r="BN128" s="169"/>
      <c r="BO128" s="265"/>
      <c r="BP128" s="268"/>
      <c r="BQ128" s="109"/>
      <c r="BR128" s="427"/>
      <c r="BS128" s="121"/>
      <c r="BT128" s="121"/>
      <c r="BU128" s="121"/>
      <c r="BV128" s="121"/>
      <c r="BW128" s="142"/>
      <c r="BX128" s="223"/>
      <c r="BY128" s="121"/>
      <c r="BZ128" s="121"/>
      <c r="CA128" s="121"/>
      <c r="CB128" s="159"/>
      <c r="CC128" s="225"/>
      <c r="CD128" s="226"/>
      <c r="CE128" s="224"/>
      <c r="CF128" s="225"/>
      <c r="CG128" s="225"/>
      <c r="CH128" s="225"/>
      <c r="CI128" s="225"/>
      <c r="CJ128" s="225"/>
      <c r="CK128" s="226"/>
      <c r="CL128" s="161"/>
      <c r="CM128" s="159"/>
      <c r="CN128" s="159"/>
      <c r="CO128" s="227"/>
      <c r="CP128" s="170"/>
      <c r="CQ128" s="159"/>
      <c r="CR128" s="162"/>
      <c r="CS128" s="161"/>
      <c r="CT128" s="159"/>
      <c r="CU128" s="159"/>
      <c r="CV128" s="159"/>
      <c r="CW128" s="159"/>
      <c r="CX128" s="159"/>
      <c r="CY128" s="161"/>
      <c r="CZ128" s="159"/>
      <c r="DA128" s="159"/>
      <c r="DB128" s="159"/>
      <c r="DC128" s="159"/>
      <c r="DD128" s="159"/>
      <c r="DE128" s="162"/>
      <c r="DF128" s="174"/>
      <c r="DG128" s="159"/>
      <c r="DH128" s="159"/>
      <c r="DI128" s="159"/>
      <c r="DJ128" s="159"/>
      <c r="DK128" s="159"/>
      <c r="DL128" s="162"/>
      <c r="DM128" s="170"/>
      <c r="DN128" s="159"/>
      <c r="DO128" s="159"/>
      <c r="DP128" s="159"/>
      <c r="DQ128" s="159"/>
      <c r="DR128" s="159"/>
      <c r="DS128" s="175"/>
    </row>
    <row r="129" spans="1:123" ht="14" outlineLevel="1">
      <c r="A129" s="281" t="s">
        <v>332</v>
      </c>
      <c r="B129" s="310" t="s">
        <v>27</v>
      </c>
      <c r="C129" s="455" t="s">
        <v>190</v>
      </c>
      <c r="D129" s="125"/>
      <c r="E129" s="107"/>
      <c r="F129" s="107"/>
      <c r="G129" s="107"/>
      <c r="H129" s="107"/>
      <c r="I129" s="107"/>
      <c r="J129" s="107"/>
      <c r="K129" s="107"/>
      <c r="L129" s="108"/>
      <c r="M129" s="109"/>
      <c r="N129" s="107"/>
      <c r="O129" s="107"/>
      <c r="P129" s="107"/>
      <c r="Q129" s="107"/>
      <c r="R129" s="107"/>
      <c r="S129" s="110"/>
      <c r="T129" s="109"/>
      <c r="U129" s="107"/>
      <c r="V129" s="107"/>
      <c r="W129" s="107"/>
      <c r="X129" s="107"/>
      <c r="Y129" s="163"/>
      <c r="Z129" s="164"/>
      <c r="AA129" s="165"/>
      <c r="AB129" s="163"/>
      <c r="AC129" s="163"/>
      <c r="AD129" s="163"/>
      <c r="AE129" s="163"/>
      <c r="AF129" s="163"/>
      <c r="AG129" s="164"/>
      <c r="AH129" s="166"/>
      <c r="AI129" s="167"/>
      <c r="AJ129" s="163"/>
      <c r="AK129" s="163"/>
      <c r="AL129" s="111"/>
      <c r="AM129" s="111"/>
      <c r="AN129" s="116"/>
      <c r="AO129" s="267"/>
      <c r="AP129" s="265"/>
      <c r="AQ129" s="265"/>
      <c r="AR129" s="265"/>
      <c r="AS129" s="265"/>
      <c r="AT129" s="265"/>
      <c r="AU129" s="268"/>
      <c r="AV129" s="267"/>
      <c r="AW129" s="265"/>
      <c r="AX129" s="265"/>
      <c r="AY129" s="265"/>
      <c r="AZ129" s="265"/>
      <c r="BA129" s="265"/>
      <c r="BB129" s="268"/>
      <c r="BC129" s="267"/>
      <c r="BD129" s="265"/>
      <c r="BE129" s="265"/>
      <c r="BF129" s="265"/>
      <c r="BG129" s="265"/>
      <c r="BH129" s="265"/>
      <c r="BI129" s="268"/>
      <c r="BJ129" s="267"/>
      <c r="BK129" s="265"/>
      <c r="BL129" s="265"/>
      <c r="BM129" s="160"/>
      <c r="BN129" s="169"/>
      <c r="BO129" s="265"/>
      <c r="BP129" s="268"/>
      <c r="BQ129" s="109"/>
      <c r="BR129" s="427"/>
      <c r="BS129" s="107"/>
      <c r="BT129" s="107"/>
      <c r="BU129" s="107"/>
      <c r="BV129" s="107"/>
      <c r="BW129" s="110"/>
      <c r="BX129" s="223"/>
      <c r="BY129" s="121"/>
      <c r="BZ129" s="121"/>
      <c r="CA129" s="107"/>
      <c r="CB129" s="159"/>
      <c r="CC129" s="225"/>
      <c r="CD129" s="226"/>
      <c r="CE129" s="224"/>
      <c r="CF129" s="225"/>
      <c r="CG129" s="225"/>
      <c r="CH129" s="225"/>
      <c r="CI129" s="225"/>
      <c r="CJ129" s="225"/>
      <c r="CK129" s="226"/>
      <c r="CL129" s="161"/>
      <c r="CM129" s="159"/>
      <c r="CN129" s="159"/>
      <c r="CO129" s="227"/>
      <c r="CP129" s="170"/>
      <c r="CQ129" s="159"/>
      <c r="CR129" s="162"/>
      <c r="CS129" s="161"/>
      <c r="CT129" s="159"/>
      <c r="CU129" s="159"/>
      <c r="CV129" s="159"/>
      <c r="CW129" s="159"/>
      <c r="CX129" s="159"/>
      <c r="CY129" s="161"/>
      <c r="CZ129" s="159"/>
      <c r="DA129" s="159"/>
      <c r="DB129" s="159"/>
      <c r="DC129" s="159"/>
      <c r="DD129" s="159"/>
      <c r="DE129" s="162"/>
      <c r="DF129" s="174"/>
      <c r="DG129" s="159"/>
      <c r="DH129" s="159"/>
      <c r="DI129" s="159"/>
      <c r="DJ129" s="159"/>
      <c r="DK129" s="159"/>
      <c r="DL129" s="162"/>
      <c r="DM129" s="170"/>
      <c r="DN129" s="159"/>
      <c r="DO129" s="159"/>
      <c r="DP129" s="159"/>
      <c r="DQ129" s="159"/>
      <c r="DR129" s="159"/>
      <c r="DS129" s="175"/>
    </row>
    <row r="130" spans="1:123" ht="14.5" outlineLevel="1" thickBot="1">
      <c r="A130" s="281" t="s">
        <v>333</v>
      </c>
      <c r="B130" s="310" t="s">
        <v>27</v>
      </c>
      <c r="C130" s="455" t="s">
        <v>190</v>
      </c>
      <c r="D130" s="125"/>
      <c r="E130" s="107"/>
      <c r="F130" s="107"/>
      <c r="G130" s="107"/>
      <c r="H130" s="107"/>
      <c r="I130" s="107"/>
      <c r="J130" s="107"/>
      <c r="K130" s="107"/>
      <c r="L130" s="108"/>
      <c r="M130" s="109"/>
      <c r="N130" s="107"/>
      <c r="O130" s="107"/>
      <c r="P130" s="107"/>
      <c r="Q130" s="107"/>
      <c r="R130" s="107"/>
      <c r="S130" s="110"/>
      <c r="T130" s="109"/>
      <c r="U130" s="107"/>
      <c r="V130" s="107"/>
      <c r="W130" s="107"/>
      <c r="X130" s="107"/>
      <c r="Y130" s="163"/>
      <c r="Z130" s="164"/>
      <c r="AA130" s="165"/>
      <c r="AB130" s="163"/>
      <c r="AC130" s="163"/>
      <c r="AD130" s="163"/>
      <c r="AE130" s="163"/>
      <c r="AF130" s="163"/>
      <c r="AG130" s="164"/>
      <c r="AH130" s="166"/>
      <c r="AI130" s="167"/>
      <c r="AJ130" s="163"/>
      <c r="AK130" s="163"/>
      <c r="AL130" s="111"/>
      <c r="AM130" s="111"/>
      <c r="AN130" s="116"/>
      <c r="AO130" s="267"/>
      <c r="AP130" s="265"/>
      <c r="AQ130" s="265"/>
      <c r="AR130" s="265"/>
      <c r="AS130" s="265"/>
      <c r="AT130" s="265"/>
      <c r="AU130" s="268"/>
      <c r="AV130" s="267"/>
      <c r="AW130" s="265"/>
      <c r="AX130" s="265"/>
      <c r="AY130" s="265"/>
      <c r="AZ130" s="265"/>
      <c r="BA130" s="265"/>
      <c r="BB130" s="268"/>
      <c r="BC130" s="267"/>
      <c r="BD130" s="265"/>
      <c r="BE130" s="265"/>
      <c r="BF130" s="265"/>
      <c r="BG130" s="265"/>
      <c r="BH130" s="265"/>
      <c r="BI130" s="268"/>
      <c r="BJ130" s="267"/>
      <c r="BK130" s="265"/>
      <c r="BL130" s="265"/>
      <c r="BM130" s="160"/>
      <c r="BN130" s="169"/>
      <c r="BO130" s="265"/>
      <c r="BP130" s="268"/>
      <c r="BQ130" s="109"/>
      <c r="BR130" s="427"/>
      <c r="BS130" s="107"/>
      <c r="BT130" s="107"/>
      <c r="BU130" s="107"/>
      <c r="BV130" s="107"/>
      <c r="BW130" s="110"/>
      <c r="BX130" s="125"/>
      <c r="BY130" s="107"/>
      <c r="BZ130" s="121"/>
      <c r="CA130" s="121"/>
      <c r="CB130" s="159"/>
      <c r="CC130" s="225"/>
      <c r="CD130" s="226"/>
      <c r="CE130" s="224"/>
      <c r="CF130" s="225"/>
      <c r="CG130" s="225"/>
      <c r="CH130" s="225"/>
      <c r="CI130" s="225"/>
      <c r="CJ130" s="225"/>
      <c r="CK130" s="226"/>
      <c r="CL130" s="161"/>
      <c r="CM130" s="159"/>
      <c r="CN130" s="159"/>
      <c r="CO130" s="227"/>
      <c r="CP130" s="170"/>
      <c r="CQ130" s="159"/>
      <c r="CR130" s="162"/>
      <c r="CS130" s="161"/>
      <c r="CT130" s="159"/>
      <c r="CU130" s="159"/>
      <c r="CV130" s="159"/>
      <c r="CW130" s="159"/>
      <c r="CX130" s="159"/>
      <c r="CY130" s="161"/>
      <c r="CZ130" s="159"/>
      <c r="DA130" s="159"/>
      <c r="DB130" s="159"/>
      <c r="DC130" s="159"/>
      <c r="DD130" s="159"/>
      <c r="DE130" s="162"/>
      <c r="DF130" s="174"/>
      <c r="DG130" s="159"/>
      <c r="DH130" s="159"/>
      <c r="DI130" s="159"/>
      <c r="DJ130" s="159"/>
      <c r="DK130" s="159"/>
      <c r="DL130" s="162"/>
      <c r="DM130" s="170"/>
      <c r="DN130" s="159"/>
      <c r="DO130" s="159"/>
      <c r="DP130" s="159"/>
      <c r="DQ130" s="159"/>
      <c r="DR130" s="159"/>
      <c r="DS130" s="175"/>
    </row>
    <row r="131" spans="1:123" ht="14" outlineLevel="1">
      <c r="A131" s="297" t="s">
        <v>346</v>
      </c>
      <c r="B131" s="312"/>
      <c r="C131" s="307"/>
      <c r="D131" s="264"/>
      <c r="E131" s="265"/>
      <c r="F131" s="265"/>
      <c r="G131" s="265"/>
      <c r="H131" s="265"/>
      <c r="I131" s="265"/>
      <c r="J131" s="265"/>
      <c r="K131" s="265"/>
      <c r="L131" s="266"/>
      <c r="M131" s="267"/>
      <c r="N131" s="265"/>
      <c r="O131" s="265"/>
      <c r="P131" s="265"/>
      <c r="Q131" s="265"/>
      <c r="R131" s="265"/>
      <c r="S131" s="268"/>
      <c r="T131" s="267"/>
      <c r="U131" s="265"/>
      <c r="V131" s="265"/>
      <c r="W131" s="265"/>
      <c r="X131" s="265"/>
      <c r="Y131" s="132"/>
      <c r="Z131" s="133"/>
      <c r="AA131" s="134"/>
      <c r="AB131" s="132"/>
      <c r="AC131" s="132"/>
      <c r="AD131" s="132"/>
      <c r="AE131" s="132"/>
      <c r="AF131" s="132"/>
      <c r="AG131" s="133"/>
      <c r="AH131" s="135"/>
      <c r="AI131" s="136"/>
      <c r="AJ131" s="132"/>
      <c r="AK131" s="132"/>
      <c r="AL131" s="132"/>
      <c r="AM131" s="132"/>
      <c r="AN131" s="137"/>
      <c r="AO131" s="267"/>
      <c r="AP131" s="265"/>
      <c r="AQ131" s="265"/>
      <c r="AR131" s="265"/>
      <c r="AS131" s="265"/>
      <c r="AT131" s="265"/>
      <c r="AU131" s="268"/>
      <c r="AV131" s="267"/>
      <c r="AW131" s="265"/>
      <c r="AX131" s="265"/>
      <c r="AY131" s="265"/>
      <c r="AZ131" s="265"/>
      <c r="BA131" s="265"/>
      <c r="BB131" s="268"/>
      <c r="BC131" s="267"/>
      <c r="BD131" s="265"/>
      <c r="BE131" s="265"/>
      <c r="BF131" s="265"/>
      <c r="BG131" s="265"/>
      <c r="BH131" s="265"/>
      <c r="BI131" s="268"/>
      <c r="BJ131" s="267"/>
      <c r="BK131" s="265"/>
      <c r="BL131" s="265"/>
      <c r="BM131" s="160"/>
      <c r="BN131" s="169"/>
      <c r="BO131" s="265"/>
      <c r="BP131" s="268"/>
      <c r="BQ131" s="161"/>
      <c r="BR131" s="428"/>
      <c r="BS131" s="159"/>
      <c r="BT131" s="159"/>
      <c r="BU131" s="159"/>
      <c r="BV131" s="159"/>
      <c r="BW131" s="162"/>
      <c r="BX131" s="170"/>
      <c r="BY131" s="159"/>
      <c r="BZ131" s="159"/>
      <c r="CA131" s="159"/>
      <c r="CB131" s="159"/>
      <c r="CC131" s="171"/>
      <c r="CD131" s="172"/>
      <c r="CE131" s="173"/>
      <c r="CF131" s="171"/>
      <c r="CG131" s="171"/>
      <c r="CH131" s="171"/>
      <c r="CI131" s="171"/>
      <c r="CJ131" s="171"/>
      <c r="CK131" s="172"/>
      <c r="CL131" s="161"/>
      <c r="CM131" s="159"/>
      <c r="CN131" s="159"/>
      <c r="CO131" s="227"/>
      <c r="CP131" s="170"/>
      <c r="CQ131" s="159"/>
      <c r="CR131" s="162"/>
      <c r="CS131" s="161"/>
      <c r="CT131" s="159"/>
      <c r="CU131" s="159"/>
      <c r="CV131" s="159"/>
      <c r="CW131" s="159"/>
      <c r="CX131" s="159"/>
      <c r="CY131" s="161"/>
      <c r="CZ131" s="159"/>
      <c r="DA131" s="159"/>
      <c r="DB131" s="159"/>
      <c r="DC131" s="159"/>
      <c r="DD131" s="159"/>
      <c r="DE131" s="162"/>
      <c r="DF131" s="174"/>
      <c r="DG131" s="159"/>
      <c r="DH131" s="159"/>
      <c r="DI131" s="159"/>
      <c r="DJ131" s="159"/>
      <c r="DK131" s="159"/>
      <c r="DL131" s="162"/>
      <c r="DM131" s="170"/>
      <c r="DN131" s="159"/>
      <c r="DO131" s="159"/>
      <c r="DP131" s="159"/>
      <c r="DQ131" s="159"/>
      <c r="DR131" s="159"/>
      <c r="DS131" s="175"/>
    </row>
    <row r="132" spans="1:123" ht="14" outlineLevel="1">
      <c r="A132" s="298" t="s">
        <v>347</v>
      </c>
      <c r="B132" s="313" t="s">
        <v>5</v>
      </c>
      <c r="C132" s="296" t="s">
        <v>178</v>
      </c>
      <c r="D132" s="264"/>
      <c r="E132" s="265"/>
      <c r="F132" s="265"/>
      <c r="G132" s="265"/>
      <c r="H132" s="265"/>
      <c r="I132" s="265"/>
      <c r="J132" s="265"/>
      <c r="K132" s="265"/>
      <c r="L132" s="266"/>
      <c r="M132" s="267"/>
      <c r="N132" s="265"/>
      <c r="O132" s="265"/>
      <c r="P132" s="265"/>
      <c r="Q132" s="265"/>
      <c r="R132" s="265"/>
      <c r="S132" s="268"/>
      <c r="T132" s="267"/>
      <c r="U132" s="265"/>
      <c r="V132" s="265"/>
      <c r="W132" s="265"/>
      <c r="X132" s="265"/>
      <c r="Y132" s="111"/>
      <c r="Z132" s="112"/>
      <c r="AA132" s="113"/>
      <c r="AB132" s="111"/>
      <c r="AC132" s="111"/>
      <c r="AD132" s="111"/>
      <c r="AE132" s="111"/>
      <c r="AF132" s="111"/>
      <c r="AG132" s="112"/>
      <c r="AH132" s="114"/>
      <c r="AI132" s="115"/>
      <c r="AJ132" s="111"/>
      <c r="AK132" s="111"/>
      <c r="AL132" s="111"/>
      <c r="AM132" s="111"/>
      <c r="AN132" s="116"/>
      <c r="AO132" s="267"/>
      <c r="AP132" s="265"/>
      <c r="AQ132" s="265"/>
      <c r="AR132" s="265"/>
      <c r="AS132" s="265"/>
      <c r="AT132" s="265"/>
      <c r="AU132" s="268"/>
      <c r="AV132" s="267"/>
      <c r="AW132" s="265"/>
      <c r="AX132" s="265"/>
      <c r="AY132" s="265"/>
      <c r="AZ132" s="265"/>
      <c r="BA132" s="265"/>
      <c r="BB132" s="268"/>
      <c r="BC132" s="267"/>
      <c r="BD132" s="265"/>
      <c r="BE132" s="265"/>
      <c r="BF132" s="265"/>
      <c r="BG132" s="265"/>
      <c r="BH132" s="265"/>
      <c r="BI132" s="268"/>
      <c r="BJ132" s="267"/>
      <c r="BK132" s="265"/>
      <c r="BL132" s="265"/>
      <c r="BM132" s="160"/>
      <c r="BN132" s="169"/>
      <c r="BO132" s="265"/>
      <c r="BP132" s="268"/>
      <c r="BQ132" s="161"/>
      <c r="BR132" s="428"/>
      <c r="BS132" s="159"/>
      <c r="BT132" s="159"/>
      <c r="BU132" s="159"/>
      <c r="BV132" s="159"/>
      <c r="BW132" s="162"/>
      <c r="BX132" s="215"/>
      <c r="BY132" s="159"/>
      <c r="BZ132" s="159"/>
      <c r="CA132" s="159"/>
      <c r="CB132" s="159"/>
      <c r="CC132" s="225"/>
      <c r="CD132" s="226"/>
      <c r="CE132" s="224"/>
      <c r="CF132" s="225"/>
      <c r="CG132" s="225"/>
      <c r="CH132" s="225"/>
      <c r="CI132" s="225"/>
      <c r="CJ132" s="225"/>
      <c r="CK132" s="226"/>
      <c r="CL132" s="161"/>
      <c r="CM132" s="159"/>
      <c r="CN132" s="159"/>
      <c r="CO132" s="227"/>
      <c r="CP132" s="170"/>
      <c r="CQ132" s="159"/>
      <c r="CR132" s="162"/>
      <c r="CS132" s="161"/>
      <c r="CT132" s="159"/>
      <c r="CU132" s="159"/>
      <c r="CV132" s="159"/>
      <c r="CW132" s="159"/>
      <c r="CX132" s="159"/>
      <c r="CY132" s="161"/>
      <c r="CZ132" s="159"/>
      <c r="DA132" s="159"/>
      <c r="DB132" s="159"/>
      <c r="DC132" s="159"/>
      <c r="DD132" s="159"/>
      <c r="DE132" s="162"/>
      <c r="DF132" s="174"/>
      <c r="DG132" s="159"/>
      <c r="DH132" s="159"/>
      <c r="DI132" s="159"/>
      <c r="DJ132" s="159"/>
      <c r="DK132" s="159"/>
      <c r="DL132" s="162"/>
      <c r="DM132" s="170"/>
      <c r="DN132" s="159"/>
      <c r="DO132" s="159"/>
      <c r="DP132" s="159"/>
      <c r="DQ132" s="159"/>
      <c r="DR132" s="159"/>
      <c r="DS132" s="175"/>
    </row>
    <row r="133" spans="1:123" ht="14" outlineLevel="1">
      <c r="A133" s="281" t="s">
        <v>348</v>
      </c>
      <c r="B133" s="418" t="s">
        <v>61</v>
      </c>
      <c r="C133" s="293" t="s">
        <v>178</v>
      </c>
      <c r="D133" s="264"/>
      <c r="E133" s="265"/>
      <c r="F133" s="265"/>
      <c r="G133" s="265"/>
      <c r="H133" s="265"/>
      <c r="I133" s="265"/>
      <c r="J133" s="265"/>
      <c r="K133" s="265"/>
      <c r="L133" s="266"/>
      <c r="M133" s="267"/>
      <c r="N133" s="265"/>
      <c r="O133" s="265"/>
      <c r="P133" s="265"/>
      <c r="Q133" s="265"/>
      <c r="R133" s="265"/>
      <c r="S133" s="268"/>
      <c r="T133" s="267"/>
      <c r="U133" s="265"/>
      <c r="V133" s="265"/>
      <c r="W133" s="265"/>
      <c r="X133" s="265"/>
      <c r="Y133" s="111"/>
      <c r="Z133" s="112"/>
      <c r="AA133" s="113"/>
      <c r="AB133" s="111"/>
      <c r="AC133" s="111"/>
      <c r="AD133" s="111"/>
      <c r="AE133" s="111"/>
      <c r="AF133" s="111"/>
      <c r="AG133" s="112"/>
      <c r="AH133" s="114"/>
      <c r="AI133" s="115"/>
      <c r="AJ133" s="111"/>
      <c r="AK133" s="111"/>
      <c r="AL133" s="111"/>
      <c r="AM133" s="111"/>
      <c r="AN133" s="116"/>
      <c r="AO133" s="267"/>
      <c r="AP133" s="265"/>
      <c r="AQ133" s="265"/>
      <c r="AR133" s="265"/>
      <c r="AS133" s="265"/>
      <c r="AT133" s="265"/>
      <c r="AU133" s="268"/>
      <c r="AV133" s="267"/>
      <c r="AW133" s="265"/>
      <c r="AX133" s="265"/>
      <c r="AY133" s="265"/>
      <c r="AZ133" s="265"/>
      <c r="BA133" s="265"/>
      <c r="BB133" s="268"/>
      <c r="BC133" s="267"/>
      <c r="BD133" s="265"/>
      <c r="BE133" s="265"/>
      <c r="BF133" s="265"/>
      <c r="BG133" s="265"/>
      <c r="BH133" s="265"/>
      <c r="BI133" s="268"/>
      <c r="BJ133" s="267"/>
      <c r="BK133" s="265"/>
      <c r="BL133" s="265"/>
      <c r="BM133" s="160"/>
      <c r="BN133" s="169"/>
      <c r="BO133" s="265"/>
      <c r="BP133" s="268"/>
      <c r="BQ133" s="161"/>
      <c r="BR133" s="428"/>
      <c r="BS133" s="159"/>
      <c r="BT133" s="159"/>
      <c r="BU133" s="159"/>
      <c r="BV133" s="159"/>
      <c r="BW133" s="162"/>
      <c r="BX133" s="215"/>
      <c r="BY133" s="159"/>
      <c r="BZ133" s="159"/>
      <c r="CA133" s="159"/>
      <c r="CB133" s="159"/>
      <c r="CC133" s="225"/>
      <c r="CD133" s="226"/>
      <c r="CE133" s="224"/>
      <c r="CF133" s="225"/>
      <c r="CG133" s="225"/>
      <c r="CH133" s="225"/>
      <c r="CI133" s="225"/>
      <c r="CJ133" s="225"/>
      <c r="CK133" s="226"/>
      <c r="CL133" s="161"/>
      <c r="CM133" s="159"/>
      <c r="CN133" s="159"/>
      <c r="CO133" s="227"/>
      <c r="CP133" s="170"/>
      <c r="CQ133" s="159"/>
      <c r="CR133" s="162"/>
      <c r="CS133" s="161"/>
      <c r="CT133" s="159"/>
      <c r="CU133" s="159"/>
      <c r="CV133" s="159"/>
      <c r="CW133" s="159"/>
      <c r="CX133" s="159"/>
      <c r="CY133" s="161"/>
      <c r="CZ133" s="159"/>
      <c r="DA133" s="159"/>
      <c r="DB133" s="159"/>
      <c r="DC133" s="159"/>
      <c r="DD133" s="159"/>
      <c r="DE133" s="162"/>
      <c r="DF133" s="174"/>
      <c r="DG133" s="159"/>
      <c r="DH133" s="159"/>
      <c r="DI133" s="159"/>
      <c r="DJ133" s="159"/>
      <c r="DK133" s="159"/>
      <c r="DL133" s="162"/>
      <c r="DM133" s="170"/>
      <c r="DN133" s="159"/>
      <c r="DO133" s="159"/>
      <c r="DP133" s="159"/>
      <c r="DQ133" s="159"/>
      <c r="DR133" s="159"/>
      <c r="DS133" s="175"/>
    </row>
    <row r="134" spans="1:123" ht="14" outlineLevel="1">
      <c r="A134" s="281" t="s">
        <v>350</v>
      </c>
      <c r="B134" s="310" t="s">
        <v>9</v>
      </c>
      <c r="C134" s="293" t="s">
        <v>178</v>
      </c>
      <c r="D134" s="264"/>
      <c r="E134" s="265"/>
      <c r="F134" s="265"/>
      <c r="G134" s="265"/>
      <c r="H134" s="265"/>
      <c r="I134" s="265"/>
      <c r="J134" s="265"/>
      <c r="K134" s="265"/>
      <c r="L134" s="266"/>
      <c r="M134" s="267"/>
      <c r="N134" s="265"/>
      <c r="O134" s="265"/>
      <c r="P134" s="265"/>
      <c r="Q134" s="265"/>
      <c r="R134" s="265"/>
      <c r="S134" s="268"/>
      <c r="T134" s="267"/>
      <c r="U134" s="265"/>
      <c r="V134" s="265"/>
      <c r="W134" s="265"/>
      <c r="X134" s="265"/>
      <c r="Y134" s="111"/>
      <c r="Z134" s="112"/>
      <c r="AA134" s="113"/>
      <c r="AB134" s="111"/>
      <c r="AC134" s="111"/>
      <c r="AD134" s="111"/>
      <c r="AE134" s="111"/>
      <c r="AF134" s="111"/>
      <c r="AG134" s="112"/>
      <c r="AH134" s="114"/>
      <c r="AI134" s="115"/>
      <c r="AJ134" s="111"/>
      <c r="AK134" s="111"/>
      <c r="AL134" s="111"/>
      <c r="AM134" s="111"/>
      <c r="AN134" s="116"/>
      <c r="AO134" s="267"/>
      <c r="AP134" s="265"/>
      <c r="AQ134" s="265"/>
      <c r="AR134" s="265"/>
      <c r="AS134" s="265"/>
      <c r="AT134" s="265"/>
      <c r="AU134" s="268"/>
      <c r="AV134" s="267"/>
      <c r="AW134" s="265"/>
      <c r="AX134" s="265"/>
      <c r="AY134" s="265"/>
      <c r="AZ134" s="265"/>
      <c r="BA134" s="265"/>
      <c r="BB134" s="268"/>
      <c r="BC134" s="267"/>
      <c r="BD134" s="265"/>
      <c r="BE134" s="265"/>
      <c r="BF134" s="265"/>
      <c r="BG134" s="265"/>
      <c r="BH134" s="265"/>
      <c r="BI134" s="268"/>
      <c r="BJ134" s="267"/>
      <c r="BK134" s="265"/>
      <c r="BL134" s="265"/>
      <c r="BM134" s="160"/>
      <c r="BN134" s="169"/>
      <c r="BO134" s="265"/>
      <c r="BP134" s="268"/>
      <c r="BQ134" s="161"/>
      <c r="BR134" s="428"/>
      <c r="BS134" s="159"/>
      <c r="BT134" s="159"/>
      <c r="BU134" s="159"/>
      <c r="BV134" s="159"/>
      <c r="BW134" s="162"/>
      <c r="BX134" s="215"/>
      <c r="BY134" s="159"/>
      <c r="BZ134" s="159"/>
      <c r="CA134" s="159"/>
      <c r="CB134" s="159"/>
      <c r="CC134" s="225"/>
      <c r="CD134" s="226"/>
      <c r="CE134" s="224"/>
      <c r="CF134" s="225"/>
      <c r="CG134" s="225"/>
      <c r="CH134" s="225"/>
      <c r="CI134" s="225"/>
      <c r="CJ134" s="225"/>
      <c r="CK134" s="226"/>
      <c r="CL134" s="161"/>
      <c r="CM134" s="159"/>
      <c r="CN134" s="159"/>
      <c r="CO134" s="227"/>
      <c r="CP134" s="170"/>
      <c r="CQ134" s="159"/>
      <c r="CR134" s="162"/>
      <c r="CS134" s="161"/>
      <c r="CT134" s="159"/>
      <c r="CU134" s="159"/>
      <c r="CV134" s="159"/>
      <c r="CW134" s="159"/>
      <c r="CX134" s="159"/>
      <c r="CY134" s="161"/>
      <c r="CZ134" s="159"/>
      <c r="DA134" s="159"/>
      <c r="DB134" s="159"/>
      <c r="DC134" s="159"/>
      <c r="DD134" s="159"/>
      <c r="DE134" s="162"/>
      <c r="DF134" s="174"/>
      <c r="DG134" s="159"/>
      <c r="DH134" s="159"/>
      <c r="DI134" s="159"/>
      <c r="DJ134" s="159"/>
      <c r="DK134" s="159"/>
      <c r="DL134" s="162"/>
      <c r="DM134" s="170"/>
      <c r="DN134" s="159"/>
      <c r="DO134" s="159"/>
      <c r="DP134" s="159"/>
      <c r="DQ134" s="159"/>
      <c r="DR134" s="159"/>
      <c r="DS134" s="175"/>
    </row>
    <row r="135" spans="1:123" ht="14" outlineLevel="1">
      <c r="A135" s="281" t="s">
        <v>351</v>
      </c>
      <c r="B135" s="310" t="s">
        <v>5</v>
      </c>
      <c r="C135" s="294" t="s">
        <v>190</v>
      </c>
      <c r="D135" s="264"/>
      <c r="E135" s="265"/>
      <c r="F135" s="265"/>
      <c r="G135" s="265"/>
      <c r="H135" s="265"/>
      <c r="I135" s="265"/>
      <c r="J135" s="265"/>
      <c r="K135" s="265"/>
      <c r="L135" s="266"/>
      <c r="M135" s="267"/>
      <c r="N135" s="265"/>
      <c r="O135" s="265"/>
      <c r="P135" s="265"/>
      <c r="Q135" s="265"/>
      <c r="R135" s="265"/>
      <c r="S135" s="268"/>
      <c r="T135" s="267"/>
      <c r="U135" s="265"/>
      <c r="V135" s="265"/>
      <c r="W135" s="265"/>
      <c r="X135" s="265"/>
      <c r="Y135" s="111"/>
      <c r="Z135" s="112"/>
      <c r="AA135" s="113"/>
      <c r="AB135" s="111"/>
      <c r="AC135" s="111"/>
      <c r="AD135" s="111"/>
      <c r="AE135" s="111"/>
      <c r="AF135" s="111"/>
      <c r="AG135" s="112"/>
      <c r="AH135" s="114"/>
      <c r="AI135" s="115"/>
      <c r="AJ135" s="111"/>
      <c r="AK135" s="111"/>
      <c r="AL135" s="111"/>
      <c r="AM135" s="111"/>
      <c r="AN135" s="116"/>
      <c r="AO135" s="267"/>
      <c r="AP135" s="265"/>
      <c r="AQ135" s="265"/>
      <c r="AR135" s="265"/>
      <c r="AS135" s="265"/>
      <c r="AT135" s="265"/>
      <c r="AU135" s="268"/>
      <c r="AV135" s="267"/>
      <c r="AW135" s="265"/>
      <c r="AX135" s="265"/>
      <c r="AY135" s="265"/>
      <c r="AZ135" s="265"/>
      <c r="BA135" s="265"/>
      <c r="BB135" s="268"/>
      <c r="BC135" s="267"/>
      <c r="BD135" s="265"/>
      <c r="BE135" s="265"/>
      <c r="BF135" s="265"/>
      <c r="BG135" s="265"/>
      <c r="BH135" s="265"/>
      <c r="BI135" s="268"/>
      <c r="BJ135" s="267"/>
      <c r="BK135" s="265"/>
      <c r="BL135" s="265"/>
      <c r="BM135" s="160"/>
      <c r="BN135" s="169"/>
      <c r="BO135" s="265"/>
      <c r="BP135" s="268"/>
      <c r="BQ135" s="161"/>
      <c r="BR135" s="428"/>
      <c r="BS135" s="159"/>
      <c r="BT135" s="159"/>
      <c r="BU135" s="159"/>
      <c r="BV135" s="159"/>
      <c r="BW135" s="162"/>
      <c r="BX135" s="215"/>
      <c r="BY135" s="159"/>
      <c r="BZ135" s="159"/>
      <c r="CA135" s="159"/>
      <c r="CB135" s="159"/>
      <c r="CC135" s="225"/>
      <c r="CD135" s="226"/>
      <c r="CE135" s="224"/>
      <c r="CF135" s="225"/>
      <c r="CG135" s="225"/>
      <c r="CH135" s="225"/>
      <c r="CI135" s="225"/>
      <c r="CJ135" s="225"/>
      <c r="CK135" s="226"/>
      <c r="CL135" s="161"/>
      <c r="CM135" s="159"/>
      <c r="CN135" s="159"/>
      <c r="CO135" s="227"/>
      <c r="CP135" s="170"/>
      <c r="CQ135" s="159"/>
      <c r="CR135" s="162"/>
      <c r="CS135" s="161"/>
      <c r="CT135" s="159"/>
      <c r="CU135" s="159"/>
      <c r="CV135" s="159"/>
      <c r="CW135" s="159"/>
      <c r="CX135" s="159"/>
      <c r="CY135" s="161"/>
      <c r="CZ135" s="159"/>
      <c r="DA135" s="159"/>
      <c r="DB135" s="159"/>
      <c r="DC135" s="159"/>
      <c r="DD135" s="159"/>
      <c r="DE135" s="162"/>
      <c r="DF135" s="174"/>
      <c r="DG135" s="159"/>
      <c r="DH135" s="159"/>
      <c r="DI135" s="159"/>
      <c r="DJ135" s="159"/>
      <c r="DK135" s="159"/>
      <c r="DL135" s="162"/>
      <c r="DM135" s="170"/>
      <c r="DN135" s="159"/>
      <c r="DO135" s="159"/>
      <c r="DP135" s="159"/>
      <c r="DQ135" s="159"/>
      <c r="DR135" s="159"/>
      <c r="DS135" s="175"/>
    </row>
    <row r="136" spans="1:123" ht="14" outlineLevel="1">
      <c r="A136" s="281" t="s">
        <v>352</v>
      </c>
      <c r="B136" s="310" t="s">
        <v>139</v>
      </c>
      <c r="C136" s="293" t="s">
        <v>178</v>
      </c>
      <c r="D136" s="264"/>
      <c r="E136" s="265"/>
      <c r="F136" s="265"/>
      <c r="G136" s="265"/>
      <c r="H136" s="265"/>
      <c r="I136" s="265"/>
      <c r="J136" s="265"/>
      <c r="K136" s="265"/>
      <c r="L136" s="266"/>
      <c r="M136" s="267"/>
      <c r="N136" s="265"/>
      <c r="O136" s="265"/>
      <c r="P136" s="265"/>
      <c r="Q136" s="265"/>
      <c r="R136" s="265"/>
      <c r="S136" s="268"/>
      <c r="T136" s="267"/>
      <c r="U136" s="265"/>
      <c r="V136" s="265"/>
      <c r="W136" s="265"/>
      <c r="X136" s="265"/>
      <c r="Y136" s="111"/>
      <c r="Z136" s="112"/>
      <c r="AA136" s="113"/>
      <c r="AB136" s="111"/>
      <c r="AC136" s="111"/>
      <c r="AD136" s="111"/>
      <c r="AE136" s="111"/>
      <c r="AF136" s="111"/>
      <c r="AG136" s="112"/>
      <c r="AH136" s="114"/>
      <c r="AI136" s="115"/>
      <c r="AJ136" s="111"/>
      <c r="AK136" s="111"/>
      <c r="AL136" s="111"/>
      <c r="AM136" s="111"/>
      <c r="AN136" s="116"/>
      <c r="AO136" s="267"/>
      <c r="AP136" s="265"/>
      <c r="AQ136" s="265"/>
      <c r="AR136" s="265"/>
      <c r="AS136" s="265"/>
      <c r="AT136" s="265"/>
      <c r="AU136" s="268"/>
      <c r="AV136" s="267"/>
      <c r="AW136" s="265"/>
      <c r="AX136" s="265"/>
      <c r="AY136" s="265"/>
      <c r="AZ136" s="265"/>
      <c r="BA136" s="265"/>
      <c r="BB136" s="268"/>
      <c r="BC136" s="267"/>
      <c r="BD136" s="265"/>
      <c r="BE136" s="265"/>
      <c r="BF136" s="265"/>
      <c r="BG136" s="265"/>
      <c r="BH136" s="265"/>
      <c r="BI136" s="268"/>
      <c r="BJ136" s="267"/>
      <c r="BK136" s="265"/>
      <c r="BL136" s="265"/>
      <c r="BM136" s="160"/>
      <c r="BN136" s="169"/>
      <c r="BO136" s="265"/>
      <c r="BP136" s="268"/>
      <c r="BQ136" s="161"/>
      <c r="BR136" s="428"/>
      <c r="BS136" s="159"/>
      <c r="BT136" s="159"/>
      <c r="BU136" s="159"/>
      <c r="BV136" s="159"/>
      <c r="BW136" s="162"/>
      <c r="BX136" s="215"/>
      <c r="BY136" s="159"/>
      <c r="BZ136" s="159"/>
      <c r="CA136" s="159"/>
      <c r="CB136" s="159"/>
      <c r="CC136" s="225"/>
      <c r="CD136" s="226"/>
      <c r="CE136" s="224"/>
      <c r="CF136" s="225"/>
      <c r="CG136" s="225"/>
      <c r="CH136" s="225"/>
      <c r="CI136" s="225"/>
      <c r="CJ136" s="225"/>
      <c r="CK136" s="226"/>
      <c r="CL136" s="161"/>
      <c r="CM136" s="159"/>
      <c r="CN136" s="159"/>
      <c r="CO136" s="227"/>
      <c r="CP136" s="170"/>
      <c r="CQ136" s="159"/>
      <c r="CR136" s="162"/>
      <c r="CS136" s="161"/>
      <c r="CT136" s="159"/>
      <c r="CU136" s="159"/>
      <c r="CV136" s="159"/>
      <c r="CW136" s="159"/>
      <c r="CX136" s="159"/>
      <c r="CY136" s="161"/>
      <c r="CZ136" s="159"/>
      <c r="DA136" s="159"/>
      <c r="DB136" s="159"/>
      <c r="DC136" s="159"/>
      <c r="DD136" s="159"/>
      <c r="DE136" s="162"/>
      <c r="DF136" s="174"/>
      <c r="DG136" s="159"/>
      <c r="DH136" s="159"/>
      <c r="DI136" s="159"/>
      <c r="DJ136" s="159"/>
      <c r="DK136" s="159"/>
      <c r="DL136" s="162"/>
      <c r="DM136" s="170"/>
      <c r="DN136" s="159"/>
      <c r="DO136" s="159"/>
      <c r="DP136" s="159"/>
      <c r="DQ136" s="159"/>
      <c r="DR136" s="159"/>
      <c r="DS136" s="175"/>
    </row>
    <row r="137" spans="1:123" ht="14" outlineLevel="1">
      <c r="A137" s="281" t="s">
        <v>349</v>
      </c>
      <c r="B137" s="310" t="s">
        <v>5</v>
      </c>
      <c r="C137" s="294" t="s">
        <v>190</v>
      </c>
      <c r="D137" s="264"/>
      <c r="E137" s="265"/>
      <c r="F137" s="265"/>
      <c r="G137" s="265"/>
      <c r="H137" s="265"/>
      <c r="I137" s="265"/>
      <c r="J137" s="265"/>
      <c r="K137" s="265"/>
      <c r="L137" s="266"/>
      <c r="M137" s="267"/>
      <c r="N137" s="265"/>
      <c r="O137" s="265"/>
      <c r="P137" s="265"/>
      <c r="Q137" s="265"/>
      <c r="R137" s="265"/>
      <c r="S137" s="268"/>
      <c r="T137" s="267"/>
      <c r="U137" s="265"/>
      <c r="V137" s="265"/>
      <c r="W137" s="265"/>
      <c r="X137" s="265"/>
      <c r="Y137" s="111"/>
      <c r="Z137" s="112"/>
      <c r="AA137" s="113"/>
      <c r="AB137" s="111"/>
      <c r="AC137" s="111"/>
      <c r="AD137" s="111"/>
      <c r="AE137" s="111"/>
      <c r="AF137" s="111"/>
      <c r="AG137" s="112"/>
      <c r="AH137" s="114"/>
      <c r="AI137" s="115"/>
      <c r="AJ137" s="111"/>
      <c r="AK137" s="111"/>
      <c r="AL137" s="111"/>
      <c r="AM137" s="111"/>
      <c r="AN137" s="116"/>
      <c r="AO137" s="267"/>
      <c r="AP137" s="265"/>
      <c r="AQ137" s="265"/>
      <c r="AR137" s="265"/>
      <c r="AS137" s="265"/>
      <c r="AT137" s="265"/>
      <c r="AU137" s="268"/>
      <c r="AV137" s="267"/>
      <c r="AW137" s="265"/>
      <c r="AX137" s="265"/>
      <c r="AY137" s="265"/>
      <c r="AZ137" s="265"/>
      <c r="BA137" s="265"/>
      <c r="BB137" s="268"/>
      <c r="BC137" s="267"/>
      <c r="BD137" s="265"/>
      <c r="BE137" s="265"/>
      <c r="BF137" s="265"/>
      <c r="BG137" s="265"/>
      <c r="BH137" s="265"/>
      <c r="BI137" s="268"/>
      <c r="BJ137" s="267"/>
      <c r="BK137" s="265"/>
      <c r="BL137" s="265"/>
      <c r="BM137" s="160"/>
      <c r="BN137" s="169"/>
      <c r="BO137" s="265"/>
      <c r="BP137" s="268"/>
      <c r="BQ137" s="161"/>
      <c r="BR137" s="428"/>
      <c r="BS137" s="159"/>
      <c r="BT137" s="159"/>
      <c r="BU137" s="159"/>
      <c r="BV137" s="159"/>
      <c r="BW137" s="162"/>
      <c r="BX137" s="215"/>
      <c r="BY137" s="159"/>
      <c r="BZ137" s="159"/>
      <c r="CA137" s="159"/>
      <c r="CB137" s="159"/>
      <c r="CC137" s="225"/>
      <c r="CD137" s="226"/>
      <c r="CE137" s="224"/>
      <c r="CF137" s="225"/>
      <c r="CG137" s="225"/>
      <c r="CH137" s="225"/>
      <c r="CI137" s="225"/>
      <c r="CJ137" s="225"/>
      <c r="CK137" s="226"/>
      <c r="CL137" s="161"/>
      <c r="CM137" s="159"/>
      <c r="CN137" s="159"/>
      <c r="CO137" s="227"/>
      <c r="CP137" s="170"/>
      <c r="CQ137" s="159"/>
      <c r="CR137" s="162"/>
      <c r="CS137" s="161"/>
      <c r="CT137" s="159"/>
      <c r="CU137" s="159"/>
      <c r="CV137" s="159"/>
      <c r="CW137" s="159"/>
      <c r="CX137" s="159"/>
      <c r="CY137" s="161"/>
      <c r="CZ137" s="159"/>
      <c r="DA137" s="159"/>
      <c r="DB137" s="159"/>
      <c r="DC137" s="159"/>
      <c r="DD137" s="159"/>
      <c r="DE137" s="162"/>
      <c r="DF137" s="174"/>
      <c r="DG137" s="159"/>
      <c r="DH137" s="159"/>
      <c r="DI137" s="159"/>
      <c r="DJ137" s="159"/>
      <c r="DK137" s="159"/>
      <c r="DL137" s="162"/>
      <c r="DM137" s="170"/>
      <c r="DN137" s="159"/>
      <c r="DO137" s="159"/>
      <c r="DP137" s="159"/>
      <c r="DQ137" s="159"/>
      <c r="DR137" s="159"/>
      <c r="DS137" s="175"/>
    </row>
    <row r="138" spans="1:123" ht="14" outlineLevel="1">
      <c r="A138" s="281" t="s">
        <v>353</v>
      </c>
      <c r="B138" s="310" t="s">
        <v>5</v>
      </c>
      <c r="C138" s="455" t="s">
        <v>190</v>
      </c>
      <c r="D138" s="264"/>
      <c r="E138" s="265"/>
      <c r="F138" s="265"/>
      <c r="G138" s="265"/>
      <c r="H138" s="265"/>
      <c r="I138" s="265"/>
      <c r="J138" s="265"/>
      <c r="K138" s="265"/>
      <c r="L138" s="266"/>
      <c r="M138" s="267"/>
      <c r="N138" s="265"/>
      <c r="O138" s="265"/>
      <c r="P138" s="265"/>
      <c r="Q138" s="265"/>
      <c r="R138" s="265"/>
      <c r="S138" s="268"/>
      <c r="T138" s="267"/>
      <c r="U138" s="265"/>
      <c r="V138" s="265"/>
      <c r="W138" s="265"/>
      <c r="X138" s="265"/>
      <c r="Y138" s="111"/>
      <c r="Z138" s="112"/>
      <c r="AA138" s="113"/>
      <c r="AB138" s="111"/>
      <c r="AC138" s="111"/>
      <c r="AD138" s="111"/>
      <c r="AE138" s="111"/>
      <c r="AF138" s="111"/>
      <c r="AG138" s="112"/>
      <c r="AH138" s="114"/>
      <c r="AI138" s="115"/>
      <c r="AJ138" s="111"/>
      <c r="AK138" s="111"/>
      <c r="AL138" s="111"/>
      <c r="AM138" s="111"/>
      <c r="AN138" s="116"/>
      <c r="AO138" s="267"/>
      <c r="AP138" s="265"/>
      <c r="AQ138" s="265"/>
      <c r="AR138" s="265"/>
      <c r="AS138" s="265"/>
      <c r="AT138" s="265"/>
      <c r="AU138" s="268"/>
      <c r="AV138" s="267"/>
      <c r="AW138" s="265"/>
      <c r="AX138" s="265"/>
      <c r="AY138" s="265"/>
      <c r="AZ138" s="265"/>
      <c r="BA138" s="265"/>
      <c r="BB138" s="268"/>
      <c r="BC138" s="267"/>
      <c r="BD138" s="265"/>
      <c r="BE138" s="265"/>
      <c r="BF138" s="265"/>
      <c r="BG138" s="265"/>
      <c r="BH138" s="265"/>
      <c r="BI138" s="268"/>
      <c r="BJ138" s="267"/>
      <c r="BK138" s="265"/>
      <c r="BL138" s="265"/>
      <c r="BM138" s="160"/>
      <c r="BN138" s="169"/>
      <c r="BO138" s="265"/>
      <c r="BP138" s="268"/>
      <c r="BQ138" s="161"/>
      <c r="BR138" s="428"/>
      <c r="BS138" s="159"/>
      <c r="BT138" s="159"/>
      <c r="BU138" s="159"/>
      <c r="BV138" s="159"/>
      <c r="BW138" s="162"/>
      <c r="BX138" s="215"/>
      <c r="BY138" s="177"/>
      <c r="BZ138" s="177"/>
      <c r="CA138" s="159"/>
      <c r="CB138" s="159"/>
      <c r="CC138" s="225"/>
      <c r="CD138" s="226"/>
      <c r="CE138" s="224"/>
      <c r="CF138" s="225"/>
      <c r="CG138" s="225"/>
      <c r="CH138" s="225"/>
      <c r="CI138" s="225"/>
      <c r="CJ138" s="225"/>
      <c r="CK138" s="226"/>
      <c r="CL138" s="161"/>
      <c r="CM138" s="159"/>
      <c r="CN138" s="159"/>
      <c r="CO138" s="227"/>
      <c r="CP138" s="170"/>
      <c r="CQ138" s="159"/>
      <c r="CR138" s="162"/>
      <c r="CS138" s="161"/>
      <c r="CT138" s="159"/>
      <c r="CU138" s="159"/>
      <c r="CV138" s="159"/>
      <c r="CW138" s="159"/>
      <c r="CX138" s="159"/>
      <c r="CY138" s="161"/>
      <c r="CZ138" s="159"/>
      <c r="DA138" s="159"/>
      <c r="DB138" s="159"/>
      <c r="DC138" s="159"/>
      <c r="DD138" s="159"/>
      <c r="DE138" s="162"/>
      <c r="DF138" s="174"/>
      <c r="DG138" s="159"/>
      <c r="DH138" s="159"/>
      <c r="DI138" s="159"/>
      <c r="DJ138" s="159"/>
      <c r="DK138" s="159"/>
      <c r="DL138" s="162"/>
      <c r="DM138" s="170"/>
      <c r="DN138" s="159"/>
      <c r="DO138" s="159"/>
      <c r="DP138" s="159"/>
      <c r="DQ138" s="159"/>
      <c r="DR138" s="159"/>
      <c r="DS138" s="175"/>
    </row>
    <row r="139" spans="1:123" ht="14" outlineLevel="1">
      <c r="A139" s="297" t="s">
        <v>354</v>
      </c>
      <c r="B139" s="312"/>
      <c r="C139" s="369"/>
      <c r="D139" s="264"/>
      <c r="E139" s="265"/>
      <c r="F139" s="265"/>
      <c r="G139" s="265"/>
      <c r="H139" s="265"/>
      <c r="I139" s="265"/>
      <c r="J139" s="265"/>
      <c r="K139" s="265"/>
      <c r="L139" s="266"/>
      <c r="M139" s="267"/>
      <c r="N139" s="265"/>
      <c r="O139" s="265"/>
      <c r="P139" s="265"/>
      <c r="Q139" s="265"/>
      <c r="R139" s="265"/>
      <c r="S139" s="268"/>
      <c r="T139" s="267"/>
      <c r="U139" s="265"/>
      <c r="V139" s="265"/>
      <c r="W139" s="265"/>
      <c r="X139" s="265"/>
      <c r="Y139" s="111"/>
      <c r="Z139" s="112"/>
      <c r="AA139" s="113"/>
      <c r="AB139" s="111"/>
      <c r="AC139" s="111"/>
      <c r="AD139" s="111"/>
      <c r="AE139" s="111"/>
      <c r="AF139" s="111"/>
      <c r="AG139" s="112"/>
      <c r="AH139" s="114"/>
      <c r="AI139" s="115"/>
      <c r="AJ139" s="111"/>
      <c r="AK139" s="111"/>
      <c r="AL139" s="111"/>
      <c r="AM139" s="111"/>
      <c r="AN139" s="116"/>
      <c r="AO139" s="267"/>
      <c r="AP139" s="265"/>
      <c r="AQ139" s="265"/>
      <c r="AR139" s="265"/>
      <c r="AS139" s="265"/>
      <c r="AT139" s="265"/>
      <c r="AU139" s="268"/>
      <c r="AV139" s="267"/>
      <c r="AW139" s="265"/>
      <c r="AX139" s="265"/>
      <c r="AY139" s="265"/>
      <c r="AZ139" s="265"/>
      <c r="BA139" s="265"/>
      <c r="BB139" s="268"/>
      <c r="BC139" s="267"/>
      <c r="BD139" s="265"/>
      <c r="BE139" s="265"/>
      <c r="BF139" s="265"/>
      <c r="BG139" s="265"/>
      <c r="BH139" s="265"/>
      <c r="BI139" s="268"/>
      <c r="BJ139" s="267"/>
      <c r="BK139" s="265"/>
      <c r="BL139" s="265"/>
      <c r="BM139" s="160"/>
      <c r="BN139" s="169"/>
      <c r="BO139" s="265"/>
      <c r="BP139" s="268"/>
      <c r="BQ139" s="161"/>
      <c r="BR139" s="428"/>
      <c r="BS139" s="159"/>
      <c r="BT139" s="159"/>
      <c r="BU139" s="159"/>
      <c r="BV139" s="159"/>
      <c r="BW139" s="162"/>
      <c r="BX139" s="215"/>
      <c r="BY139" s="177"/>
      <c r="BZ139" s="177"/>
      <c r="CA139" s="159"/>
      <c r="CB139" s="159"/>
      <c r="CC139" s="225"/>
      <c r="CD139" s="226"/>
      <c r="CE139" s="224"/>
      <c r="CF139" s="225"/>
      <c r="CG139" s="225"/>
      <c r="CH139" s="225"/>
      <c r="CI139" s="225"/>
      <c r="CJ139" s="225"/>
      <c r="CK139" s="226"/>
      <c r="CL139" s="161"/>
      <c r="CM139" s="159"/>
      <c r="CN139" s="159"/>
      <c r="CO139" s="227"/>
      <c r="CP139" s="170"/>
      <c r="CQ139" s="159"/>
      <c r="CR139" s="162"/>
      <c r="CS139" s="161"/>
      <c r="CT139" s="159"/>
      <c r="CU139" s="159"/>
      <c r="CV139" s="159"/>
      <c r="CW139" s="159"/>
      <c r="CX139" s="159"/>
      <c r="CY139" s="161"/>
      <c r="CZ139" s="159"/>
      <c r="DA139" s="159"/>
      <c r="DB139" s="159"/>
      <c r="DC139" s="159"/>
      <c r="DD139" s="159"/>
      <c r="DE139" s="162"/>
      <c r="DF139" s="174"/>
      <c r="DG139" s="159"/>
      <c r="DH139" s="159"/>
      <c r="DI139" s="159"/>
      <c r="DJ139" s="159"/>
      <c r="DK139" s="159"/>
      <c r="DL139" s="162"/>
      <c r="DM139" s="170"/>
      <c r="DN139" s="159"/>
      <c r="DO139" s="159"/>
      <c r="DP139" s="159"/>
      <c r="DQ139" s="159"/>
      <c r="DR139" s="159"/>
      <c r="DS139" s="175"/>
    </row>
    <row r="140" spans="1:123" ht="14" outlineLevel="1">
      <c r="A140" s="281" t="s">
        <v>355</v>
      </c>
      <c r="B140" s="310" t="s">
        <v>5</v>
      </c>
      <c r="C140" s="294" t="s">
        <v>190</v>
      </c>
      <c r="D140" s="264"/>
      <c r="E140" s="265"/>
      <c r="F140" s="265"/>
      <c r="G140" s="265"/>
      <c r="H140" s="265"/>
      <c r="I140" s="265"/>
      <c r="J140" s="265"/>
      <c r="K140" s="265"/>
      <c r="L140" s="266"/>
      <c r="M140" s="267"/>
      <c r="N140" s="265"/>
      <c r="O140" s="265"/>
      <c r="P140" s="265"/>
      <c r="Q140" s="265"/>
      <c r="R140" s="265"/>
      <c r="S140" s="268"/>
      <c r="T140" s="267"/>
      <c r="U140" s="265"/>
      <c r="V140" s="265"/>
      <c r="W140" s="265"/>
      <c r="X140" s="265"/>
      <c r="Y140" s="111"/>
      <c r="Z140" s="112"/>
      <c r="AA140" s="113"/>
      <c r="AB140" s="111"/>
      <c r="AC140" s="111"/>
      <c r="AD140" s="111"/>
      <c r="AE140" s="111"/>
      <c r="AF140" s="111"/>
      <c r="AG140" s="112"/>
      <c r="AH140" s="114"/>
      <c r="AI140" s="115"/>
      <c r="AJ140" s="111"/>
      <c r="AK140" s="111"/>
      <c r="AL140" s="111"/>
      <c r="AM140" s="111"/>
      <c r="AN140" s="116"/>
      <c r="AO140" s="267"/>
      <c r="AP140" s="265"/>
      <c r="AQ140" s="265"/>
      <c r="AR140" s="265"/>
      <c r="AS140" s="265"/>
      <c r="AT140" s="265"/>
      <c r="AU140" s="268"/>
      <c r="AV140" s="267"/>
      <c r="AW140" s="265"/>
      <c r="AX140" s="265"/>
      <c r="AY140" s="265"/>
      <c r="AZ140" s="265"/>
      <c r="BA140" s="265"/>
      <c r="BB140" s="268"/>
      <c r="BC140" s="267"/>
      <c r="BD140" s="265"/>
      <c r="BE140" s="265"/>
      <c r="BF140" s="265"/>
      <c r="BG140" s="265"/>
      <c r="BH140" s="265"/>
      <c r="BI140" s="268"/>
      <c r="BJ140" s="267"/>
      <c r="BK140" s="265"/>
      <c r="BL140" s="265"/>
      <c r="BM140" s="160"/>
      <c r="BN140" s="169"/>
      <c r="BO140" s="265"/>
      <c r="BP140" s="268"/>
      <c r="BQ140" s="161"/>
      <c r="BR140" s="428"/>
      <c r="BS140" s="159"/>
      <c r="BT140" s="159"/>
      <c r="BU140" s="159"/>
      <c r="BV140" s="159"/>
      <c r="BW140" s="159"/>
      <c r="BX140" s="159"/>
      <c r="BY140" s="177"/>
      <c r="BZ140" s="177"/>
      <c r="CA140" s="159"/>
      <c r="CB140" s="159"/>
      <c r="CC140" s="225"/>
      <c r="CD140" s="226"/>
      <c r="CE140" s="224"/>
      <c r="CF140" s="225"/>
      <c r="CG140" s="225"/>
      <c r="CH140" s="225"/>
      <c r="CI140" s="225"/>
      <c r="CJ140" s="225"/>
      <c r="CK140" s="226"/>
      <c r="CL140" s="161"/>
      <c r="CM140" s="159"/>
      <c r="CN140" s="159"/>
      <c r="CO140" s="227"/>
      <c r="CP140" s="170"/>
      <c r="CQ140" s="159"/>
      <c r="CR140" s="162"/>
      <c r="CS140" s="161"/>
      <c r="CT140" s="159"/>
      <c r="CU140" s="159"/>
      <c r="CV140" s="159"/>
      <c r="CW140" s="159"/>
      <c r="CX140" s="159"/>
      <c r="CY140" s="161"/>
      <c r="CZ140" s="159"/>
      <c r="DA140" s="159"/>
      <c r="DB140" s="159"/>
      <c r="DC140" s="159"/>
      <c r="DD140" s="159"/>
      <c r="DE140" s="162"/>
      <c r="DF140" s="174"/>
      <c r="DG140" s="159"/>
      <c r="DH140" s="159"/>
      <c r="DI140" s="159"/>
      <c r="DJ140" s="159"/>
      <c r="DK140" s="159"/>
      <c r="DL140" s="162"/>
      <c r="DM140" s="170"/>
      <c r="DN140" s="159"/>
      <c r="DO140" s="159"/>
      <c r="DP140" s="159"/>
      <c r="DQ140" s="159"/>
      <c r="DR140" s="159"/>
      <c r="DS140" s="175"/>
    </row>
    <row r="141" spans="1:123" ht="14" outlineLevel="1">
      <c r="A141" s="281" t="s">
        <v>356</v>
      </c>
      <c r="B141" s="310" t="s">
        <v>28</v>
      </c>
      <c r="C141" s="306" t="s">
        <v>181</v>
      </c>
      <c r="D141" s="264"/>
      <c r="E141" s="265"/>
      <c r="F141" s="265"/>
      <c r="G141" s="265"/>
      <c r="H141" s="265"/>
      <c r="I141" s="265"/>
      <c r="J141" s="265"/>
      <c r="K141" s="265"/>
      <c r="L141" s="266"/>
      <c r="M141" s="267"/>
      <c r="N141" s="265"/>
      <c r="O141" s="265"/>
      <c r="P141" s="265"/>
      <c r="Q141" s="265"/>
      <c r="R141" s="265"/>
      <c r="S141" s="268"/>
      <c r="T141" s="267"/>
      <c r="U141" s="265"/>
      <c r="V141" s="265"/>
      <c r="W141" s="265"/>
      <c r="X141" s="265"/>
      <c r="Y141" s="111"/>
      <c r="Z141" s="112"/>
      <c r="AA141" s="113"/>
      <c r="AB141" s="111"/>
      <c r="AC141" s="111"/>
      <c r="AD141" s="111"/>
      <c r="AE141" s="111"/>
      <c r="AF141" s="111"/>
      <c r="AG141" s="112"/>
      <c r="AH141" s="114"/>
      <c r="AI141" s="115"/>
      <c r="AJ141" s="111"/>
      <c r="AK141" s="111"/>
      <c r="AL141" s="111"/>
      <c r="AM141" s="111"/>
      <c r="AN141" s="116"/>
      <c r="AO141" s="267"/>
      <c r="AP141" s="265"/>
      <c r="AQ141" s="265"/>
      <c r="AR141" s="265"/>
      <c r="AS141" s="265"/>
      <c r="AT141" s="265"/>
      <c r="AU141" s="268"/>
      <c r="AV141" s="267"/>
      <c r="AW141" s="265"/>
      <c r="AX141" s="265"/>
      <c r="AY141" s="265"/>
      <c r="AZ141" s="265"/>
      <c r="BA141" s="265"/>
      <c r="BB141" s="268"/>
      <c r="BC141" s="267"/>
      <c r="BD141" s="265"/>
      <c r="BE141" s="265"/>
      <c r="BF141" s="265"/>
      <c r="BG141" s="265"/>
      <c r="BH141" s="265"/>
      <c r="BI141" s="268"/>
      <c r="BJ141" s="267"/>
      <c r="BK141" s="265"/>
      <c r="BL141" s="265"/>
      <c r="BM141" s="160"/>
      <c r="BN141" s="169"/>
      <c r="BO141" s="265"/>
      <c r="BP141" s="268"/>
      <c r="BQ141" s="161"/>
      <c r="BR141" s="428"/>
      <c r="BS141" s="159"/>
      <c r="BT141" s="159"/>
      <c r="BU141" s="159"/>
      <c r="BV141" s="159"/>
      <c r="BW141" s="159"/>
      <c r="BX141" s="159"/>
      <c r="BY141" s="159"/>
      <c r="BZ141" s="159"/>
      <c r="CA141" s="159"/>
      <c r="CB141" s="159"/>
      <c r="CC141" s="121"/>
      <c r="CD141" s="142"/>
      <c r="CE141" s="120"/>
      <c r="CF141" s="121"/>
      <c r="CG141" s="121"/>
      <c r="CH141" s="121"/>
      <c r="CI141" s="121"/>
      <c r="CJ141" s="121"/>
      <c r="CK141" s="142"/>
      <c r="CL141" s="161"/>
      <c r="CM141" s="159"/>
      <c r="CN141" s="159"/>
      <c r="CO141" s="227"/>
      <c r="CP141" s="170"/>
      <c r="CQ141" s="159"/>
      <c r="CR141" s="162"/>
      <c r="CS141" s="161"/>
      <c r="CT141" s="159"/>
      <c r="CU141" s="159"/>
      <c r="CV141" s="159"/>
      <c r="CW141" s="159"/>
      <c r="CX141" s="159"/>
      <c r="CY141" s="161"/>
      <c r="CZ141" s="159"/>
      <c r="DA141" s="159"/>
      <c r="DB141" s="159"/>
      <c r="DC141" s="159"/>
      <c r="DD141" s="159"/>
      <c r="DE141" s="162"/>
      <c r="DF141" s="174"/>
      <c r="DG141" s="159"/>
      <c r="DH141" s="159"/>
      <c r="DI141" s="159"/>
      <c r="DJ141" s="159"/>
      <c r="DK141" s="159"/>
      <c r="DL141" s="162"/>
      <c r="DM141" s="170"/>
      <c r="DN141" s="159"/>
      <c r="DO141" s="159"/>
      <c r="DP141" s="159"/>
      <c r="DQ141" s="159"/>
      <c r="DR141" s="159"/>
      <c r="DS141" s="175"/>
    </row>
    <row r="142" spans="1:123" ht="14" outlineLevel="1">
      <c r="A142" s="281" t="s">
        <v>357</v>
      </c>
      <c r="B142" s="310" t="s">
        <v>12</v>
      </c>
      <c r="C142" s="306" t="s">
        <v>181</v>
      </c>
      <c r="D142" s="264"/>
      <c r="E142" s="265"/>
      <c r="F142" s="265"/>
      <c r="G142" s="265"/>
      <c r="H142" s="265"/>
      <c r="I142" s="265"/>
      <c r="J142" s="265"/>
      <c r="K142" s="265"/>
      <c r="L142" s="266"/>
      <c r="M142" s="267"/>
      <c r="N142" s="265"/>
      <c r="O142" s="265"/>
      <c r="P142" s="265"/>
      <c r="Q142" s="265"/>
      <c r="R142" s="265"/>
      <c r="S142" s="268"/>
      <c r="T142" s="267"/>
      <c r="U142" s="265"/>
      <c r="V142" s="265"/>
      <c r="W142" s="265"/>
      <c r="X142" s="265"/>
      <c r="Y142" s="111"/>
      <c r="Z142" s="112"/>
      <c r="AA142" s="113"/>
      <c r="AB142" s="111"/>
      <c r="AC142" s="111"/>
      <c r="AD142" s="111"/>
      <c r="AE142" s="111"/>
      <c r="AF142" s="111"/>
      <c r="AG142" s="112"/>
      <c r="AH142" s="114"/>
      <c r="AI142" s="115"/>
      <c r="AJ142" s="111"/>
      <c r="AK142" s="111"/>
      <c r="AL142" s="111"/>
      <c r="AM142" s="111"/>
      <c r="AN142" s="116"/>
      <c r="AO142" s="267"/>
      <c r="AP142" s="265"/>
      <c r="AQ142" s="265"/>
      <c r="AR142" s="265"/>
      <c r="AS142" s="265"/>
      <c r="AT142" s="265"/>
      <c r="AU142" s="268"/>
      <c r="AV142" s="267"/>
      <c r="AW142" s="265"/>
      <c r="AX142" s="265"/>
      <c r="AY142" s="265"/>
      <c r="AZ142" s="265"/>
      <c r="BA142" s="265"/>
      <c r="BB142" s="268"/>
      <c r="BC142" s="267"/>
      <c r="BD142" s="265"/>
      <c r="BE142" s="265"/>
      <c r="BF142" s="265"/>
      <c r="BG142" s="265"/>
      <c r="BH142" s="265"/>
      <c r="BI142" s="268"/>
      <c r="BJ142" s="267"/>
      <c r="BK142" s="265"/>
      <c r="BL142" s="265"/>
      <c r="BM142" s="160"/>
      <c r="BN142" s="169"/>
      <c r="BO142" s="265"/>
      <c r="BP142" s="268"/>
      <c r="BQ142" s="161"/>
      <c r="BR142" s="428"/>
      <c r="BS142" s="159"/>
      <c r="BT142" s="159"/>
      <c r="BU142" s="159"/>
      <c r="BV142" s="159"/>
      <c r="BW142" s="159"/>
      <c r="BX142" s="159"/>
      <c r="BY142" s="159"/>
      <c r="BZ142" s="159"/>
      <c r="CA142" s="159"/>
      <c r="CB142" s="159"/>
      <c r="CC142" s="121"/>
      <c r="CD142" s="142"/>
      <c r="CE142" s="120"/>
      <c r="CF142" s="121"/>
      <c r="CG142" s="121"/>
      <c r="CH142" s="121"/>
      <c r="CI142" s="121"/>
      <c r="CJ142" s="121"/>
      <c r="CK142" s="142"/>
      <c r="CL142" s="161"/>
      <c r="CM142" s="159"/>
      <c r="CN142" s="159"/>
      <c r="CO142" s="227"/>
      <c r="CP142" s="170"/>
      <c r="CQ142" s="159"/>
      <c r="CR142" s="162"/>
      <c r="CS142" s="161"/>
      <c r="CT142" s="159"/>
      <c r="CU142" s="159"/>
      <c r="CV142" s="159"/>
      <c r="CW142" s="159"/>
      <c r="CX142" s="159"/>
      <c r="CY142" s="161"/>
      <c r="CZ142" s="159"/>
      <c r="DA142" s="159"/>
      <c r="DB142" s="159"/>
      <c r="DC142" s="159"/>
      <c r="DD142" s="159"/>
      <c r="DE142" s="162"/>
      <c r="DF142" s="174"/>
      <c r="DG142" s="159"/>
      <c r="DH142" s="159"/>
      <c r="DI142" s="159"/>
      <c r="DJ142" s="159"/>
      <c r="DK142" s="159"/>
      <c r="DL142" s="162"/>
      <c r="DM142" s="170"/>
      <c r="DN142" s="159"/>
      <c r="DO142" s="159"/>
      <c r="DP142" s="159"/>
      <c r="DQ142" s="159"/>
      <c r="DR142" s="159"/>
      <c r="DS142" s="175"/>
    </row>
    <row r="143" spans="1:123" ht="14" outlineLevel="1">
      <c r="A143" s="281" t="s">
        <v>358</v>
      </c>
      <c r="B143" s="310" t="s">
        <v>27</v>
      </c>
      <c r="C143" s="306" t="s">
        <v>181</v>
      </c>
      <c r="D143" s="264"/>
      <c r="E143" s="265"/>
      <c r="F143" s="265"/>
      <c r="G143" s="265"/>
      <c r="H143" s="265"/>
      <c r="I143" s="265"/>
      <c r="J143" s="265"/>
      <c r="K143" s="265"/>
      <c r="L143" s="266"/>
      <c r="M143" s="267"/>
      <c r="N143" s="265"/>
      <c r="O143" s="265"/>
      <c r="P143" s="265"/>
      <c r="Q143" s="265"/>
      <c r="R143" s="265"/>
      <c r="S143" s="268"/>
      <c r="T143" s="267"/>
      <c r="U143" s="265"/>
      <c r="V143" s="265"/>
      <c r="W143" s="265"/>
      <c r="X143" s="265"/>
      <c r="Y143" s="111"/>
      <c r="Z143" s="112"/>
      <c r="AA143" s="113"/>
      <c r="AB143" s="111"/>
      <c r="AC143" s="111"/>
      <c r="AD143" s="111"/>
      <c r="AE143" s="111"/>
      <c r="AF143" s="111"/>
      <c r="AG143" s="112"/>
      <c r="AH143" s="114"/>
      <c r="AI143" s="115"/>
      <c r="AJ143" s="111"/>
      <c r="AK143" s="111"/>
      <c r="AL143" s="111"/>
      <c r="AM143" s="111"/>
      <c r="AN143" s="116"/>
      <c r="AO143" s="267"/>
      <c r="AP143" s="265"/>
      <c r="AQ143" s="265"/>
      <c r="AR143" s="265"/>
      <c r="AS143" s="265"/>
      <c r="AT143" s="265"/>
      <c r="AU143" s="268"/>
      <c r="AV143" s="267"/>
      <c r="AW143" s="265"/>
      <c r="AX143" s="265"/>
      <c r="AY143" s="265"/>
      <c r="AZ143" s="265"/>
      <c r="BA143" s="265"/>
      <c r="BB143" s="268"/>
      <c r="BC143" s="267"/>
      <c r="BD143" s="265"/>
      <c r="BE143" s="265"/>
      <c r="BF143" s="265"/>
      <c r="BG143" s="265"/>
      <c r="BH143" s="265"/>
      <c r="BI143" s="268"/>
      <c r="BJ143" s="267"/>
      <c r="BK143" s="265"/>
      <c r="BL143" s="265"/>
      <c r="BM143" s="160"/>
      <c r="BN143" s="169"/>
      <c r="BO143" s="265"/>
      <c r="BP143" s="268"/>
      <c r="BQ143" s="161"/>
      <c r="BR143" s="428"/>
      <c r="BS143" s="159"/>
      <c r="BT143" s="159"/>
      <c r="BU143" s="159"/>
      <c r="BV143" s="159"/>
      <c r="BW143" s="159"/>
      <c r="BX143" s="159"/>
      <c r="BY143" s="159"/>
      <c r="BZ143" s="159"/>
      <c r="CA143" s="159"/>
      <c r="CB143" s="159"/>
      <c r="CC143" s="121"/>
      <c r="CD143" s="142"/>
      <c r="CE143" s="120"/>
      <c r="CF143" s="121"/>
      <c r="CG143" s="121"/>
      <c r="CH143" s="121"/>
      <c r="CI143" s="121"/>
      <c r="CJ143" s="121"/>
      <c r="CK143" s="142"/>
      <c r="CL143" s="161"/>
      <c r="CM143" s="159"/>
      <c r="CN143" s="159"/>
      <c r="CO143" s="227"/>
      <c r="CP143" s="170"/>
      <c r="CQ143" s="159"/>
      <c r="CR143" s="162"/>
      <c r="CS143" s="161"/>
      <c r="CT143" s="159"/>
      <c r="CU143" s="159"/>
      <c r="CV143" s="159"/>
      <c r="CW143" s="159"/>
      <c r="CX143" s="159"/>
      <c r="CY143" s="161"/>
      <c r="CZ143" s="159"/>
      <c r="DA143" s="159"/>
      <c r="DB143" s="159"/>
      <c r="DC143" s="159"/>
      <c r="DD143" s="159"/>
      <c r="DE143" s="162"/>
      <c r="DF143" s="174"/>
      <c r="DG143" s="159"/>
      <c r="DH143" s="159"/>
      <c r="DI143" s="159"/>
      <c r="DJ143" s="159"/>
      <c r="DK143" s="159"/>
      <c r="DL143" s="162"/>
      <c r="DM143" s="170"/>
      <c r="DN143" s="159"/>
      <c r="DO143" s="159"/>
      <c r="DP143" s="159"/>
      <c r="DQ143" s="159"/>
      <c r="DR143" s="159"/>
      <c r="DS143" s="175"/>
    </row>
    <row r="144" spans="1:123" ht="14" outlineLevel="1">
      <c r="A144" s="281" t="s">
        <v>360</v>
      </c>
      <c r="B144" s="310" t="s">
        <v>24</v>
      </c>
      <c r="C144" s="306" t="s">
        <v>181</v>
      </c>
      <c r="D144" s="264"/>
      <c r="E144" s="265"/>
      <c r="F144" s="265"/>
      <c r="G144" s="265"/>
      <c r="H144" s="265"/>
      <c r="I144" s="265"/>
      <c r="J144" s="265"/>
      <c r="K144" s="265"/>
      <c r="L144" s="266"/>
      <c r="M144" s="267"/>
      <c r="N144" s="265"/>
      <c r="O144" s="265"/>
      <c r="P144" s="265"/>
      <c r="Q144" s="265"/>
      <c r="R144" s="265"/>
      <c r="S144" s="268"/>
      <c r="T144" s="267"/>
      <c r="U144" s="265"/>
      <c r="V144" s="265"/>
      <c r="W144" s="265"/>
      <c r="X144" s="265"/>
      <c r="Y144" s="111"/>
      <c r="Z144" s="112"/>
      <c r="AA144" s="113"/>
      <c r="AB144" s="111"/>
      <c r="AC144" s="111"/>
      <c r="AD144" s="111"/>
      <c r="AE144" s="111"/>
      <c r="AF144" s="111"/>
      <c r="AG144" s="112"/>
      <c r="AH144" s="114"/>
      <c r="AI144" s="115"/>
      <c r="AJ144" s="111"/>
      <c r="AK144" s="111"/>
      <c r="AL144" s="111"/>
      <c r="AM144" s="111"/>
      <c r="AN144" s="116"/>
      <c r="AO144" s="267"/>
      <c r="AP144" s="265"/>
      <c r="AQ144" s="265"/>
      <c r="AR144" s="265"/>
      <c r="AS144" s="265"/>
      <c r="AT144" s="265"/>
      <c r="AU144" s="268"/>
      <c r="AV144" s="267"/>
      <c r="AW144" s="265"/>
      <c r="AX144" s="265"/>
      <c r="AY144" s="265"/>
      <c r="AZ144" s="265"/>
      <c r="BA144" s="265"/>
      <c r="BB144" s="268"/>
      <c r="BC144" s="267"/>
      <c r="BD144" s="265"/>
      <c r="BE144" s="265"/>
      <c r="BF144" s="265"/>
      <c r="BG144" s="265"/>
      <c r="BH144" s="265"/>
      <c r="BI144" s="268"/>
      <c r="BJ144" s="267"/>
      <c r="BK144" s="265"/>
      <c r="BL144" s="265"/>
      <c r="BM144" s="160"/>
      <c r="BN144" s="169"/>
      <c r="BO144" s="265"/>
      <c r="BP144" s="268"/>
      <c r="BQ144" s="161"/>
      <c r="BR144" s="428"/>
      <c r="BS144" s="159"/>
      <c r="BT144" s="159"/>
      <c r="BU144" s="159"/>
      <c r="BV144" s="159"/>
      <c r="BW144" s="159"/>
      <c r="BX144" s="159"/>
      <c r="BY144" s="159"/>
      <c r="BZ144" s="159"/>
      <c r="CA144" s="159"/>
      <c r="CB144" s="159"/>
      <c r="CC144" s="121"/>
      <c r="CD144" s="142"/>
      <c r="CE144" s="120"/>
      <c r="CF144" s="121"/>
      <c r="CG144" s="121"/>
      <c r="CH144" s="121"/>
      <c r="CI144" s="121"/>
      <c r="CJ144" s="121"/>
      <c r="CK144" s="142"/>
      <c r="CL144" s="161"/>
      <c r="CM144" s="159"/>
      <c r="CN144" s="159"/>
      <c r="CO144" s="227"/>
      <c r="CP144" s="170"/>
      <c r="CQ144" s="159"/>
      <c r="CR144" s="162"/>
      <c r="CS144" s="161"/>
      <c r="CT144" s="159"/>
      <c r="CU144" s="159"/>
      <c r="CV144" s="159"/>
      <c r="CW144" s="159"/>
      <c r="CX144" s="159"/>
      <c r="CY144" s="161"/>
      <c r="CZ144" s="159"/>
      <c r="DA144" s="159"/>
      <c r="DB144" s="159"/>
      <c r="DC144" s="159"/>
      <c r="DD144" s="159"/>
      <c r="DE144" s="162"/>
      <c r="DF144" s="174"/>
      <c r="DG144" s="159"/>
      <c r="DH144" s="159"/>
      <c r="DI144" s="159"/>
      <c r="DJ144" s="159"/>
      <c r="DK144" s="159"/>
      <c r="DL144" s="162"/>
      <c r="DM144" s="170"/>
      <c r="DN144" s="159"/>
      <c r="DO144" s="159"/>
      <c r="DP144" s="159"/>
      <c r="DQ144" s="159"/>
      <c r="DR144" s="159"/>
      <c r="DS144" s="175"/>
    </row>
    <row r="145" spans="1:123" ht="14" outlineLevel="1">
      <c r="A145" s="281" t="s">
        <v>359</v>
      </c>
      <c r="B145" s="310" t="s">
        <v>9</v>
      </c>
      <c r="C145" s="306" t="s">
        <v>181</v>
      </c>
      <c r="D145" s="264"/>
      <c r="E145" s="265"/>
      <c r="F145" s="265"/>
      <c r="G145" s="265"/>
      <c r="H145" s="265"/>
      <c r="I145" s="265"/>
      <c r="J145" s="265"/>
      <c r="K145" s="265"/>
      <c r="L145" s="266"/>
      <c r="M145" s="267"/>
      <c r="N145" s="265"/>
      <c r="O145" s="265"/>
      <c r="P145" s="265"/>
      <c r="Q145" s="265"/>
      <c r="R145" s="265"/>
      <c r="S145" s="268"/>
      <c r="T145" s="267"/>
      <c r="U145" s="265"/>
      <c r="V145" s="265"/>
      <c r="W145" s="265"/>
      <c r="X145" s="265"/>
      <c r="Y145" s="111"/>
      <c r="Z145" s="112"/>
      <c r="AA145" s="113"/>
      <c r="AB145" s="111"/>
      <c r="AC145" s="111"/>
      <c r="AD145" s="111"/>
      <c r="AE145" s="111"/>
      <c r="AF145" s="111"/>
      <c r="AG145" s="112"/>
      <c r="AH145" s="114"/>
      <c r="AI145" s="115"/>
      <c r="AJ145" s="111"/>
      <c r="AK145" s="111"/>
      <c r="AL145" s="111"/>
      <c r="AM145" s="111"/>
      <c r="AN145" s="116"/>
      <c r="AO145" s="267"/>
      <c r="AP145" s="265"/>
      <c r="AQ145" s="265"/>
      <c r="AR145" s="265"/>
      <c r="AS145" s="265"/>
      <c r="AT145" s="265"/>
      <c r="AU145" s="268"/>
      <c r="AV145" s="267"/>
      <c r="AW145" s="265"/>
      <c r="AX145" s="265"/>
      <c r="AY145" s="265"/>
      <c r="AZ145" s="265"/>
      <c r="BA145" s="265"/>
      <c r="BB145" s="268"/>
      <c r="BC145" s="267"/>
      <c r="BD145" s="265"/>
      <c r="BE145" s="265"/>
      <c r="BF145" s="265"/>
      <c r="BG145" s="265"/>
      <c r="BH145" s="265"/>
      <c r="BI145" s="268"/>
      <c r="BJ145" s="267"/>
      <c r="BK145" s="265"/>
      <c r="BL145" s="265"/>
      <c r="BM145" s="160"/>
      <c r="BN145" s="169"/>
      <c r="BO145" s="265"/>
      <c r="BP145" s="268"/>
      <c r="BQ145" s="161"/>
      <c r="BR145" s="428"/>
      <c r="BS145" s="159"/>
      <c r="BT145" s="159"/>
      <c r="BU145" s="159"/>
      <c r="BV145" s="159"/>
      <c r="BW145" s="159"/>
      <c r="BX145" s="159"/>
      <c r="BY145" s="159"/>
      <c r="BZ145" s="159"/>
      <c r="CA145" s="159"/>
      <c r="CB145" s="159"/>
      <c r="CC145" s="121"/>
      <c r="CD145" s="142"/>
      <c r="CE145" s="120"/>
      <c r="CF145" s="121"/>
      <c r="CG145" s="121"/>
      <c r="CH145" s="121"/>
      <c r="CI145" s="121"/>
      <c r="CJ145" s="121"/>
      <c r="CK145" s="142"/>
      <c r="CL145" s="161"/>
      <c r="CM145" s="159"/>
      <c r="CN145" s="159"/>
      <c r="CO145" s="227"/>
      <c r="CP145" s="170"/>
      <c r="CQ145" s="159"/>
      <c r="CR145" s="162"/>
      <c r="CS145" s="161"/>
      <c r="CT145" s="159"/>
      <c r="CU145" s="159"/>
      <c r="CV145" s="159"/>
      <c r="CW145" s="159"/>
      <c r="CX145" s="159"/>
      <c r="CY145" s="161"/>
      <c r="CZ145" s="159"/>
      <c r="DA145" s="159"/>
      <c r="DB145" s="159"/>
      <c r="DC145" s="159"/>
      <c r="DD145" s="159"/>
      <c r="DE145" s="162"/>
      <c r="DF145" s="174"/>
      <c r="DG145" s="159"/>
      <c r="DH145" s="159"/>
      <c r="DI145" s="159"/>
      <c r="DJ145" s="159"/>
      <c r="DK145" s="159"/>
      <c r="DL145" s="162"/>
      <c r="DM145" s="170"/>
      <c r="DN145" s="159"/>
      <c r="DO145" s="159"/>
      <c r="DP145" s="159"/>
      <c r="DQ145" s="159"/>
      <c r="DR145" s="159"/>
      <c r="DS145" s="175"/>
    </row>
    <row r="146" spans="1:123" ht="14" outlineLevel="1">
      <c r="A146" s="281" t="s">
        <v>361</v>
      </c>
      <c r="B146" s="310" t="s">
        <v>5</v>
      </c>
      <c r="C146" s="306" t="s">
        <v>181</v>
      </c>
      <c r="D146" s="264"/>
      <c r="E146" s="265"/>
      <c r="F146" s="265"/>
      <c r="G146" s="265"/>
      <c r="H146" s="265"/>
      <c r="I146" s="265"/>
      <c r="J146" s="265"/>
      <c r="K146" s="265"/>
      <c r="L146" s="266"/>
      <c r="M146" s="267"/>
      <c r="N146" s="265"/>
      <c r="O146" s="265"/>
      <c r="P146" s="265"/>
      <c r="Q146" s="265"/>
      <c r="R146" s="265"/>
      <c r="S146" s="268"/>
      <c r="T146" s="267"/>
      <c r="U146" s="265"/>
      <c r="V146" s="265"/>
      <c r="W146" s="265"/>
      <c r="X146" s="265"/>
      <c r="Y146" s="111"/>
      <c r="Z146" s="112"/>
      <c r="AA146" s="113"/>
      <c r="AB146" s="111"/>
      <c r="AC146" s="111"/>
      <c r="AD146" s="111"/>
      <c r="AE146" s="111"/>
      <c r="AF146" s="111"/>
      <c r="AG146" s="112"/>
      <c r="AH146" s="114"/>
      <c r="AI146" s="115"/>
      <c r="AJ146" s="111"/>
      <c r="AK146" s="111"/>
      <c r="AL146" s="111"/>
      <c r="AM146" s="111"/>
      <c r="AN146" s="116"/>
      <c r="AO146" s="267"/>
      <c r="AP146" s="265"/>
      <c r="AQ146" s="265"/>
      <c r="AR146" s="265"/>
      <c r="AS146" s="265"/>
      <c r="AT146" s="265"/>
      <c r="AU146" s="268"/>
      <c r="AV146" s="267"/>
      <c r="AW146" s="265"/>
      <c r="AX146" s="265"/>
      <c r="AY146" s="265"/>
      <c r="AZ146" s="265"/>
      <c r="BA146" s="265"/>
      <c r="BB146" s="268"/>
      <c r="BC146" s="267"/>
      <c r="BD146" s="265"/>
      <c r="BE146" s="265"/>
      <c r="BF146" s="265"/>
      <c r="BG146" s="265"/>
      <c r="BH146" s="265"/>
      <c r="BI146" s="268"/>
      <c r="BJ146" s="267"/>
      <c r="BK146" s="265"/>
      <c r="BL146" s="265"/>
      <c r="BM146" s="160"/>
      <c r="BN146" s="169"/>
      <c r="BO146" s="265"/>
      <c r="BP146" s="268"/>
      <c r="BQ146" s="161"/>
      <c r="BR146" s="428"/>
      <c r="BS146" s="159"/>
      <c r="BT146" s="159"/>
      <c r="BU146" s="159"/>
      <c r="BV146" s="159"/>
      <c r="BW146" s="160"/>
      <c r="BX146" s="170"/>
      <c r="BY146" s="177"/>
      <c r="BZ146" s="177"/>
      <c r="CA146" s="177"/>
      <c r="CB146" s="159"/>
      <c r="CC146" s="225"/>
      <c r="CD146" s="226"/>
      <c r="CE146" s="224"/>
      <c r="CF146" s="225"/>
      <c r="CG146" s="225"/>
      <c r="CH146" s="225"/>
      <c r="CI146" s="225"/>
      <c r="CJ146" s="225"/>
      <c r="CK146" s="226"/>
      <c r="CL146" s="161"/>
      <c r="CM146" s="159"/>
      <c r="CN146" s="159"/>
      <c r="CO146" s="227"/>
      <c r="CP146" s="170"/>
      <c r="CQ146" s="159"/>
      <c r="CR146" s="162"/>
      <c r="CS146" s="161"/>
      <c r="CT146" s="159"/>
      <c r="CU146" s="159"/>
      <c r="CV146" s="159"/>
      <c r="CW146" s="159"/>
      <c r="CX146" s="159"/>
      <c r="CY146" s="161"/>
      <c r="CZ146" s="159"/>
      <c r="DA146" s="159"/>
      <c r="DB146" s="159"/>
      <c r="DC146" s="159"/>
      <c r="DD146" s="159"/>
      <c r="DE146" s="162"/>
      <c r="DF146" s="174"/>
      <c r="DG146" s="159"/>
      <c r="DH146" s="159"/>
      <c r="DI146" s="159"/>
      <c r="DJ146" s="159"/>
      <c r="DK146" s="159"/>
      <c r="DL146" s="162"/>
      <c r="DM146" s="170"/>
      <c r="DN146" s="159"/>
      <c r="DO146" s="159"/>
      <c r="DP146" s="159"/>
      <c r="DQ146" s="159"/>
      <c r="DR146" s="159"/>
      <c r="DS146" s="175"/>
    </row>
    <row r="147" spans="1:123" ht="14" outlineLevel="1">
      <c r="A147" s="297" t="s">
        <v>247</v>
      </c>
      <c r="B147" s="312"/>
      <c r="C147" s="369"/>
      <c r="D147" s="264"/>
      <c r="E147" s="265"/>
      <c r="F147" s="265"/>
      <c r="G147" s="265"/>
      <c r="H147" s="265"/>
      <c r="I147" s="265"/>
      <c r="J147" s="265"/>
      <c r="K147" s="265"/>
      <c r="L147" s="266"/>
      <c r="M147" s="267"/>
      <c r="N147" s="265"/>
      <c r="O147" s="265"/>
      <c r="P147" s="265"/>
      <c r="Q147" s="265"/>
      <c r="R147" s="265"/>
      <c r="S147" s="268"/>
      <c r="T147" s="267"/>
      <c r="U147" s="265"/>
      <c r="V147" s="265"/>
      <c r="W147" s="265"/>
      <c r="X147" s="265"/>
      <c r="Y147" s="111"/>
      <c r="Z147" s="112"/>
      <c r="AA147" s="113"/>
      <c r="AB147" s="111"/>
      <c r="AC147" s="111"/>
      <c r="AD147" s="111"/>
      <c r="AE147" s="111"/>
      <c r="AF147" s="111"/>
      <c r="AG147" s="112"/>
      <c r="AH147" s="114"/>
      <c r="AI147" s="115"/>
      <c r="AJ147" s="111"/>
      <c r="AK147" s="111"/>
      <c r="AL147" s="111"/>
      <c r="AM147" s="111"/>
      <c r="AN147" s="116"/>
      <c r="AO147" s="267"/>
      <c r="AP147" s="265"/>
      <c r="AQ147" s="265"/>
      <c r="AR147" s="265"/>
      <c r="AS147" s="265"/>
      <c r="AT147" s="265"/>
      <c r="AU147" s="268"/>
      <c r="AV147" s="267"/>
      <c r="AW147" s="265"/>
      <c r="AX147" s="265"/>
      <c r="AY147" s="265"/>
      <c r="AZ147" s="265"/>
      <c r="BA147" s="265"/>
      <c r="BB147" s="268"/>
      <c r="BC147" s="267"/>
      <c r="BD147" s="265"/>
      <c r="BE147" s="265"/>
      <c r="BF147" s="265"/>
      <c r="BG147" s="265"/>
      <c r="BH147" s="265"/>
      <c r="BI147" s="268"/>
      <c r="BJ147" s="267"/>
      <c r="BK147" s="265"/>
      <c r="BL147" s="265"/>
      <c r="BM147" s="160"/>
      <c r="BN147" s="169"/>
      <c r="BO147" s="265"/>
      <c r="BP147" s="268"/>
      <c r="BQ147" s="161"/>
      <c r="BR147" s="428"/>
      <c r="BS147" s="159"/>
      <c r="BT147" s="159"/>
      <c r="BU147" s="159"/>
      <c r="BV147" s="159"/>
      <c r="BW147" s="162"/>
      <c r="BX147" s="170"/>
      <c r="BY147" s="159"/>
      <c r="BZ147" s="159"/>
      <c r="CA147" s="159"/>
      <c r="CB147" s="159"/>
      <c r="CC147" s="225"/>
      <c r="CD147" s="226"/>
      <c r="CE147" s="224"/>
      <c r="CF147" s="225"/>
      <c r="CG147" s="225"/>
      <c r="CH147" s="225"/>
      <c r="CI147" s="225"/>
      <c r="CJ147" s="225"/>
      <c r="CK147" s="226"/>
      <c r="CL147" s="161"/>
      <c r="CM147" s="159"/>
      <c r="CN147" s="159"/>
      <c r="CO147" s="227"/>
      <c r="CP147" s="170"/>
      <c r="CQ147" s="159"/>
      <c r="CR147" s="162"/>
      <c r="CS147" s="161"/>
      <c r="CT147" s="159"/>
      <c r="CU147" s="159"/>
      <c r="CV147" s="159"/>
      <c r="CW147" s="159"/>
      <c r="CX147" s="159"/>
      <c r="CY147" s="161"/>
      <c r="CZ147" s="159"/>
      <c r="DA147" s="159"/>
      <c r="DB147" s="159"/>
      <c r="DC147" s="159"/>
      <c r="DD147" s="159"/>
      <c r="DE147" s="162"/>
      <c r="DF147" s="174"/>
      <c r="DG147" s="159"/>
      <c r="DH147" s="159"/>
      <c r="DI147" s="159"/>
      <c r="DJ147" s="159"/>
      <c r="DK147" s="159"/>
      <c r="DL147" s="162"/>
      <c r="DM147" s="170"/>
      <c r="DN147" s="159"/>
      <c r="DO147" s="159"/>
      <c r="DP147" s="159"/>
      <c r="DQ147" s="159"/>
      <c r="DR147" s="159"/>
      <c r="DS147" s="175"/>
    </row>
    <row r="148" spans="1:123" ht="14" outlineLevel="1">
      <c r="A148" s="298" t="s">
        <v>310</v>
      </c>
      <c r="B148" s="313" t="s">
        <v>5</v>
      </c>
      <c r="C148" s="296" t="s">
        <v>178</v>
      </c>
      <c r="D148" s="264"/>
      <c r="E148" s="265"/>
      <c r="F148" s="265"/>
      <c r="G148" s="265"/>
      <c r="H148" s="265"/>
      <c r="I148" s="265"/>
      <c r="J148" s="265"/>
      <c r="K148" s="265"/>
      <c r="L148" s="266"/>
      <c r="M148" s="267"/>
      <c r="N148" s="265"/>
      <c r="O148" s="265"/>
      <c r="P148" s="265"/>
      <c r="Q148" s="265"/>
      <c r="R148" s="265"/>
      <c r="S148" s="268"/>
      <c r="T148" s="267"/>
      <c r="U148" s="265"/>
      <c r="V148" s="265"/>
      <c r="W148" s="265"/>
      <c r="X148" s="265"/>
      <c r="Y148" s="111"/>
      <c r="Z148" s="112"/>
      <c r="AA148" s="113"/>
      <c r="AB148" s="111"/>
      <c r="AC148" s="111"/>
      <c r="AD148" s="111"/>
      <c r="AE148" s="111"/>
      <c r="AF148" s="111"/>
      <c r="AG148" s="112"/>
      <c r="AH148" s="114"/>
      <c r="AI148" s="115"/>
      <c r="AJ148" s="111"/>
      <c r="AK148" s="111"/>
      <c r="AL148" s="111"/>
      <c r="AM148" s="111"/>
      <c r="AN148" s="116"/>
      <c r="AO148" s="267"/>
      <c r="AP148" s="265"/>
      <c r="AQ148" s="265"/>
      <c r="AR148" s="265"/>
      <c r="AS148" s="265"/>
      <c r="AT148" s="265"/>
      <c r="AU148" s="268"/>
      <c r="AV148" s="109"/>
      <c r="AW148" s="107"/>
      <c r="AX148" s="107"/>
      <c r="AY148" s="107"/>
      <c r="AZ148" s="107"/>
      <c r="BA148" s="107"/>
      <c r="BB148" s="110"/>
      <c r="BC148" s="109"/>
      <c r="BD148" s="107"/>
      <c r="BE148" s="107"/>
      <c r="BF148" s="107"/>
      <c r="BG148" s="107"/>
      <c r="BH148" s="107"/>
      <c r="BI148" s="108"/>
      <c r="BJ148" s="214"/>
      <c r="BK148" s="177"/>
      <c r="BL148" s="177"/>
      <c r="BM148" s="234"/>
      <c r="BN148" s="370"/>
      <c r="BO148" s="177"/>
      <c r="BP148" s="216"/>
      <c r="BQ148" s="161"/>
      <c r="BR148" s="428"/>
      <c r="BS148" s="159"/>
      <c r="BT148" s="159"/>
      <c r="BU148" s="159"/>
      <c r="BV148" s="159"/>
      <c r="BW148" s="162"/>
      <c r="BX148" s="170"/>
      <c r="BY148" s="159"/>
      <c r="BZ148" s="159"/>
      <c r="CA148" s="159"/>
      <c r="CB148" s="159"/>
      <c r="CC148" s="225"/>
      <c r="CD148" s="226"/>
      <c r="CE148" s="224"/>
      <c r="CF148" s="225"/>
      <c r="CG148" s="225"/>
      <c r="CH148" s="225"/>
      <c r="CI148" s="225"/>
      <c r="CJ148" s="225"/>
      <c r="CK148" s="226"/>
      <c r="CL148" s="161"/>
      <c r="CM148" s="159"/>
      <c r="CN148" s="159"/>
      <c r="CO148" s="227"/>
      <c r="CP148" s="170"/>
      <c r="CQ148" s="159"/>
      <c r="CR148" s="162"/>
      <c r="CS148" s="161"/>
      <c r="CT148" s="159"/>
      <c r="CU148" s="159"/>
      <c r="CV148" s="159"/>
      <c r="CW148" s="159"/>
      <c r="CX148" s="159"/>
      <c r="CY148" s="161"/>
      <c r="CZ148" s="159"/>
      <c r="DA148" s="159"/>
      <c r="DB148" s="159"/>
      <c r="DC148" s="159"/>
      <c r="DD148" s="159"/>
      <c r="DE148" s="162"/>
      <c r="DF148" s="174"/>
      <c r="DG148" s="159"/>
      <c r="DH148" s="159"/>
      <c r="DI148" s="159"/>
      <c r="DJ148" s="159"/>
      <c r="DK148" s="159"/>
      <c r="DL148" s="162"/>
      <c r="DM148" s="170"/>
      <c r="DN148" s="159"/>
      <c r="DO148" s="159"/>
      <c r="DP148" s="159"/>
      <c r="DQ148" s="159"/>
      <c r="DR148" s="159"/>
      <c r="DS148" s="175"/>
    </row>
    <row r="149" spans="1:123" ht="14" outlineLevel="1">
      <c r="A149" s="298" t="s">
        <v>248</v>
      </c>
      <c r="B149" s="313" t="s">
        <v>5</v>
      </c>
      <c r="C149" s="296" t="s">
        <v>178</v>
      </c>
      <c r="D149" s="264"/>
      <c r="E149" s="265"/>
      <c r="F149" s="265"/>
      <c r="G149" s="265"/>
      <c r="H149" s="265"/>
      <c r="I149" s="265"/>
      <c r="J149" s="265"/>
      <c r="K149" s="265"/>
      <c r="L149" s="266"/>
      <c r="M149" s="267"/>
      <c r="N149" s="265"/>
      <c r="O149" s="265"/>
      <c r="P149" s="265"/>
      <c r="Q149" s="265"/>
      <c r="R149" s="265"/>
      <c r="S149" s="268"/>
      <c r="T149" s="267"/>
      <c r="U149" s="265"/>
      <c r="V149" s="265"/>
      <c r="W149" s="265"/>
      <c r="X149" s="265"/>
      <c r="Y149" s="111"/>
      <c r="Z149" s="112"/>
      <c r="AA149" s="113"/>
      <c r="AB149" s="111"/>
      <c r="AC149" s="111"/>
      <c r="AD149" s="111"/>
      <c r="AE149" s="111"/>
      <c r="AF149" s="111"/>
      <c r="AG149" s="112"/>
      <c r="AH149" s="114"/>
      <c r="AI149" s="115"/>
      <c r="AJ149" s="111"/>
      <c r="AK149" s="111"/>
      <c r="AL149" s="111"/>
      <c r="AM149" s="111"/>
      <c r="AN149" s="116"/>
      <c r="AO149" s="262"/>
      <c r="AP149" s="260"/>
      <c r="AQ149" s="260"/>
      <c r="AR149" s="260"/>
      <c r="AS149" s="260"/>
      <c r="AT149" s="265"/>
      <c r="AU149" s="268"/>
      <c r="AV149" s="262"/>
      <c r="AW149" s="260"/>
      <c r="AX149" s="260"/>
      <c r="AY149" s="260"/>
      <c r="AZ149" s="107"/>
      <c r="BA149" s="107"/>
      <c r="BB149" s="110"/>
      <c r="BC149" s="109"/>
      <c r="BD149" s="107"/>
      <c r="BE149" s="107"/>
      <c r="BF149" s="107"/>
      <c r="BG149" s="107"/>
      <c r="BH149" s="107"/>
      <c r="BI149" s="108"/>
      <c r="BJ149" s="161"/>
      <c r="BK149" s="159"/>
      <c r="BL149" s="159"/>
      <c r="BM149" s="160"/>
      <c r="BN149" s="169"/>
      <c r="BO149" s="159"/>
      <c r="BP149" s="162"/>
      <c r="BQ149" s="161"/>
      <c r="BR149" s="428"/>
      <c r="BS149" s="159"/>
      <c r="BT149" s="159"/>
      <c r="BU149" s="159"/>
      <c r="BV149" s="159"/>
      <c r="BW149" s="162"/>
      <c r="BX149" s="170"/>
      <c r="BY149" s="159"/>
      <c r="BZ149" s="159"/>
      <c r="CA149" s="159"/>
      <c r="CB149" s="159"/>
      <c r="CC149" s="225"/>
      <c r="CD149" s="226"/>
      <c r="CE149" s="224"/>
      <c r="CF149" s="225"/>
      <c r="CG149" s="225"/>
      <c r="CH149" s="225"/>
      <c r="CI149" s="225"/>
      <c r="CJ149" s="225"/>
      <c r="CK149" s="226"/>
      <c r="CL149" s="161"/>
      <c r="CM149" s="159"/>
      <c r="CN149" s="159"/>
      <c r="CO149" s="227"/>
      <c r="CP149" s="170"/>
      <c r="CQ149" s="159"/>
      <c r="CR149" s="162"/>
      <c r="CS149" s="161"/>
      <c r="CT149" s="159"/>
      <c r="CU149" s="159"/>
      <c r="CV149" s="159"/>
      <c r="CW149" s="159"/>
      <c r="CX149" s="159"/>
      <c r="CY149" s="161"/>
      <c r="CZ149" s="159"/>
      <c r="DA149" s="159"/>
      <c r="DB149" s="159"/>
      <c r="DC149" s="159"/>
      <c r="DD149" s="159"/>
      <c r="DE149" s="162"/>
      <c r="DF149" s="174"/>
      <c r="DG149" s="159"/>
      <c r="DH149" s="159"/>
      <c r="DI149" s="159"/>
      <c r="DJ149" s="159"/>
      <c r="DK149" s="159"/>
      <c r="DL149" s="162"/>
      <c r="DM149" s="170"/>
      <c r="DN149" s="159"/>
      <c r="DO149" s="159"/>
      <c r="DP149" s="159"/>
      <c r="DQ149" s="159"/>
      <c r="DR149" s="159"/>
      <c r="DS149" s="175"/>
    </row>
    <row r="150" spans="1:123" ht="14" outlineLevel="1">
      <c r="A150" s="299" t="s">
        <v>249</v>
      </c>
      <c r="B150" s="310" t="s">
        <v>36</v>
      </c>
      <c r="C150" s="293" t="s">
        <v>178</v>
      </c>
      <c r="D150" s="264"/>
      <c r="E150" s="265"/>
      <c r="F150" s="265"/>
      <c r="G150" s="265"/>
      <c r="H150" s="265"/>
      <c r="I150" s="265"/>
      <c r="J150" s="265"/>
      <c r="K150" s="265"/>
      <c r="L150" s="266"/>
      <c r="M150" s="267"/>
      <c r="N150" s="265"/>
      <c r="O150" s="265"/>
      <c r="P150" s="265"/>
      <c r="Q150" s="265"/>
      <c r="R150" s="265"/>
      <c r="S150" s="268"/>
      <c r="T150" s="267"/>
      <c r="U150" s="265"/>
      <c r="V150" s="265"/>
      <c r="W150" s="265"/>
      <c r="X150" s="265"/>
      <c r="Y150" s="111"/>
      <c r="Z150" s="112"/>
      <c r="AA150" s="113"/>
      <c r="AB150" s="111"/>
      <c r="AC150" s="111"/>
      <c r="AD150" s="111"/>
      <c r="AE150" s="111"/>
      <c r="AF150" s="111"/>
      <c r="AG150" s="112"/>
      <c r="AH150" s="114"/>
      <c r="AI150" s="115"/>
      <c r="AJ150" s="111"/>
      <c r="AK150" s="111"/>
      <c r="AL150" s="111"/>
      <c r="AM150" s="111"/>
      <c r="AN150" s="116"/>
      <c r="AO150" s="276"/>
      <c r="AP150" s="277"/>
      <c r="AQ150" s="277"/>
      <c r="AR150" s="277"/>
      <c r="AS150" s="277"/>
      <c r="AT150" s="265"/>
      <c r="AU150" s="268"/>
      <c r="AV150" s="278"/>
      <c r="AW150" s="279"/>
      <c r="AX150" s="279"/>
      <c r="AY150" s="260"/>
      <c r="AZ150" s="121"/>
      <c r="BA150" s="121"/>
      <c r="BB150" s="142"/>
      <c r="BC150" s="109"/>
      <c r="BD150" s="107"/>
      <c r="BE150" s="107"/>
      <c r="BF150" s="107"/>
      <c r="BG150" s="107"/>
      <c r="BH150" s="107"/>
      <c r="BI150" s="108"/>
      <c r="BJ150" s="161"/>
      <c r="BK150" s="159"/>
      <c r="BL150" s="159"/>
      <c r="BM150" s="160"/>
      <c r="BN150" s="169"/>
      <c r="BO150" s="159"/>
      <c r="BP150" s="162"/>
      <c r="BQ150" s="161"/>
      <c r="BR150" s="428"/>
      <c r="BS150" s="159"/>
      <c r="BT150" s="159"/>
      <c r="BU150" s="159"/>
      <c r="BV150" s="159"/>
      <c r="BW150" s="162"/>
      <c r="BX150" s="170"/>
      <c r="BY150" s="159"/>
      <c r="BZ150" s="159"/>
      <c r="CA150" s="159"/>
      <c r="CB150" s="159"/>
      <c r="CC150" s="225"/>
      <c r="CD150" s="226"/>
      <c r="CE150" s="224"/>
      <c r="CF150" s="225"/>
      <c r="CG150" s="225"/>
      <c r="CH150" s="225"/>
      <c r="CI150" s="225"/>
      <c r="CJ150" s="225"/>
      <c r="CK150" s="226"/>
      <c r="CL150" s="59"/>
      <c r="CM150" s="57"/>
      <c r="CN150" s="57"/>
      <c r="CO150" s="73"/>
      <c r="CP150" s="170"/>
      <c r="CQ150" s="159"/>
      <c r="CR150" s="162"/>
      <c r="CS150" s="161"/>
      <c r="CT150" s="159"/>
      <c r="CU150" s="159"/>
      <c r="CV150" s="159"/>
      <c r="CW150" s="159"/>
      <c r="CX150" s="159"/>
      <c r="CY150" s="161"/>
      <c r="CZ150" s="159"/>
      <c r="DA150" s="159"/>
      <c r="DB150" s="159"/>
      <c r="DC150" s="159"/>
      <c r="DD150" s="159"/>
      <c r="DE150" s="162"/>
      <c r="DF150" s="174"/>
      <c r="DG150" s="159"/>
      <c r="DH150" s="159"/>
      <c r="DI150" s="159"/>
      <c r="DJ150" s="159"/>
      <c r="DK150" s="159"/>
      <c r="DL150" s="162"/>
      <c r="DM150" s="170"/>
      <c r="DN150" s="159"/>
      <c r="DO150" s="159"/>
      <c r="DP150" s="159"/>
      <c r="DQ150" s="159"/>
      <c r="DR150" s="159"/>
      <c r="DS150" s="175"/>
    </row>
    <row r="151" spans="1:123" ht="14" outlineLevel="1">
      <c r="A151" s="299" t="s">
        <v>342</v>
      </c>
      <c r="B151" s="310" t="s">
        <v>5</v>
      </c>
      <c r="C151" s="306" t="s">
        <v>181</v>
      </c>
      <c r="D151" s="264"/>
      <c r="E151" s="265"/>
      <c r="F151" s="265"/>
      <c r="G151" s="265"/>
      <c r="H151" s="265"/>
      <c r="I151" s="265"/>
      <c r="J151" s="265"/>
      <c r="K151" s="265"/>
      <c r="L151" s="266"/>
      <c r="M151" s="267"/>
      <c r="N151" s="265"/>
      <c r="O151" s="265"/>
      <c r="P151" s="265"/>
      <c r="Q151" s="265"/>
      <c r="R151" s="265"/>
      <c r="S151" s="268"/>
      <c r="T151" s="267"/>
      <c r="U151" s="265"/>
      <c r="V151" s="265"/>
      <c r="W151" s="265"/>
      <c r="X151" s="265"/>
      <c r="Y151" s="111"/>
      <c r="Z151" s="112"/>
      <c r="AA151" s="113"/>
      <c r="AB151" s="111"/>
      <c r="AC151" s="111"/>
      <c r="AD151" s="111"/>
      <c r="AE151" s="111"/>
      <c r="AF151" s="111"/>
      <c r="AG151" s="112"/>
      <c r="AH151" s="114"/>
      <c r="AI151" s="115"/>
      <c r="AJ151" s="111"/>
      <c r="AK151" s="111"/>
      <c r="AL151" s="111"/>
      <c r="AM151" s="111"/>
      <c r="AN151" s="116"/>
      <c r="AO151" s="267"/>
      <c r="AP151" s="265"/>
      <c r="AQ151" s="265"/>
      <c r="AR151" s="265"/>
      <c r="AS151" s="265"/>
      <c r="AT151" s="265"/>
      <c r="AU151" s="268"/>
      <c r="AV151" s="258"/>
      <c r="AW151" s="256"/>
      <c r="AX151" s="256"/>
      <c r="AY151" s="256"/>
      <c r="AZ151" s="107"/>
      <c r="BA151" s="107"/>
      <c r="BB151" s="110"/>
      <c r="BC151" s="109"/>
      <c r="BD151" s="107"/>
      <c r="BE151" s="107"/>
      <c r="BF151" s="107"/>
      <c r="BG151" s="107"/>
      <c r="BH151" s="107"/>
      <c r="BI151" s="108"/>
      <c r="BJ151" s="161"/>
      <c r="BK151" s="159"/>
      <c r="BL151" s="159"/>
      <c r="BM151" s="160"/>
      <c r="BN151" s="169"/>
      <c r="BO151" s="159"/>
      <c r="BP151" s="162"/>
      <c r="BQ151" s="161"/>
      <c r="BR151" s="428"/>
      <c r="BS151" s="159"/>
      <c r="BT151" s="159"/>
      <c r="BU151" s="159"/>
      <c r="BV151" s="159"/>
      <c r="BW151" s="162"/>
      <c r="BX151" s="170"/>
      <c r="BY151" s="159"/>
      <c r="BZ151" s="159"/>
      <c r="CA151" s="159"/>
      <c r="CB151" s="159"/>
      <c r="CC151" s="225"/>
      <c r="CD151" s="226"/>
      <c r="CE151" s="224"/>
      <c r="CF151" s="225"/>
      <c r="CG151" s="225"/>
      <c r="CH151" s="225"/>
      <c r="CI151" s="225"/>
      <c r="CJ151" s="225"/>
      <c r="CK151" s="226"/>
      <c r="CL151" s="161"/>
      <c r="CM151" s="159"/>
      <c r="CN151" s="159"/>
      <c r="CO151" s="227"/>
      <c r="CP151" s="170"/>
      <c r="CQ151" s="159"/>
      <c r="CR151" s="162"/>
      <c r="CS151" s="161"/>
      <c r="CT151" s="159"/>
      <c r="CU151" s="159"/>
      <c r="CV151" s="159"/>
      <c r="CW151" s="159"/>
      <c r="CX151" s="159"/>
      <c r="CY151" s="161"/>
      <c r="CZ151" s="159"/>
      <c r="DA151" s="159"/>
      <c r="DB151" s="159"/>
      <c r="DC151" s="159"/>
      <c r="DD151" s="159"/>
      <c r="DE151" s="162"/>
      <c r="DF151" s="174"/>
      <c r="DG151" s="159"/>
      <c r="DH151" s="159"/>
      <c r="DI151" s="159"/>
      <c r="DJ151" s="159"/>
      <c r="DK151" s="159"/>
      <c r="DL151" s="162"/>
      <c r="DM151" s="170"/>
      <c r="DN151" s="159"/>
      <c r="DO151" s="159"/>
      <c r="DP151" s="159"/>
      <c r="DQ151" s="159"/>
      <c r="DR151" s="159"/>
      <c r="DS151" s="175"/>
    </row>
    <row r="152" spans="1:123" ht="14" outlineLevel="1">
      <c r="A152" s="299" t="s">
        <v>261</v>
      </c>
      <c r="B152" s="310" t="s">
        <v>36</v>
      </c>
      <c r="C152" s="293" t="s">
        <v>178</v>
      </c>
      <c r="D152" s="264"/>
      <c r="E152" s="265"/>
      <c r="F152" s="265"/>
      <c r="G152" s="265"/>
      <c r="H152" s="265"/>
      <c r="I152" s="265"/>
      <c r="J152" s="265"/>
      <c r="K152" s="265"/>
      <c r="L152" s="266"/>
      <c r="M152" s="267"/>
      <c r="N152" s="265"/>
      <c r="O152" s="265"/>
      <c r="P152" s="265"/>
      <c r="Q152" s="265"/>
      <c r="R152" s="265"/>
      <c r="S152" s="268"/>
      <c r="T152" s="267"/>
      <c r="U152" s="265"/>
      <c r="V152" s="265"/>
      <c r="W152" s="265"/>
      <c r="X152" s="265"/>
      <c r="Y152" s="111"/>
      <c r="Z152" s="112"/>
      <c r="AA152" s="113"/>
      <c r="AB152" s="111"/>
      <c r="AC152" s="111"/>
      <c r="AD152" s="111"/>
      <c r="AE152" s="111"/>
      <c r="AF152" s="111"/>
      <c r="AG152" s="112"/>
      <c r="AH152" s="114"/>
      <c r="AI152" s="115"/>
      <c r="AJ152" s="111"/>
      <c r="AK152" s="111"/>
      <c r="AL152" s="111"/>
      <c r="AM152" s="111"/>
      <c r="AN152" s="116"/>
      <c r="AO152" s="276"/>
      <c r="AP152" s="277"/>
      <c r="AQ152" s="277"/>
      <c r="AR152" s="277"/>
      <c r="AS152" s="277"/>
      <c r="AT152" s="265"/>
      <c r="AU152" s="268"/>
      <c r="AV152" s="278"/>
      <c r="AW152" s="279"/>
      <c r="AX152" s="279"/>
      <c r="AY152" s="260"/>
      <c r="AZ152" s="121"/>
      <c r="BA152" s="121"/>
      <c r="BB152" s="142"/>
      <c r="BC152" s="109"/>
      <c r="BD152" s="107"/>
      <c r="BE152" s="107"/>
      <c r="BF152" s="107"/>
      <c r="BG152" s="107"/>
      <c r="BH152" s="107"/>
      <c r="BI152" s="108"/>
      <c r="BJ152" s="161"/>
      <c r="BK152" s="159"/>
      <c r="BL152" s="159"/>
      <c r="BM152" s="160"/>
      <c r="BN152" s="169"/>
      <c r="BO152" s="159"/>
      <c r="BP152" s="162"/>
      <c r="BQ152" s="161"/>
      <c r="BR152" s="428"/>
      <c r="BS152" s="159"/>
      <c r="BT152" s="159"/>
      <c r="BU152" s="159"/>
      <c r="BV152" s="159"/>
      <c r="BW152" s="162"/>
      <c r="BX152" s="170"/>
      <c r="BY152" s="159"/>
      <c r="BZ152" s="159"/>
      <c r="CA152" s="159"/>
      <c r="CB152" s="159"/>
      <c r="CC152" s="225"/>
      <c r="CD152" s="226"/>
      <c r="CE152" s="224"/>
      <c r="CF152" s="225"/>
      <c r="CG152" s="225"/>
      <c r="CH152" s="225"/>
      <c r="CI152" s="225"/>
      <c r="CJ152" s="225"/>
      <c r="CK152" s="226"/>
      <c r="CL152" s="161"/>
      <c r="CM152" s="159"/>
      <c r="CN152" s="159"/>
      <c r="CO152" s="227"/>
      <c r="CP152" s="170"/>
      <c r="CQ152" s="159"/>
      <c r="CR152" s="162"/>
      <c r="CS152" s="161"/>
      <c r="CT152" s="159"/>
      <c r="CU152" s="159"/>
      <c r="CV152" s="159"/>
      <c r="CW152" s="159"/>
      <c r="CX152" s="159"/>
      <c r="CY152" s="161"/>
      <c r="CZ152" s="159"/>
      <c r="DA152" s="159"/>
      <c r="DB152" s="159"/>
      <c r="DC152" s="159"/>
      <c r="DD152" s="159"/>
      <c r="DE152" s="162"/>
      <c r="DF152" s="174"/>
      <c r="DG152" s="159"/>
      <c r="DH152" s="159"/>
      <c r="DI152" s="159"/>
      <c r="DJ152" s="159"/>
      <c r="DK152" s="159"/>
      <c r="DL152" s="162"/>
      <c r="DM152" s="170"/>
      <c r="DN152" s="159"/>
      <c r="DO152" s="159"/>
      <c r="DP152" s="159"/>
      <c r="DQ152" s="159"/>
      <c r="DR152" s="159"/>
      <c r="DS152" s="175"/>
    </row>
    <row r="153" spans="1:123" ht="14">
      <c r="A153" s="299" t="s">
        <v>250</v>
      </c>
      <c r="B153" s="310" t="s">
        <v>5</v>
      </c>
      <c r="C153" s="293" t="s">
        <v>178</v>
      </c>
      <c r="D153" s="264"/>
      <c r="E153" s="265"/>
      <c r="F153" s="265"/>
      <c r="G153" s="265"/>
      <c r="H153" s="265"/>
      <c r="I153" s="265"/>
      <c r="J153" s="265"/>
      <c r="K153" s="265"/>
      <c r="L153" s="266"/>
      <c r="M153" s="267"/>
      <c r="N153" s="265"/>
      <c r="O153" s="265"/>
      <c r="P153" s="265"/>
      <c r="Q153" s="265"/>
      <c r="R153" s="265"/>
      <c r="S153" s="268"/>
      <c r="T153" s="267"/>
      <c r="U153" s="265"/>
      <c r="V153" s="265"/>
      <c r="W153" s="265"/>
      <c r="X153" s="265"/>
      <c r="Y153" s="111"/>
      <c r="Z153" s="112"/>
      <c r="AA153" s="113"/>
      <c r="AB153" s="111"/>
      <c r="AC153" s="111"/>
      <c r="AD153" s="111"/>
      <c r="AE153" s="111"/>
      <c r="AF153" s="111"/>
      <c r="AG153" s="112"/>
      <c r="AH153" s="114"/>
      <c r="AI153" s="115"/>
      <c r="AJ153" s="111"/>
      <c r="AK153" s="111"/>
      <c r="AL153" s="111"/>
      <c r="AM153" s="111"/>
      <c r="AN153" s="116"/>
      <c r="AO153" s="267"/>
      <c r="AP153" s="265"/>
      <c r="AQ153" s="265"/>
      <c r="AR153" s="265"/>
      <c r="AS153" s="265"/>
      <c r="AT153" s="265"/>
      <c r="AU153" s="268"/>
      <c r="AV153" s="262"/>
      <c r="AW153" s="260"/>
      <c r="AX153" s="260"/>
      <c r="AY153" s="260"/>
      <c r="AZ153" s="256"/>
      <c r="BA153" s="256"/>
      <c r="BB153" s="259"/>
      <c r="BC153" s="258"/>
      <c r="BD153" s="256"/>
      <c r="BE153" s="256"/>
      <c r="BF153" s="256"/>
      <c r="BG153" s="256"/>
      <c r="BH153" s="256"/>
      <c r="BI153" s="280"/>
      <c r="BJ153" s="161"/>
      <c r="BK153" s="159"/>
      <c r="BL153" s="159"/>
      <c r="BM153" s="160"/>
      <c r="BN153" s="169"/>
      <c r="BO153" s="159"/>
      <c r="BP153" s="162"/>
      <c r="BQ153" s="161"/>
      <c r="BR153" s="428"/>
      <c r="BS153" s="159"/>
      <c r="BT153" s="159"/>
      <c r="BU153" s="159"/>
      <c r="BV153" s="159"/>
      <c r="BW153" s="162"/>
      <c r="BX153" s="170"/>
      <c r="BY153" s="159"/>
      <c r="BZ153" s="159"/>
      <c r="CA153" s="159"/>
      <c r="CB153" s="159"/>
      <c r="CC153" s="225"/>
      <c r="CD153" s="226"/>
      <c r="CE153" s="224"/>
      <c r="CF153" s="225"/>
      <c r="CG153" s="225"/>
      <c r="CH153" s="225"/>
      <c r="CI153" s="225"/>
      <c r="CJ153" s="225"/>
      <c r="CK153" s="226"/>
      <c r="CL153" s="161"/>
      <c r="CM153" s="159"/>
      <c r="CN153" s="159"/>
      <c r="CO153" s="227"/>
      <c r="CP153" s="170"/>
      <c r="CQ153" s="159"/>
      <c r="CR153" s="162"/>
      <c r="CS153" s="161"/>
      <c r="CT153" s="159"/>
      <c r="CU153" s="159"/>
      <c r="CV153" s="159"/>
      <c r="CW153" s="159"/>
      <c r="CX153" s="159"/>
      <c r="CY153" s="161"/>
      <c r="CZ153" s="159"/>
      <c r="DA153" s="159"/>
      <c r="DB153" s="159"/>
      <c r="DC153" s="159"/>
      <c r="DD153" s="159"/>
      <c r="DE153" s="162"/>
      <c r="DF153" s="174"/>
      <c r="DG153" s="159"/>
      <c r="DH153" s="159"/>
      <c r="DI153" s="159"/>
      <c r="DJ153" s="159"/>
      <c r="DK153" s="159"/>
      <c r="DL153" s="162"/>
      <c r="DM153" s="170"/>
      <c r="DN153" s="159"/>
      <c r="DO153" s="159"/>
      <c r="DP153" s="159"/>
      <c r="DQ153" s="159"/>
      <c r="DR153" s="159"/>
      <c r="DS153" s="175"/>
    </row>
    <row r="154" spans="1:123" ht="14">
      <c r="A154" s="300" t="s">
        <v>251</v>
      </c>
      <c r="B154" s="314" t="s">
        <v>5</v>
      </c>
      <c r="C154" s="295" t="s">
        <v>178</v>
      </c>
      <c r="D154" s="255"/>
      <c r="E154" s="256"/>
      <c r="F154" s="256"/>
      <c r="G154" s="256"/>
      <c r="H154" s="256"/>
      <c r="I154" s="256"/>
      <c r="J154" s="256"/>
      <c r="K154" s="256"/>
      <c r="L154" s="257"/>
      <c r="M154" s="258"/>
      <c r="N154" s="256"/>
      <c r="O154" s="256"/>
      <c r="P154" s="256"/>
      <c r="Q154" s="256"/>
      <c r="R154" s="256"/>
      <c r="S154" s="259"/>
      <c r="T154" s="258"/>
      <c r="U154" s="256"/>
      <c r="V154" s="256"/>
      <c r="W154" s="256"/>
      <c r="X154" s="256"/>
      <c r="Y154" s="242"/>
      <c r="Z154" s="243"/>
      <c r="AA154" s="244"/>
      <c r="AB154" s="242"/>
      <c r="AC154" s="242"/>
      <c r="AD154" s="242"/>
      <c r="AE154" s="242"/>
      <c r="AF154" s="242"/>
      <c r="AG154" s="243"/>
      <c r="AH154" s="245"/>
      <c r="AI154" s="246"/>
      <c r="AJ154" s="242"/>
      <c r="AK154" s="242"/>
      <c r="AL154" s="242"/>
      <c r="AM154" s="242"/>
      <c r="AN154" s="247"/>
      <c r="AO154" s="258"/>
      <c r="AP154" s="256"/>
      <c r="AQ154" s="256"/>
      <c r="AR154" s="256"/>
      <c r="AS154" s="256"/>
      <c r="AT154" s="256"/>
      <c r="AU154" s="259"/>
      <c r="AV154" s="258"/>
      <c r="AW154" s="256"/>
      <c r="AX154" s="256"/>
      <c r="AY154" s="289"/>
      <c r="AZ154" s="260"/>
      <c r="BA154" s="260"/>
      <c r="BB154" s="261"/>
      <c r="BC154" s="258"/>
      <c r="BD154" s="256"/>
      <c r="BE154" s="256"/>
      <c r="BF154" s="256"/>
      <c r="BG154" s="256"/>
      <c r="BH154" s="256"/>
      <c r="BI154" s="280"/>
      <c r="BJ154" s="161"/>
      <c r="BK154" s="159"/>
      <c r="BL154" s="159"/>
      <c r="BM154" s="160"/>
      <c r="BN154" s="169"/>
      <c r="BO154" s="159"/>
      <c r="BP154" s="162"/>
      <c r="BQ154" s="161"/>
      <c r="BR154" s="428"/>
      <c r="BS154" s="159"/>
      <c r="BT154" s="159"/>
      <c r="BU154" s="159"/>
      <c r="BV154" s="159"/>
      <c r="BW154" s="162"/>
      <c r="BX154" s="170"/>
      <c r="BY154" s="159"/>
      <c r="BZ154" s="159"/>
      <c r="CA154" s="159"/>
      <c r="CB154" s="159"/>
      <c r="CC154" s="225"/>
      <c r="CD154" s="226"/>
      <c r="CE154" s="224"/>
      <c r="CF154" s="225"/>
      <c r="CG154" s="225"/>
      <c r="CH154" s="225"/>
      <c r="CI154" s="225"/>
      <c r="CJ154" s="225"/>
      <c r="CK154" s="226"/>
      <c r="CL154" s="161"/>
      <c r="CM154" s="159"/>
      <c r="CN154" s="159"/>
      <c r="CO154" s="227"/>
      <c r="CP154" s="170"/>
      <c r="CQ154" s="159"/>
      <c r="CR154" s="162"/>
      <c r="CS154" s="161"/>
      <c r="CT154" s="159"/>
      <c r="CU154" s="159"/>
      <c r="CV154" s="159"/>
      <c r="CW154" s="159"/>
      <c r="CX154" s="159"/>
      <c r="CY154" s="161"/>
      <c r="CZ154" s="159"/>
      <c r="DA154" s="159"/>
      <c r="DB154" s="159"/>
      <c r="DC154" s="159"/>
      <c r="DD154" s="159"/>
      <c r="DE154" s="162"/>
      <c r="DF154" s="174"/>
      <c r="DG154" s="159"/>
      <c r="DH154" s="159"/>
      <c r="DI154" s="159"/>
      <c r="DJ154" s="159"/>
      <c r="DK154" s="159"/>
      <c r="DL154" s="162"/>
      <c r="DM154" s="170"/>
      <c r="DN154" s="159"/>
      <c r="DO154" s="159"/>
      <c r="DP154" s="159"/>
      <c r="DQ154" s="159"/>
      <c r="DR154" s="159"/>
      <c r="DS154" s="175"/>
    </row>
    <row r="155" spans="1:123" ht="14">
      <c r="A155" s="300" t="s">
        <v>280</v>
      </c>
      <c r="B155" s="314" t="s">
        <v>5</v>
      </c>
      <c r="C155" s="295" t="s">
        <v>178</v>
      </c>
      <c r="D155" s="264"/>
      <c r="E155" s="265"/>
      <c r="F155" s="265"/>
      <c r="G155" s="265"/>
      <c r="H155" s="265"/>
      <c r="I155" s="265"/>
      <c r="J155" s="265"/>
      <c r="K155" s="265"/>
      <c r="L155" s="266"/>
      <c r="M155" s="267"/>
      <c r="N155" s="265"/>
      <c r="O155" s="265"/>
      <c r="P155" s="265"/>
      <c r="Q155" s="265"/>
      <c r="R155" s="265"/>
      <c r="S155" s="268"/>
      <c r="T155" s="267"/>
      <c r="U155" s="265"/>
      <c r="V155" s="265"/>
      <c r="W155" s="265"/>
      <c r="X155" s="265"/>
      <c r="Y155" s="111"/>
      <c r="Z155" s="112"/>
      <c r="AA155" s="113"/>
      <c r="AB155" s="111"/>
      <c r="AC155" s="111"/>
      <c r="AD155" s="111"/>
      <c r="AE155" s="111"/>
      <c r="AF155" s="111"/>
      <c r="AG155" s="112"/>
      <c r="AH155" s="114"/>
      <c r="AI155" s="115"/>
      <c r="AJ155" s="111"/>
      <c r="AK155" s="111"/>
      <c r="AL155" s="111"/>
      <c r="AM155" s="111"/>
      <c r="AN155" s="116"/>
      <c r="AO155" s="267"/>
      <c r="AP155" s="265"/>
      <c r="AQ155" s="265"/>
      <c r="AR155" s="265"/>
      <c r="AS155" s="265"/>
      <c r="AT155" s="265"/>
      <c r="AU155" s="268"/>
      <c r="AV155" s="341"/>
      <c r="AW155" s="342"/>
      <c r="AX155" s="342"/>
      <c r="AY155" s="342"/>
      <c r="AZ155" s="342"/>
      <c r="BA155" s="342"/>
      <c r="BB155" s="348"/>
      <c r="BC155" s="341"/>
      <c r="BD155" s="342"/>
      <c r="BE155" s="342"/>
      <c r="BF155" s="342"/>
      <c r="BG155" s="342"/>
      <c r="BH155" s="342"/>
      <c r="BI155" s="343"/>
      <c r="BJ155" s="344"/>
      <c r="BK155" s="345"/>
      <c r="BL155" s="345"/>
      <c r="BM155" s="350"/>
      <c r="BN155" s="351"/>
      <c r="BO155" s="349"/>
      <c r="BP155" s="352"/>
      <c r="BQ155" s="214"/>
      <c r="BR155" s="428"/>
      <c r="BS155" s="159"/>
      <c r="BT155" s="159"/>
      <c r="BU155" s="159"/>
      <c r="BV155" s="159"/>
      <c r="BW155" s="162"/>
      <c r="BX155" s="170"/>
      <c r="BY155" s="159"/>
      <c r="BZ155" s="159"/>
      <c r="CA155" s="159"/>
      <c r="CB155" s="159"/>
      <c r="CC155" s="225"/>
      <c r="CD155" s="226"/>
      <c r="CE155" s="224"/>
      <c r="CF155" s="225"/>
      <c r="CG155" s="225"/>
      <c r="CH155" s="225"/>
      <c r="CI155" s="225"/>
      <c r="CJ155" s="225"/>
      <c r="CK155" s="226"/>
      <c r="CL155" s="161"/>
      <c r="CM155" s="159"/>
      <c r="CN155" s="159"/>
      <c r="CO155" s="227"/>
      <c r="CP155" s="170"/>
      <c r="CQ155" s="159"/>
      <c r="CR155" s="162"/>
      <c r="CS155" s="161"/>
      <c r="CT155" s="159"/>
      <c r="CU155" s="159"/>
      <c r="CV155" s="159"/>
      <c r="CW155" s="159"/>
      <c r="CX155" s="159"/>
      <c r="CY155" s="161"/>
      <c r="CZ155" s="159"/>
      <c r="DA155" s="159"/>
      <c r="DB155" s="159"/>
      <c r="DC155" s="159"/>
      <c r="DD155" s="159"/>
      <c r="DE155" s="162"/>
      <c r="DF155" s="174"/>
      <c r="DG155" s="159"/>
      <c r="DH155" s="159"/>
      <c r="DI155" s="159"/>
      <c r="DJ155" s="159"/>
      <c r="DK155" s="159"/>
      <c r="DL155" s="162"/>
      <c r="DM155" s="170"/>
      <c r="DN155" s="159"/>
      <c r="DO155" s="159"/>
      <c r="DP155" s="159"/>
      <c r="DQ155" s="159"/>
      <c r="DR155" s="159"/>
      <c r="DS155" s="175"/>
    </row>
    <row r="156" spans="1:123" ht="14">
      <c r="A156" s="300" t="s">
        <v>284</v>
      </c>
      <c r="B156" s="314" t="s">
        <v>5</v>
      </c>
      <c r="C156" s="293" t="s">
        <v>178</v>
      </c>
      <c r="D156" s="264"/>
      <c r="E156" s="265"/>
      <c r="F156" s="265"/>
      <c r="G156" s="265"/>
      <c r="H156" s="265"/>
      <c r="I156" s="265"/>
      <c r="J156" s="265"/>
      <c r="K156" s="265"/>
      <c r="L156" s="266"/>
      <c r="M156" s="267"/>
      <c r="N156" s="265"/>
      <c r="O156" s="265"/>
      <c r="P156" s="265"/>
      <c r="Q156" s="265"/>
      <c r="R156" s="265"/>
      <c r="S156" s="268"/>
      <c r="T156" s="267"/>
      <c r="U156" s="265"/>
      <c r="V156" s="265"/>
      <c r="W156" s="265"/>
      <c r="X156" s="265"/>
      <c r="Y156" s="111"/>
      <c r="Z156" s="112"/>
      <c r="AA156" s="113"/>
      <c r="AB156" s="111"/>
      <c r="AC156" s="111"/>
      <c r="AD156" s="111"/>
      <c r="AE156" s="111"/>
      <c r="AF156" s="111"/>
      <c r="AG156" s="112"/>
      <c r="AH156" s="114"/>
      <c r="AI156" s="115"/>
      <c r="AJ156" s="111"/>
      <c r="AK156" s="111"/>
      <c r="AL156" s="111"/>
      <c r="AM156" s="111"/>
      <c r="AN156" s="116"/>
      <c r="AO156" s="267"/>
      <c r="AP156" s="265"/>
      <c r="AQ156" s="265"/>
      <c r="AR156" s="265"/>
      <c r="AS156" s="265"/>
      <c r="AT156" s="265"/>
      <c r="AU156" s="268"/>
      <c r="AV156" s="341"/>
      <c r="AW156" s="342"/>
      <c r="AX156" s="342"/>
      <c r="AY156" s="342"/>
      <c r="AZ156" s="342"/>
      <c r="BA156" s="342"/>
      <c r="BB156" s="348"/>
      <c r="BC156" s="341"/>
      <c r="BD156" s="342"/>
      <c r="BE156" s="342"/>
      <c r="BF156" s="342"/>
      <c r="BG156" s="342"/>
      <c r="BH156" s="342"/>
      <c r="BI156" s="343"/>
      <c r="BJ156" s="344"/>
      <c r="BK156" s="345"/>
      <c r="BL156" s="345"/>
      <c r="BM156" s="350"/>
      <c r="BN156" s="351"/>
      <c r="BO156" s="349"/>
      <c r="BP156" s="352"/>
      <c r="BQ156" s="214"/>
      <c r="BR156" s="428"/>
      <c r="BS156" s="159"/>
      <c r="BT156" s="159"/>
      <c r="BU156" s="159"/>
      <c r="BV156" s="159"/>
      <c r="BW156" s="162"/>
      <c r="BX156" s="170"/>
      <c r="BY156" s="159"/>
      <c r="BZ156" s="159"/>
      <c r="CA156" s="159"/>
      <c r="CB156" s="159"/>
      <c r="CC156" s="225"/>
      <c r="CD156" s="226"/>
      <c r="CE156" s="224"/>
      <c r="CF156" s="225"/>
      <c r="CG156" s="225"/>
      <c r="CH156" s="225"/>
      <c r="CI156" s="225"/>
      <c r="CJ156" s="225"/>
      <c r="CK156" s="226"/>
      <c r="CL156" s="161"/>
      <c r="CM156" s="159"/>
      <c r="CN156" s="159"/>
      <c r="CO156" s="227"/>
      <c r="CP156" s="170"/>
      <c r="CQ156" s="159"/>
      <c r="CR156" s="162"/>
      <c r="CS156" s="161"/>
      <c r="CT156" s="159"/>
      <c r="CU156" s="159"/>
      <c r="CV156" s="159"/>
      <c r="CW156" s="159"/>
      <c r="CX156" s="159"/>
      <c r="CY156" s="161"/>
      <c r="CZ156" s="159"/>
      <c r="DA156" s="159"/>
      <c r="DB156" s="159"/>
      <c r="DC156" s="159"/>
      <c r="DD156" s="159"/>
      <c r="DE156" s="162"/>
      <c r="DF156" s="174"/>
      <c r="DG156" s="159"/>
      <c r="DH156" s="159"/>
      <c r="DI156" s="159"/>
      <c r="DJ156" s="159"/>
      <c r="DK156" s="159"/>
      <c r="DL156" s="162"/>
      <c r="DM156" s="170"/>
      <c r="DN156" s="159"/>
      <c r="DO156" s="159"/>
      <c r="DP156" s="159"/>
      <c r="DQ156" s="159"/>
      <c r="DR156" s="159"/>
      <c r="DS156" s="175"/>
    </row>
    <row r="157" spans="1:123" ht="14">
      <c r="A157" s="300" t="s">
        <v>285</v>
      </c>
      <c r="B157" s="314" t="s">
        <v>5</v>
      </c>
      <c r="C157" s="293" t="s">
        <v>178</v>
      </c>
      <c r="D157" s="264"/>
      <c r="E157" s="265"/>
      <c r="F157" s="265"/>
      <c r="G157" s="265"/>
      <c r="H157" s="265"/>
      <c r="I157" s="265"/>
      <c r="J157" s="265"/>
      <c r="K157" s="265"/>
      <c r="L157" s="266"/>
      <c r="M157" s="267"/>
      <c r="N157" s="265"/>
      <c r="O157" s="265"/>
      <c r="P157" s="265"/>
      <c r="Q157" s="265"/>
      <c r="R157" s="265"/>
      <c r="S157" s="268"/>
      <c r="T157" s="267"/>
      <c r="U157" s="265"/>
      <c r="V157" s="265"/>
      <c r="W157" s="265"/>
      <c r="X157" s="265"/>
      <c r="Y157" s="111"/>
      <c r="Z157" s="112"/>
      <c r="AA157" s="113"/>
      <c r="AB157" s="111"/>
      <c r="AC157" s="111"/>
      <c r="AD157" s="111"/>
      <c r="AE157" s="111"/>
      <c r="AF157" s="111"/>
      <c r="AG157" s="112"/>
      <c r="AH157" s="114"/>
      <c r="AI157" s="115"/>
      <c r="AJ157" s="111"/>
      <c r="AK157" s="111"/>
      <c r="AL157" s="111"/>
      <c r="AM157" s="111"/>
      <c r="AN157" s="116"/>
      <c r="AO157" s="267"/>
      <c r="AP157" s="265"/>
      <c r="AQ157" s="265"/>
      <c r="AR157" s="265"/>
      <c r="AS157" s="265"/>
      <c r="AT157" s="265"/>
      <c r="AU157" s="268"/>
      <c r="AV157" s="341"/>
      <c r="AW157" s="342"/>
      <c r="AX157" s="342"/>
      <c r="AY157" s="342"/>
      <c r="AZ157" s="342"/>
      <c r="BA157" s="342"/>
      <c r="BB157" s="348"/>
      <c r="BC157" s="341"/>
      <c r="BD157" s="342"/>
      <c r="BE157" s="342"/>
      <c r="BF157" s="342"/>
      <c r="BG157" s="342"/>
      <c r="BH157" s="342"/>
      <c r="BI157" s="343"/>
      <c r="BJ157" s="344"/>
      <c r="BK157" s="345"/>
      <c r="BL157" s="345"/>
      <c r="BM157" s="350"/>
      <c r="BN157" s="351"/>
      <c r="BO157" s="349"/>
      <c r="BP157" s="352"/>
      <c r="BQ157" s="214"/>
      <c r="BR157" s="428"/>
      <c r="BS157" s="159"/>
      <c r="BT157" s="159"/>
      <c r="BU157" s="159"/>
      <c r="BV157" s="159"/>
      <c r="BW157" s="162"/>
      <c r="BX157" s="170"/>
      <c r="BY157" s="159"/>
      <c r="BZ157" s="159"/>
      <c r="CA157" s="159"/>
      <c r="CB157" s="159"/>
      <c r="CC157" s="225"/>
      <c r="CD157" s="226"/>
      <c r="CE157" s="224"/>
      <c r="CF157" s="225"/>
      <c r="CG157" s="225"/>
      <c r="CH157" s="225"/>
      <c r="CI157" s="225"/>
      <c r="CJ157" s="225"/>
      <c r="CK157" s="226"/>
      <c r="CL157" s="161"/>
      <c r="CM157" s="159"/>
      <c r="CN157" s="159"/>
      <c r="CO157" s="227"/>
      <c r="CP157" s="170"/>
      <c r="CQ157" s="159"/>
      <c r="CR157" s="162"/>
      <c r="CS157" s="161"/>
      <c r="CT157" s="159"/>
      <c r="CU157" s="159"/>
      <c r="CV157" s="159"/>
      <c r="CW157" s="159"/>
      <c r="CX157" s="159"/>
      <c r="CY157" s="161"/>
      <c r="CZ157" s="159"/>
      <c r="DA157" s="159"/>
      <c r="DB157" s="159"/>
      <c r="DC157" s="159"/>
      <c r="DD157" s="159"/>
      <c r="DE157" s="162"/>
      <c r="DF157" s="174"/>
      <c r="DG157" s="159"/>
      <c r="DH157" s="159"/>
      <c r="DI157" s="159"/>
      <c r="DJ157" s="159"/>
      <c r="DK157" s="159"/>
      <c r="DL157" s="162"/>
      <c r="DM157" s="170"/>
      <c r="DN157" s="159"/>
      <c r="DO157" s="159"/>
      <c r="DP157" s="159"/>
      <c r="DQ157" s="159"/>
      <c r="DR157" s="159"/>
      <c r="DS157" s="175"/>
    </row>
    <row r="158" spans="1:123" ht="14">
      <c r="A158" s="300" t="s">
        <v>286</v>
      </c>
      <c r="B158" s="314" t="s">
        <v>5</v>
      </c>
      <c r="C158" s="293" t="s">
        <v>178</v>
      </c>
      <c r="D158" s="264"/>
      <c r="E158" s="265"/>
      <c r="F158" s="265"/>
      <c r="G158" s="265"/>
      <c r="H158" s="265"/>
      <c r="I158" s="265"/>
      <c r="J158" s="265"/>
      <c r="K158" s="265"/>
      <c r="L158" s="266"/>
      <c r="M158" s="267"/>
      <c r="N158" s="265"/>
      <c r="O158" s="265"/>
      <c r="P158" s="265"/>
      <c r="Q158" s="265"/>
      <c r="R158" s="265"/>
      <c r="S158" s="268"/>
      <c r="T158" s="267"/>
      <c r="U158" s="265"/>
      <c r="V158" s="265"/>
      <c r="W158" s="265"/>
      <c r="X158" s="265"/>
      <c r="Y158" s="111"/>
      <c r="Z158" s="112"/>
      <c r="AA158" s="113"/>
      <c r="AB158" s="111"/>
      <c r="AC158" s="111"/>
      <c r="AD158" s="111"/>
      <c r="AE158" s="111"/>
      <c r="AF158" s="111"/>
      <c r="AG158" s="112"/>
      <c r="AH158" s="114"/>
      <c r="AI158" s="115"/>
      <c r="AJ158" s="111"/>
      <c r="AK158" s="111"/>
      <c r="AL158" s="111"/>
      <c r="AM158" s="111"/>
      <c r="AN158" s="116"/>
      <c r="AO158" s="267"/>
      <c r="AP158" s="265"/>
      <c r="AQ158" s="265"/>
      <c r="AR158" s="265"/>
      <c r="AS158" s="265"/>
      <c r="AT158" s="265"/>
      <c r="AU158" s="268"/>
      <c r="AV158" s="341"/>
      <c r="AW158" s="342"/>
      <c r="AX158" s="342"/>
      <c r="AY158" s="342"/>
      <c r="AZ158" s="342"/>
      <c r="BA158" s="342"/>
      <c r="BB158" s="348"/>
      <c r="BC158" s="341"/>
      <c r="BD158" s="342"/>
      <c r="BE158" s="342"/>
      <c r="BF158" s="342"/>
      <c r="BG158" s="342"/>
      <c r="BH158" s="342"/>
      <c r="BI158" s="343"/>
      <c r="BJ158" s="344"/>
      <c r="BK158" s="345"/>
      <c r="BL158" s="345"/>
      <c r="BM158" s="350"/>
      <c r="BN158" s="351"/>
      <c r="BO158" s="349"/>
      <c r="BP158" s="352"/>
      <c r="BQ158" s="214"/>
      <c r="BR158" s="428"/>
      <c r="BS158" s="159"/>
      <c r="BT158" s="159"/>
      <c r="BU158" s="159"/>
      <c r="BV158" s="159"/>
      <c r="BW158" s="162"/>
      <c r="BX158" s="415"/>
      <c r="BY158" s="159"/>
      <c r="BZ158" s="159"/>
      <c r="CA158" s="159"/>
      <c r="CB158" s="159"/>
      <c r="CC158" s="225"/>
      <c r="CD158" s="226"/>
      <c r="CE158" s="224"/>
      <c r="CF158" s="225"/>
      <c r="CG158" s="225"/>
      <c r="CH158" s="225"/>
      <c r="CI158" s="225"/>
      <c r="CJ158" s="225"/>
      <c r="CK158" s="226"/>
      <c r="CL158" s="161"/>
      <c r="CM158" s="159"/>
      <c r="CN158" s="159"/>
      <c r="CO158" s="227"/>
      <c r="CP158" s="170"/>
      <c r="CQ158" s="159"/>
      <c r="CR158" s="162"/>
      <c r="CS158" s="161"/>
      <c r="CT158" s="159"/>
      <c r="CU158" s="159"/>
      <c r="CV158" s="159"/>
      <c r="CW158" s="159"/>
      <c r="CX158" s="159"/>
      <c r="CY158" s="161"/>
      <c r="CZ158" s="159"/>
      <c r="DA158" s="159"/>
      <c r="DB158" s="159"/>
      <c r="DC158" s="159"/>
      <c r="DD158" s="159"/>
      <c r="DE158" s="162"/>
      <c r="DF158" s="174"/>
      <c r="DG158" s="159"/>
      <c r="DH158" s="159"/>
      <c r="DI158" s="159"/>
      <c r="DJ158" s="159"/>
      <c r="DK158" s="159"/>
      <c r="DL158" s="162"/>
      <c r="DM158" s="170"/>
      <c r="DN158" s="159"/>
      <c r="DO158" s="159"/>
      <c r="DP158" s="159"/>
      <c r="DQ158" s="159"/>
      <c r="DR158" s="159"/>
      <c r="DS158" s="175"/>
    </row>
    <row r="159" spans="1:123" ht="14">
      <c r="A159" s="300" t="s">
        <v>281</v>
      </c>
      <c r="B159" s="314" t="s">
        <v>5</v>
      </c>
      <c r="C159" s="293" t="s">
        <v>178</v>
      </c>
      <c r="D159" s="264"/>
      <c r="E159" s="265"/>
      <c r="F159" s="265"/>
      <c r="G159" s="265"/>
      <c r="H159" s="265"/>
      <c r="I159" s="265"/>
      <c r="J159" s="265"/>
      <c r="K159" s="265"/>
      <c r="L159" s="266"/>
      <c r="M159" s="267"/>
      <c r="N159" s="265"/>
      <c r="O159" s="265"/>
      <c r="P159" s="265"/>
      <c r="Q159" s="265"/>
      <c r="R159" s="265"/>
      <c r="S159" s="268"/>
      <c r="T159" s="267"/>
      <c r="U159" s="265"/>
      <c r="V159" s="265"/>
      <c r="W159" s="265"/>
      <c r="X159" s="265"/>
      <c r="Y159" s="111"/>
      <c r="Z159" s="112"/>
      <c r="AA159" s="113"/>
      <c r="AB159" s="111"/>
      <c r="AC159" s="111"/>
      <c r="AD159" s="111"/>
      <c r="AE159" s="111"/>
      <c r="AF159" s="111"/>
      <c r="AG159" s="112"/>
      <c r="AH159" s="114"/>
      <c r="AI159" s="115"/>
      <c r="AJ159" s="111"/>
      <c r="AK159" s="111"/>
      <c r="AL159" s="111"/>
      <c r="AM159" s="111"/>
      <c r="AN159" s="116"/>
      <c r="AO159" s="267"/>
      <c r="AP159" s="265"/>
      <c r="AQ159" s="265"/>
      <c r="AR159" s="265"/>
      <c r="AS159" s="265"/>
      <c r="AT159" s="265"/>
      <c r="AU159" s="268"/>
      <c r="AV159" s="341"/>
      <c r="AW159" s="342"/>
      <c r="AX159" s="342"/>
      <c r="AY159" s="342"/>
      <c r="AZ159" s="342"/>
      <c r="BA159" s="342"/>
      <c r="BB159" s="348"/>
      <c r="BC159" s="341"/>
      <c r="BD159" s="342"/>
      <c r="BE159" s="342"/>
      <c r="BF159" s="342"/>
      <c r="BG159" s="342"/>
      <c r="BH159" s="342"/>
      <c r="BI159" s="343"/>
      <c r="BJ159" s="371"/>
      <c r="BK159" s="349"/>
      <c r="BL159" s="349"/>
      <c r="BM159" s="350"/>
      <c r="BN159" s="346"/>
      <c r="BO159" s="345"/>
      <c r="BP159" s="347"/>
      <c r="BQ159" s="161"/>
      <c r="BR159" s="428"/>
      <c r="BS159" s="159"/>
      <c r="BT159" s="159"/>
      <c r="BU159" s="159"/>
      <c r="BV159" s="159"/>
      <c r="BW159" s="162"/>
      <c r="BX159" s="170"/>
      <c r="BY159" s="159"/>
      <c r="BZ159" s="159"/>
      <c r="CA159" s="159"/>
      <c r="CB159" s="159"/>
      <c r="CC159" s="225"/>
      <c r="CD159" s="226"/>
      <c r="CE159" s="224"/>
      <c r="CF159" s="225"/>
      <c r="CG159" s="225"/>
      <c r="CH159" s="225"/>
      <c r="CI159" s="225"/>
      <c r="CJ159" s="225"/>
      <c r="CK159" s="226"/>
      <c r="CL159" s="59"/>
      <c r="CM159" s="57"/>
      <c r="CN159" s="57"/>
      <c r="CO159" s="73"/>
      <c r="CP159" s="170"/>
      <c r="CQ159" s="159"/>
      <c r="CR159" s="162"/>
      <c r="CS159" s="161"/>
      <c r="CT159" s="159"/>
      <c r="CU159" s="159"/>
      <c r="CV159" s="159"/>
      <c r="CW159" s="159"/>
      <c r="CX159" s="159"/>
      <c r="CY159" s="161"/>
      <c r="CZ159" s="159"/>
      <c r="DA159" s="159"/>
      <c r="DB159" s="159"/>
      <c r="DC159" s="159"/>
      <c r="DD159" s="159"/>
      <c r="DE159" s="162"/>
      <c r="DF159" s="174"/>
      <c r="DG159" s="159"/>
      <c r="DH159" s="159"/>
      <c r="DI159" s="159"/>
      <c r="DJ159" s="159"/>
      <c r="DK159" s="159"/>
      <c r="DL159" s="162"/>
      <c r="DM159" s="170"/>
      <c r="DN159" s="159"/>
      <c r="DO159" s="159"/>
      <c r="DP159" s="159"/>
      <c r="DQ159" s="159"/>
      <c r="DR159" s="159"/>
      <c r="DS159" s="175"/>
    </row>
    <row r="160" spans="1:123" ht="14">
      <c r="A160" s="300" t="s">
        <v>282</v>
      </c>
      <c r="B160" s="314" t="s">
        <v>5</v>
      </c>
      <c r="C160" s="293" t="s">
        <v>178</v>
      </c>
      <c r="D160" s="264"/>
      <c r="E160" s="265"/>
      <c r="F160" s="265"/>
      <c r="G160" s="265"/>
      <c r="H160" s="265"/>
      <c r="I160" s="265"/>
      <c r="J160" s="265"/>
      <c r="K160" s="265"/>
      <c r="L160" s="266"/>
      <c r="M160" s="267"/>
      <c r="N160" s="265"/>
      <c r="O160" s="265"/>
      <c r="P160" s="265"/>
      <c r="Q160" s="265"/>
      <c r="R160" s="265"/>
      <c r="S160" s="268"/>
      <c r="T160" s="267"/>
      <c r="U160" s="265"/>
      <c r="V160" s="265"/>
      <c r="W160" s="265"/>
      <c r="X160" s="265"/>
      <c r="Y160" s="111"/>
      <c r="Z160" s="112"/>
      <c r="AA160" s="113"/>
      <c r="AB160" s="111"/>
      <c r="AC160" s="111"/>
      <c r="AD160" s="111"/>
      <c r="AE160" s="111"/>
      <c r="AF160" s="111"/>
      <c r="AG160" s="112"/>
      <c r="AH160" s="114"/>
      <c r="AI160" s="115"/>
      <c r="AJ160" s="111"/>
      <c r="AK160" s="111"/>
      <c r="AL160" s="111"/>
      <c r="AM160" s="111"/>
      <c r="AN160" s="116"/>
      <c r="AO160" s="267"/>
      <c r="AP160" s="265"/>
      <c r="AQ160" s="265"/>
      <c r="AR160" s="265"/>
      <c r="AS160" s="265"/>
      <c r="AT160" s="265"/>
      <c r="AU160" s="268"/>
      <c r="AV160" s="372"/>
      <c r="AW160" s="373"/>
      <c r="AX160" s="373"/>
      <c r="AY160" s="373"/>
      <c r="AZ160" s="373"/>
      <c r="BA160" s="373"/>
      <c r="BB160" s="374"/>
      <c r="BC160" s="372"/>
      <c r="BD160" s="373"/>
      <c r="BE160" s="373"/>
      <c r="BF160" s="373"/>
      <c r="BG160" s="373"/>
      <c r="BH160" s="373"/>
      <c r="BI160" s="375"/>
      <c r="BJ160" s="371"/>
      <c r="BK160" s="349"/>
      <c r="BL160" s="349"/>
      <c r="BM160" s="350"/>
      <c r="BN160" s="346"/>
      <c r="BO160" s="345"/>
      <c r="BP160" s="347"/>
      <c r="BQ160" s="161"/>
      <c r="BR160" s="428"/>
      <c r="BS160" s="159"/>
      <c r="BT160" s="159"/>
      <c r="BU160" s="159"/>
      <c r="BV160" s="159"/>
      <c r="BW160" s="162"/>
      <c r="BX160" s="170"/>
      <c r="BY160" s="159"/>
      <c r="BZ160" s="159"/>
      <c r="CA160" s="159"/>
      <c r="CB160" s="159"/>
      <c r="CC160" s="225"/>
      <c r="CD160" s="226"/>
      <c r="CE160" s="224"/>
      <c r="CF160" s="225"/>
      <c r="CG160" s="225"/>
      <c r="CH160" s="225"/>
      <c r="CI160" s="225"/>
      <c r="CJ160" s="225"/>
      <c r="CK160" s="226"/>
      <c r="CL160" s="161"/>
      <c r="CM160" s="159"/>
      <c r="CN160" s="159"/>
      <c r="CO160" s="227"/>
      <c r="CP160" s="170"/>
      <c r="CQ160" s="159"/>
      <c r="CR160" s="162"/>
      <c r="CS160" s="161"/>
      <c r="CT160" s="159"/>
      <c r="CU160" s="159"/>
      <c r="CV160" s="159"/>
      <c r="CW160" s="159"/>
      <c r="CX160" s="159"/>
      <c r="CY160" s="161"/>
      <c r="CZ160" s="159"/>
      <c r="DA160" s="159"/>
      <c r="DB160" s="159"/>
      <c r="DC160" s="159"/>
      <c r="DD160" s="159"/>
      <c r="DE160" s="162"/>
      <c r="DF160" s="174"/>
      <c r="DG160" s="159"/>
      <c r="DH160" s="159"/>
      <c r="DI160" s="159"/>
      <c r="DJ160" s="159"/>
      <c r="DK160" s="159"/>
      <c r="DL160" s="162"/>
      <c r="DM160" s="170"/>
      <c r="DN160" s="159"/>
      <c r="DO160" s="159"/>
      <c r="DP160" s="159"/>
      <c r="DQ160" s="159"/>
      <c r="DR160" s="159"/>
      <c r="DS160" s="175"/>
    </row>
    <row r="161" spans="1:123" ht="14">
      <c r="A161" s="300" t="s">
        <v>283</v>
      </c>
      <c r="B161" s="314" t="s">
        <v>5</v>
      </c>
      <c r="C161" s="383" t="s">
        <v>178</v>
      </c>
      <c r="D161" s="264"/>
      <c r="E161" s="265"/>
      <c r="F161" s="265"/>
      <c r="G161" s="265"/>
      <c r="H161" s="265"/>
      <c r="I161" s="265"/>
      <c r="J161" s="265"/>
      <c r="K161" s="265"/>
      <c r="L161" s="266"/>
      <c r="M161" s="267"/>
      <c r="N161" s="265"/>
      <c r="O161" s="265"/>
      <c r="P161" s="265"/>
      <c r="Q161" s="265"/>
      <c r="R161" s="265"/>
      <c r="S161" s="268"/>
      <c r="T161" s="267"/>
      <c r="U161" s="265"/>
      <c r="V161" s="265"/>
      <c r="W161" s="265"/>
      <c r="X161" s="265"/>
      <c r="Y161" s="111"/>
      <c r="Z161" s="112"/>
      <c r="AA161" s="113"/>
      <c r="AB161" s="111"/>
      <c r="AC161" s="111"/>
      <c r="AD161" s="111"/>
      <c r="AE161" s="111"/>
      <c r="AF161" s="111"/>
      <c r="AG161" s="112"/>
      <c r="AH161" s="114"/>
      <c r="AI161" s="115"/>
      <c r="AJ161" s="111"/>
      <c r="AK161" s="111"/>
      <c r="AL161" s="111"/>
      <c r="AM161" s="111"/>
      <c r="AN161" s="116"/>
      <c r="AO161" s="267"/>
      <c r="AP161" s="265"/>
      <c r="AQ161" s="265"/>
      <c r="AR161" s="265"/>
      <c r="AS161" s="265"/>
      <c r="AT161" s="265"/>
      <c r="AU161" s="268"/>
      <c r="AV161" s="341"/>
      <c r="AW161" s="342"/>
      <c r="AX161" s="342"/>
      <c r="AY161" s="342"/>
      <c r="AZ161" s="342"/>
      <c r="BA161" s="342"/>
      <c r="BB161" s="348"/>
      <c r="BC161" s="341"/>
      <c r="BD161" s="342"/>
      <c r="BE161" s="342"/>
      <c r="BF161" s="342"/>
      <c r="BG161" s="342"/>
      <c r="BH161" s="342"/>
      <c r="BI161" s="343"/>
      <c r="BJ161" s="344"/>
      <c r="BK161" s="345"/>
      <c r="BL161" s="345"/>
      <c r="BM161" s="350"/>
      <c r="BN161" s="346"/>
      <c r="BO161" s="345"/>
      <c r="BP161" s="347"/>
      <c r="BQ161" s="161"/>
      <c r="BR161" s="428"/>
      <c r="BS161" s="159"/>
      <c r="BT161" s="159"/>
      <c r="BU161" s="159"/>
      <c r="BV161" s="159"/>
      <c r="BW161" s="162"/>
      <c r="BX161" s="170"/>
      <c r="BY161" s="159"/>
      <c r="BZ161" s="159"/>
      <c r="CA161" s="159"/>
      <c r="CB161" s="159"/>
      <c r="CC161" s="225"/>
      <c r="CD161" s="226"/>
      <c r="CE161" s="224"/>
      <c r="CF161" s="225"/>
      <c r="CG161" s="225"/>
      <c r="CH161" s="225"/>
      <c r="CI161" s="225"/>
      <c r="CJ161" s="225"/>
      <c r="CK161" s="226"/>
      <c r="CL161" s="161"/>
      <c r="CM161" s="159"/>
      <c r="CN161" s="159"/>
      <c r="CO161" s="227"/>
      <c r="CP161" s="170"/>
      <c r="CQ161" s="159"/>
      <c r="CR161" s="162"/>
      <c r="CS161" s="161"/>
      <c r="CT161" s="159"/>
      <c r="CU161" s="159"/>
      <c r="CV161" s="159"/>
      <c r="CW161" s="159"/>
      <c r="CX161" s="159"/>
      <c r="CY161" s="161"/>
      <c r="CZ161" s="159"/>
      <c r="DA161" s="159"/>
      <c r="DB161" s="159"/>
      <c r="DC161" s="159"/>
      <c r="DD161" s="159"/>
      <c r="DE161" s="162"/>
      <c r="DF161" s="174"/>
      <c r="DG161" s="159"/>
      <c r="DH161" s="159"/>
      <c r="DI161" s="159"/>
      <c r="DJ161" s="159"/>
      <c r="DK161" s="159"/>
      <c r="DL161" s="162"/>
      <c r="DM161" s="170"/>
      <c r="DN161" s="159"/>
      <c r="DO161" s="159"/>
      <c r="DP161" s="159"/>
      <c r="DQ161" s="159"/>
      <c r="DR161" s="159"/>
      <c r="DS161" s="175"/>
    </row>
    <row r="162" spans="1:123" s="405" customFormat="1" ht="14" outlineLevel="1">
      <c r="A162" s="386" t="s">
        <v>335</v>
      </c>
      <c r="B162" s="314" t="s">
        <v>5</v>
      </c>
      <c r="C162" s="421" t="s">
        <v>178</v>
      </c>
      <c r="D162" s="387"/>
      <c r="E162" s="388"/>
      <c r="F162" s="388"/>
      <c r="G162" s="388"/>
      <c r="H162" s="388"/>
      <c r="I162" s="388"/>
      <c r="J162" s="388"/>
      <c r="K162" s="388"/>
      <c r="L162" s="389"/>
      <c r="M162" s="390"/>
      <c r="N162" s="388"/>
      <c r="O162" s="388"/>
      <c r="P162" s="388"/>
      <c r="Q162" s="388"/>
      <c r="R162" s="388"/>
      <c r="S162" s="391"/>
      <c r="T162" s="390"/>
      <c r="U162" s="388"/>
      <c r="V162" s="388"/>
      <c r="W162" s="388"/>
      <c r="X162" s="388"/>
      <c r="Y162" s="392"/>
      <c r="Z162" s="393"/>
      <c r="AA162" s="394"/>
      <c r="AB162" s="392"/>
      <c r="AC162" s="392"/>
      <c r="AD162" s="392"/>
      <c r="AE162" s="392"/>
      <c r="AF162" s="392"/>
      <c r="AG162" s="393"/>
      <c r="AH162" s="395"/>
      <c r="AI162" s="396"/>
      <c r="AJ162" s="392"/>
      <c r="AK162" s="392"/>
      <c r="AL162" s="392"/>
      <c r="AM162" s="392"/>
      <c r="AN162" s="397"/>
      <c r="AO162" s="390"/>
      <c r="AP162" s="388"/>
      <c r="AQ162" s="388"/>
      <c r="AR162" s="388"/>
      <c r="AS162" s="388"/>
      <c r="AT162" s="388"/>
      <c r="AU162" s="391"/>
      <c r="AV162" s="390"/>
      <c r="AW162" s="388"/>
      <c r="AX162" s="388"/>
      <c r="AY162" s="388"/>
      <c r="AZ162" s="388"/>
      <c r="BA162" s="388"/>
      <c r="BB162" s="391"/>
      <c r="BC162" s="390"/>
      <c r="BD162" s="388"/>
      <c r="BE162" s="388"/>
      <c r="BF162" s="388"/>
      <c r="BG162" s="388"/>
      <c r="BH162" s="388"/>
      <c r="BI162" s="391"/>
      <c r="BJ162" s="390"/>
      <c r="BK162" s="388"/>
      <c r="BL162" s="388"/>
      <c r="BM162" s="389"/>
      <c r="BN162" s="398"/>
      <c r="BO162" s="388"/>
      <c r="BP162" s="391"/>
      <c r="BQ162" s="390"/>
      <c r="BR162" s="430"/>
      <c r="BS162" s="388"/>
      <c r="BT162" s="388"/>
      <c r="BU162" s="388"/>
      <c r="BV162" s="388"/>
      <c r="BW162" s="391"/>
      <c r="BX162" s="416"/>
      <c r="BY162" s="388"/>
      <c r="BZ162" s="388"/>
      <c r="CA162" s="388"/>
      <c r="CB162" s="159"/>
      <c r="CC162" s="399"/>
      <c r="CD162" s="400"/>
      <c r="CE162" s="401"/>
      <c r="CF162" s="399"/>
      <c r="CG162" s="399"/>
      <c r="CH162" s="399"/>
      <c r="CI162" s="399"/>
      <c r="CJ162" s="399"/>
      <c r="CK162" s="400"/>
      <c r="CL162" s="390"/>
      <c r="CM162" s="388"/>
      <c r="CN162" s="388"/>
      <c r="CO162" s="402"/>
      <c r="CP162" s="387"/>
      <c r="CQ162" s="388"/>
      <c r="CR162" s="391"/>
      <c r="CS162" s="390"/>
      <c r="CT162" s="388"/>
      <c r="CU162" s="388"/>
      <c r="CV162" s="388"/>
      <c r="CW162" s="388"/>
      <c r="CX162" s="388"/>
      <c r="CY162" s="390"/>
      <c r="CZ162" s="388"/>
      <c r="DA162" s="388"/>
      <c r="DB162" s="388"/>
      <c r="DC162" s="388"/>
      <c r="DD162" s="388"/>
      <c r="DE162" s="391"/>
      <c r="DF162" s="403"/>
      <c r="DG162" s="388"/>
      <c r="DH162" s="388"/>
      <c r="DI162" s="388"/>
      <c r="DJ162" s="388"/>
      <c r="DK162" s="388"/>
      <c r="DL162" s="391"/>
      <c r="DM162" s="387"/>
      <c r="DN162" s="388"/>
      <c r="DO162" s="388"/>
      <c r="DP162" s="388"/>
      <c r="DQ162" s="388"/>
      <c r="DR162" s="388"/>
      <c r="DS162" s="404"/>
    </row>
    <row r="163" spans="1:123" s="405" customFormat="1" ht="14" outlineLevel="1">
      <c r="A163" s="386" t="s">
        <v>336</v>
      </c>
      <c r="B163" s="314" t="s">
        <v>5</v>
      </c>
      <c r="C163" s="406" t="s">
        <v>190</v>
      </c>
      <c r="D163" s="387"/>
      <c r="E163" s="388"/>
      <c r="F163" s="388"/>
      <c r="G163" s="388"/>
      <c r="H163" s="388"/>
      <c r="I163" s="388"/>
      <c r="J163" s="388"/>
      <c r="K163" s="388"/>
      <c r="L163" s="389"/>
      <c r="M163" s="390"/>
      <c r="N163" s="388"/>
      <c r="O163" s="388"/>
      <c r="P163" s="388"/>
      <c r="Q163" s="388"/>
      <c r="R163" s="388"/>
      <c r="S163" s="391"/>
      <c r="T163" s="390"/>
      <c r="U163" s="388"/>
      <c r="V163" s="388"/>
      <c r="W163" s="388"/>
      <c r="X163" s="388"/>
      <c r="Y163" s="392"/>
      <c r="Z163" s="393"/>
      <c r="AA163" s="394"/>
      <c r="AB163" s="392"/>
      <c r="AC163" s="392"/>
      <c r="AD163" s="392"/>
      <c r="AE163" s="392"/>
      <c r="AF163" s="392"/>
      <c r="AG163" s="393"/>
      <c r="AH163" s="395"/>
      <c r="AI163" s="396"/>
      <c r="AJ163" s="392"/>
      <c r="AK163" s="392"/>
      <c r="AL163" s="392"/>
      <c r="AM163" s="392"/>
      <c r="AN163" s="397"/>
      <c r="AO163" s="390"/>
      <c r="AP163" s="388"/>
      <c r="AQ163" s="388"/>
      <c r="AR163" s="388"/>
      <c r="AS163" s="388"/>
      <c r="AT163" s="388"/>
      <c r="AU163" s="391"/>
      <c r="AV163" s="390"/>
      <c r="AW163" s="388"/>
      <c r="AX163" s="388"/>
      <c r="AY163" s="388"/>
      <c r="AZ163" s="388"/>
      <c r="BA163" s="388"/>
      <c r="BB163" s="391"/>
      <c r="BC163" s="390"/>
      <c r="BD163" s="388"/>
      <c r="BE163" s="388"/>
      <c r="BF163" s="388"/>
      <c r="BG163" s="388"/>
      <c r="BH163" s="388"/>
      <c r="BI163" s="391"/>
      <c r="BJ163" s="390"/>
      <c r="BK163" s="388"/>
      <c r="BL163" s="388"/>
      <c r="BM163" s="389"/>
      <c r="BN163" s="398"/>
      <c r="BO163" s="388"/>
      <c r="BP163" s="391"/>
      <c r="BQ163" s="390"/>
      <c r="BR163" s="430"/>
      <c r="BS163" s="388"/>
      <c r="BT163" s="388"/>
      <c r="BU163" s="388"/>
      <c r="BV163" s="388"/>
      <c r="BW163" s="391"/>
      <c r="BX163" s="387"/>
      <c r="BY163" s="417"/>
      <c r="BZ163" s="417"/>
      <c r="CA163" s="417"/>
      <c r="CB163" s="159"/>
      <c r="CC163" s="399"/>
      <c r="CD163" s="400"/>
      <c r="CE163" s="401"/>
      <c r="CF163" s="399"/>
      <c r="CG163" s="399"/>
      <c r="CH163" s="399"/>
      <c r="CI163" s="399"/>
      <c r="CJ163" s="399"/>
      <c r="CK163" s="400"/>
      <c r="CL163" s="390"/>
      <c r="CM163" s="388"/>
      <c r="CN163" s="388"/>
      <c r="CO163" s="402"/>
      <c r="CP163" s="387"/>
      <c r="CQ163" s="388"/>
      <c r="CR163" s="391"/>
      <c r="CS163" s="390"/>
      <c r="CT163" s="388"/>
      <c r="CU163" s="388"/>
      <c r="CV163" s="388"/>
      <c r="CW163" s="388"/>
      <c r="CX163" s="388"/>
      <c r="CZ163" s="388"/>
      <c r="DA163" s="388"/>
      <c r="DB163" s="388"/>
      <c r="DC163" s="388"/>
      <c r="DD163" s="388"/>
      <c r="DE163" s="391"/>
      <c r="DF163" s="403"/>
      <c r="DG163" s="388"/>
      <c r="DH163" s="388"/>
      <c r="DI163" s="388"/>
      <c r="DJ163" s="388"/>
      <c r="DK163" s="388"/>
      <c r="DL163" s="391"/>
      <c r="DM163" s="387"/>
      <c r="DN163" s="388"/>
      <c r="DO163" s="388"/>
      <c r="DP163" s="388"/>
      <c r="DQ163" s="388"/>
      <c r="DR163" s="388"/>
      <c r="DS163" s="404"/>
    </row>
    <row r="164" spans="1:123" s="460" customFormat="1" ht="14" outlineLevel="1">
      <c r="A164" s="281" t="s">
        <v>445</v>
      </c>
      <c r="B164" s="314" t="s">
        <v>5</v>
      </c>
      <c r="C164" s="306" t="s">
        <v>181</v>
      </c>
      <c r="D164" s="252"/>
      <c r="E164" s="252"/>
      <c r="F164" s="252"/>
      <c r="G164" s="252"/>
      <c r="H164" s="252"/>
      <c r="I164" s="252"/>
      <c r="J164" s="252"/>
      <c r="K164" s="252"/>
      <c r="L164" s="252"/>
      <c r="M164" s="252"/>
      <c r="N164" s="252"/>
      <c r="O164" s="252"/>
      <c r="P164" s="252"/>
      <c r="Q164" s="252"/>
      <c r="R164" s="252"/>
      <c r="S164" s="252"/>
      <c r="T164" s="252"/>
      <c r="U164" s="252"/>
      <c r="V164" s="252"/>
      <c r="W164" s="252"/>
      <c r="X164" s="252"/>
      <c r="Y164" s="456"/>
      <c r="Z164" s="456"/>
      <c r="AA164" s="456"/>
      <c r="AB164" s="456"/>
      <c r="AC164" s="456"/>
      <c r="AD164" s="456"/>
      <c r="AE164" s="456"/>
      <c r="AF164" s="456"/>
      <c r="AG164" s="456"/>
      <c r="AH164" s="456"/>
      <c r="AI164" s="456"/>
      <c r="AJ164" s="456"/>
      <c r="AK164" s="456"/>
      <c r="AL164" s="456"/>
      <c r="AM164" s="456"/>
      <c r="AN164" s="456"/>
      <c r="AO164" s="267"/>
      <c r="AP164" s="265"/>
      <c r="AQ164" s="265"/>
      <c r="AR164" s="265"/>
      <c r="AS164" s="265"/>
      <c r="AT164" s="265"/>
      <c r="AU164" s="268"/>
      <c r="AV164" s="252"/>
      <c r="AW164" s="252"/>
      <c r="AX164" s="252"/>
      <c r="AY164" s="252"/>
      <c r="AZ164" s="252"/>
      <c r="BA164" s="252"/>
      <c r="BB164" s="252"/>
      <c r="BC164" s="252"/>
      <c r="BD164" s="252"/>
      <c r="BE164" s="252"/>
      <c r="BF164" s="252"/>
      <c r="BG164" s="252"/>
      <c r="BH164" s="252"/>
      <c r="BI164" s="252"/>
      <c r="BJ164" s="252"/>
      <c r="BK164" s="252"/>
      <c r="BL164" s="252"/>
      <c r="BM164" s="252"/>
      <c r="BN164" s="252"/>
      <c r="BO164" s="252"/>
      <c r="BP164" s="252"/>
      <c r="BQ164" s="252"/>
      <c r="BR164" s="457"/>
      <c r="BS164" s="252"/>
      <c r="BT164" s="252"/>
      <c r="BU164" s="252"/>
      <c r="BV164" s="252"/>
      <c r="BW164" s="252"/>
      <c r="BX164" s="252"/>
      <c r="BY164" s="458"/>
      <c r="BZ164" s="458"/>
      <c r="CA164" s="458"/>
      <c r="CB164" s="252"/>
      <c r="CC164" s="459"/>
      <c r="CD164" s="459"/>
      <c r="CE164" s="459"/>
      <c r="CF164" s="459"/>
      <c r="CG164" s="459"/>
      <c r="CH164" s="459"/>
      <c r="CI164" s="459"/>
      <c r="CJ164" s="459"/>
      <c r="CK164" s="459"/>
      <c r="CL164" s="252"/>
      <c r="CM164" s="252"/>
      <c r="CN164" s="252"/>
      <c r="CO164" s="252"/>
      <c r="CP164" s="252"/>
      <c r="CQ164" s="252"/>
      <c r="CR164" s="252"/>
      <c r="CS164" s="252"/>
      <c r="CT164" s="252"/>
      <c r="CU164" s="252"/>
      <c r="CV164" s="252"/>
      <c r="CW164" s="252"/>
      <c r="CX164" s="252"/>
      <c r="CZ164" s="252"/>
      <c r="DA164" s="252"/>
      <c r="DB164" s="252"/>
      <c r="DC164" s="252"/>
      <c r="DD164" s="252"/>
      <c r="DE164" s="252"/>
      <c r="DF164" s="461"/>
      <c r="DG164" s="252"/>
      <c r="DH164" s="252"/>
      <c r="DI164" s="252"/>
      <c r="DJ164" s="252"/>
      <c r="DK164" s="252"/>
      <c r="DL164" s="252"/>
      <c r="DM164" s="252"/>
      <c r="DN164" s="252"/>
      <c r="DO164" s="252"/>
      <c r="DP164" s="252"/>
      <c r="DQ164" s="252"/>
      <c r="DR164" s="252"/>
      <c r="DS164" s="252"/>
    </row>
    <row r="165" spans="1:123" s="460" customFormat="1" ht="14" outlineLevel="1">
      <c r="A165" s="281" t="s">
        <v>446</v>
      </c>
      <c r="B165" s="314" t="s">
        <v>5</v>
      </c>
      <c r="C165" s="306" t="s">
        <v>181</v>
      </c>
      <c r="D165" s="252"/>
      <c r="E165" s="252"/>
      <c r="F165" s="252"/>
      <c r="G165" s="252"/>
      <c r="H165" s="252"/>
      <c r="I165" s="252"/>
      <c r="J165" s="252"/>
      <c r="K165" s="252"/>
      <c r="L165" s="252"/>
      <c r="M165" s="252"/>
      <c r="N165" s="252"/>
      <c r="O165" s="252"/>
      <c r="P165" s="252"/>
      <c r="Q165" s="252"/>
      <c r="R165" s="252"/>
      <c r="S165" s="252"/>
      <c r="T165" s="252"/>
      <c r="U165" s="252"/>
      <c r="V165" s="252"/>
      <c r="W165" s="252"/>
      <c r="X165" s="252"/>
      <c r="Y165" s="456"/>
      <c r="Z165" s="456"/>
      <c r="AA165" s="456"/>
      <c r="AB165" s="456"/>
      <c r="AC165" s="456"/>
      <c r="AD165" s="456"/>
      <c r="AE165" s="456"/>
      <c r="AF165" s="456"/>
      <c r="AG165" s="456"/>
      <c r="AH165" s="456"/>
      <c r="AI165" s="456"/>
      <c r="AJ165" s="456"/>
      <c r="AK165" s="456"/>
      <c r="AL165" s="456"/>
      <c r="AM165" s="456"/>
      <c r="AN165" s="456"/>
      <c r="AO165" s="267"/>
      <c r="AP165" s="265"/>
      <c r="AQ165" s="265"/>
      <c r="AR165" s="265"/>
      <c r="AS165" s="265"/>
      <c r="AT165" s="265"/>
      <c r="AU165" s="268"/>
      <c r="AV165" s="252"/>
      <c r="AW165" s="252"/>
      <c r="AX165" s="252"/>
      <c r="AY165" s="252"/>
      <c r="AZ165" s="252"/>
      <c r="BA165" s="252"/>
      <c r="BB165" s="252"/>
      <c r="BC165" s="252"/>
      <c r="BD165" s="252"/>
      <c r="BE165" s="252"/>
      <c r="BF165" s="252"/>
      <c r="BG165" s="252"/>
      <c r="BH165" s="252"/>
      <c r="BI165" s="252"/>
      <c r="BJ165" s="252"/>
      <c r="BK165" s="252"/>
      <c r="BL165" s="252"/>
      <c r="BM165" s="252"/>
      <c r="BN165" s="252"/>
      <c r="BO165" s="252"/>
      <c r="BP165" s="252"/>
      <c r="BQ165" s="252"/>
      <c r="BR165" s="457"/>
      <c r="BS165" s="252"/>
      <c r="BT165" s="252"/>
      <c r="BU165" s="252"/>
      <c r="BV165" s="252"/>
      <c r="BW165" s="252"/>
      <c r="BX165" s="252"/>
      <c r="BY165" s="458"/>
      <c r="BZ165" s="458"/>
      <c r="CA165" s="458"/>
      <c r="CB165" s="252"/>
      <c r="CC165" s="459"/>
      <c r="CD165" s="459"/>
      <c r="CE165" s="459"/>
      <c r="CF165" s="459"/>
      <c r="CG165" s="459"/>
      <c r="CH165" s="459"/>
      <c r="CI165" s="459"/>
      <c r="CJ165" s="459"/>
      <c r="CK165" s="459"/>
      <c r="CL165" s="252"/>
      <c r="CM165" s="252"/>
      <c r="CN165" s="252"/>
      <c r="CO165" s="252"/>
      <c r="CP165" s="252"/>
      <c r="CQ165" s="252"/>
      <c r="CR165" s="252"/>
      <c r="CS165" s="252"/>
      <c r="CT165" s="252"/>
      <c r="CU165" s="252"/>
      <c r="CV165" s="252"/>
      <c r="CW165" s="252"/>
      <c r="CX165" s="252"/>
      <c r="CZ165" s="252"/>
      <c r="DA165" s="252"/>
      <c r="DB165" s="252"/>
      <c r="DC165" s="252"/>
      <c r="DD165" s="252"/>
      <c r="DE165" s="252"/>
      <c r="DF165" s="461"/>
      <c r="DG165" s="252"/>
      <c r="DH165" s="252"/>
      <c r="DI165" s="252"/>
      <c r="DJ165" s="252"/>
      <c r="DK165" s="252"/>
      <c r="DL165" s="252"/>
      <c r="DM165" s="252"/>
      <c r="DN165" s="252"/>
      <c r="DO165" s="252"/>
      <c r="DP165" s="252"/>
      <c r="DQ165" s="252"/>
      <c r="DR165" s="252"/>
      <c r="DS165" s="252"/>
    </row>
    <row r="166" spans="1:123">
      <c r="A166" s="22"/>
      <c r="B166" s="22"/>
      <c r="C166" s="282"/>
      <c r="D166" s="22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8"/>
      <c r="AB166" s="18"/>
      <c r="AC166" s="18"/>
      <c r="AD166" s="18"/>
      <c r="AE166" s="18"/>
      <c r="AF166" s="18"/>
      <c r="AG166" s="18"/>
      <c r="AH166" s="18"/>
      <c r="AI166" s="22"/>
      <c r="AJ166" s="18"/>
      <c r="AK166" s="18"/>
      <c r="AL166" s="18"/>
      <c r="AM166" s="18"/>
      <c r="AN166" s="18"/>
      <c r="AO166" s="267"/>
      <c r="AP166" s="265"/>
      <c r="AQ166" s="265"/>
      <c r="AR166" s="265"/>
      <c r="AS166" s="265"/>
      <c r="AT166" s="265"/>
      <c r="AU166" s="268"/>
      <c r="AV166" s="18"/>
      <c r="AW166" s="18"/>
      <c r="AX166" s="18"/>
      <c r="AY166" s="18"/>
      <c r="AZ166" s="18"/>
      <c r="BA166" s="18"/>
      <c r="BB166" s="18"/>
      <c r="BC166" s="18"/>
      <c r="BD166" s="18"/>
      <c r="BE166" s="18"/>
      <c r="BF166" s="18"/>
      <c r="BG166" s="18"/>
      <c r="BH166" s="18"/>
      <c r="BI166" s="18"/>
      <c r="BJ166" s="18"/>
      <c r="BK166" s="18"/>
      <c r="BL166" s="18"/>
      <c r="BM166" s="18"/>
      <c r="BN166" s="18"/>
      <c r="BO166" s="18"/>
      <c r="BP166" s="18"/>
      <c r="BQ166" s="18"/>
      <c r="BR166" s="18" t="s">
        <v>252</v>
      </c>
      <c r="BS166" s="18"/>
      <c r="BT166" s="18"/>
      <c r="BU166" s="18"/>
      <c r="BV166" s="18"/>
      <c r="BW166" s="18"/>
      <c r="BX166" s="18"/>
      <c r="BY166" s="18"/>
      <c r="BZ166" s="18"/>
      <c r="CA166" s="18"/>
      <c r="CB166" s="18"/>
      <c r="CC166" s="18"/>
      <c r="CD166" s="18"/>
      <c r="CE166" s="18"/>
      <c r="CF166" s="18"/>
      <c r="CG166" s="18"/>
      <c r="CH166" s="18"/>
      <c r="CI166" s="18"/>
      <c r="CJ166" s="18"/>
      <c r="CK166" s="18"/>
      <c r="CL166" s="18"/>
      <c r="CM166" s="18"/>
      <c r="CN166" s="18"/>
      <c r="CO166" s="18"/>
      <c r="CP166" s="18"/>
      <c r="CQ166" s="18"/>
      <c r="CR166" s="18"/>
      <c r="CS166" s="18"/>
      <c r="CT166" s="18"/>
      <c r="CU166" s="18"/>
      <c r="CV166" s="18"/>
      <c r="CW166" s="18"/>
      <c r="CX166" s="18"/>
      <c r="CZ166" s="18"/>
      <c r="DA166" s="18"/>
      <c r="DB166" s="18"/>
      <c r="DC166" s="18"/>
      <c r="DD166" s="18"/>
      <c r="DE166" s="18"/>
      <c r="DF166" s="18"/>
      <c r="DG166" s="18"/>
      <c r="DH166" s="18"/>
      <c r="DI166" s="18"/>
      <c r="DJ166" s="18"/>
      <c r="DK166" s="18"/>
      <c r="DL166" s="18"/>
      <c r="DM166" s="18"/>
      <c r="DN166" s="18"/>
      <c r="DO166" s="18"/>
      <c r="DP166" s="18"/>
      <c r="DQ166" s="18"/>
      <c r="DR166" s="18"/>
      <c r="DS166" s="18"/>
    </row>
    <row r="167" spans="1:123">
      <c r="A167" s="22"/>
      <c r="C167" s="22"/>
      <c r="D167" s="22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  <c r="AA167" s="18"/>
      <c r="AB167" s="18"/>
      <c r="AC167" s="18"/>
      <c r="AD167" s="18"/>
      <c r="AE167" s="18"/>
      <c r="AF167" s="18"/>
      <c r="AG167" s="18"/>
      <c r="AH167" s="18"/>
      <c r="AI167" s="22"/>
      <c r="AJ167" s="18"/>
      <c r="AK167" s="18"/>
      <c r="AL167" s="18"/>
      <c r="AM167" s="18"/>
      <c r="AN167" s="18"/>
      <c r="AO167" s="18"/>
      <c r="AP167" s="18"/>
      <c r="AQ167" s="18"/>
      <c r="AR167" s="18"/>
      <c r="AS167" s="18"/>
      <c r="AT167" s="18"/>
      <c r="AU167" s="18"/>
      <c r="AV167" s="18"/>
      <c r="AW167" s="18"/>
      <c r="AX167" s="18"/>
      <c r="AY167" s="18"/>
      <c r="AZ167" s="18"/>
      <c r="BA167" s="18"/>
      <c r="BB167" s="18"/>
      <c r="BC167" s="18"/>
      <c r="BD167" s="18"/>
      <c r="BE167" s="18"/>
      <c r="BF167" s="18"/>
      <c r="BG167" s="18"/>
      <c r="BH167" s="18"/>
      <c r="BI167" s="18"/>
      <c r="BJ167" s="18"/>
      <c r="BK167" s="18"/>
      <c r="BL167" s="18"/>
      <c r="BM167" s="18"/>
      <c r="BN167" s="18"/>
      <c r="BO167" s="18"/>
      <c r="BP167" s="18"/>
      <c r="BQ167" s="18"/>
      <c r="BR167" s="18"/>
      <c r="BS167" s="18"/>
      <c r="BT167" s="18"/>
      <c r="BU167" s="18"/>
      <c r="BV167" s="18"/>
      <c r="BW167" s="18"/>
      <c r="BX167" s="18"/>
      <c r="BY167" s="18"/>
      <c r="BZ167" s="18"/>
      <c r="CA167" s="18"/>
      <c r="CB167" s="18"/>
      <c r="CC167" s="18"/>
      <c r="CD167" s="18"/>
      <c r="CE167" s="18"/>
      <c r="CF167" s="18"/>
      <c r="CG167" s="18"/>
      <c r="CH167" s="18"/>
      <c r="CI167" s="18"/>
      <c r="CJ167" s="18"/>
      <c r="CK167" s="18"/>
      <c r="CL167" s="18"/>
      <c r="CM167" s="18"/>
      <c r="CN167" s="18"/>
      <c r="CO167" s="18"/>
      <c r="CP167" s="18"/>
      <c r="CQ167" s="18"/>
      <c r="CR167" s="18"/>
      <c r="CS167" s="18"/>
      <c r="CT167" s="18"/>
      <c r="CU167" s="18"/>
      <c r="CV167" s="18"/>
      <c r="CW167" s="18"/>
      <c r="CX167" s="18"/>
      <c r="CZ167" s="18"/>
      <c r="DA167" s="18"/>
      <c r="DB167" s="18"/>
      <c r="DC167" s="18"/>
      <c r="DD167" s="18"/>
      <c r="DE167" s="18"/>
      <c r="DF167" s="18"/>
      <c r="DG167" s="18"/>
      <c r="DH167" s="18"/>
      <c r="DI167" s="18"/>
      <c r="DJ167" s="18"/>
      <c r="DK167" s="18"/>
      <c r="DL167" s="18"/>
      <c r="DM167" s="18"/>
      <c r="DN167" s="18"/>
      <c r="DO167" s="18"/>
      <c r="DP167" s="18"/>
      <c r="DQ167" s="18"/>
      <c r="DR167" s="18"/>
      <c r="DS167" s="18"/>
    </row>
    <row r="168" spans="1:123" ht="14">
      <c r="A168" s="283"/>
      <c r="B168" s="263" t="s">
        <v>181</v>
      </c>
      <c r="C168" s="284">
        <f>COUNTIF($C$10:$C$165,$B168)</f>
        <v>19</v>
      </c>
      <c r="D168" s="22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  <c r="AA168" s="18"/>
      <c r="AB168" s="18"/>
      <c r="AC168" s="18"/>
      <c r="AD168" s="18"/>
      <c r="AE168" s="18"/>
      <c r="AF168" s="18"/>
      <c r="AG168" s="18"/>
      <c r="AH168" s="18"/>
      <c r="AI168" s="22"/>
      <c r="AJ168" s="18"/>
      <c r="AK168" s="18"/>
      <c r="AL168" s="18"/>
      <c r="AM168" s="18"/>
      <c r="AN168" s="18"/>
      <c r="AO168" s="18"/>
      <c r="AP168" s="18"/>
      <c r="AQ168" s="18"/>
      <c r="AR168" s="18"/>
      <c r="AS168" s="18"/>
      <c r="AT168" s="18"/>
      <c r="AU168" s="18"/>
      <c r="AV168" s="18"/>
      <c r="AW168" s="18"/>
      <c r="AX168" s="18"/>
      <c r="AY168" s="18"/>
      <c r="AZ168" s="18"/>
      <c r="BA168" s="18"/>
      <c r="BB168" s="18"/>
      <c r="BC168" s="18"/>
      <c r="BD168" s="18"/>
      <c r="BE168" s="18"/>
      <c r="BF168" s="18"/>
      <c r="BG168" s="18"/>
      <c r="BH168" s="18"/>
      <c r="BI168" s="18"/>
      <c r="BJ168" s="18"/>
      <c r="BK168" s="18"/>
      <c r="BL168" s="18"/>
      <c r="BM168" s="18"/>
      <c r="BN168" s="18"/>
      <c r="BO168" s="18"/>
      <c r="BP168" s="18"/>
      <c r="BQ168" s="18"/>
      <c r="BR168" s="18"/>
      <c r="BS168" s="18"/>
      <c r="BT168" s="18"/>
      <c r="BU168" s="18"/>
      <c r="BV168" s="18"/>
      <c r="BW168" s="18"/>
      <c r="BX168" s="18"/>
      <c r="BY168" s="18"/>
      <c r="BZ168" s="18"/>
      <c r="CA168" s="18"/>
      <c r="CB168" s="18"/>
      <c r="CC168" s="18"/>
      <c r="CD168" s="18"/>
      <c r="CE168" s="18"/>
      <c r="CF168" s="18"/>
      <c r="CG168" s="18"/>
      <c r="CH168" s="18"/>
      <c r="CI168" s="18"/>
      <c r="CJ168" s="18"/>
      <c r="CK168" s="18"/>
      <c r="CL168" s="18"/>
      <c r="CM168" s="18"/>
      <c r="CN168" s="18"/>
      <c r="CO168" s="18"/>
      <c r="CP168" s="18"/>
      <c r="CQ168" s="18"/>
      <c r="CR168" s="18"/>
      <c r="CS168" s="18"/>
      <c r="CT168" s="18"/>
      <c r="CU168" s="18"/>
      <c r="CV168" s="18"/>
      <c r="CW168" s="18"/>
      <c r="CX168" s="18"/>
      <c r="CZ168" s="18"/>
      <c r="DA168" s="18"/>
      <c r="DB168" s="18"/>
      <c r="DC168" s="18"/>
      <c r="DD168" s="18"/>
      <c r="DE168" s="18"/>
      <c r="DF168" s="18"/>
      <c r="DG168" s="18"/>
      <c r="DH168" s="18"/>
      <c r="DI168" s="18"/>
      <c r="DJ168" s="18"/>
      <c r="DK168" s="18"/>
      <c r="DL168" s="18"/>
      <c r="DM168" s="18"/>
      <c r="DN168" s="18"/>
      <c r="DO168" s="18"/>
      <c r="DP168" s="18"/>
      <c r="DQ168" s="18"/>
      <c r="DR168" s="18"/>
      <c r="DS168" s="18"/>
    </row>
    <row r="169" spans="1:123" ht="14">
      <c r="A169" s="283"/>
      <c r="B169" s="285" t="s">
        <v>190</v>
      </c>
      <c r="C169" s="284">
        <f t="shared" ref="C169:C172" si="0">COUNTIF($C$10:$C$165,$B169)</f>
        <v>17</v>
      </c>
      <c r="D169" s="22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  <c r="AA169" s="18"/>
      <c r="AB169" s="18"/>
      <c r="AC169" s="18"/>
      <c r="AD169" s="18"/>
      <c r="AE169" s="18"/>
      <c r="AF169" s="18"/>
      <c r="AG169" s="18"/>
      <c r="AH169" s="18"/>
      <c r="AI169" s="22"/>
      <c r="AJ169" s="18"/>
      <c r="AK169" s="18"/>
      <c r="AL169" s="18"/>
      <c r="AM169" s="18"/>
      <c r="AN169" s="18"/>
      <c r="AO169" s="18"/>
      <c r="AP169" s="18"/>
      <c r="AQ169" s="18"/>
      <c r="AR169" s="18"/>
      <c r="AS169" s="18"/>
      <c r="AT169" s="18"/>
      <c r="AU169" s="18"/>
      <c r="AV169" s="18"/>
      <c r="AW169" s="18"/>
      <c r="AX169" s="18"/>
      <c r="AY169" s="18"/>
      <c r="AZ169" s="18"/>
      <c r="BA169" s="18"/>
      <c r="BB169" s="18"/>
      <c r="BC169" s="18"/>
      <c r="BD169" s="18"/>
      <c r="BE169" s="18"/>
      <c r="BF169" s="18"/>
      <c r="BG169" s="18"/>
      <c r="BH169" s="18"/>
      <c r="BI169" s="18"/>
      <c r="BJ169" s="18"/>
      <c r="BK169" s="18"/>
      <c r="BL169" s="18"/>
      <c r="BM169" s="18"/>
      <c r="BN169" s="18"/>
      <c r="BO169" s="18"/>
      <c r="BP169" s="18"/>
      <c r="BQ169" s="18"/>
      <c r="BR169" s="18"/>
      <c r="BS169" s="18"/>
      <c r="BT169" s="18"/>
      <c r="BU169" s="18"/>
      <c r="BV169" s="18"/>
      <c r="BW169" s="18"/>
      <c r="BX169" s="18"/>
      <c r="BY169" s="18"/>
      <c r="BZ169" s="18"/>
      <c r="CA169" s="18"/>
      <c r="CB169" s="18"/>
      <c r="CC169" s="18"/>
      <c r="CD169" s="18"/>
      <c r="CE169" s="18"/>
      <c r="CF169" s="18"/>
      <c r="CG169" s="18"/>
      <c r="CH169" s="18"/>
      <c r="CI169" s="18"/>
      <c r="CJ169" s="18"/>
      <c r="CK169" s="18"/>
      <c r="CL169" s="18"/>
      <c r="CM169" s="18"/>
      <c r="CN169" s="18"/>
      <c r="CO169" s="18"/>
      <c r="CP169" s="18"/>
      <c r="CQ169" s="18"/>
      <c r="CR169" s="18"/>
      <c r="CS169" s="18"/>
      <c r="CT169" s="18"/>
      <c r="CU169" s="18"/>
      <c r="CV169" s="18"/>
      <c r="CW169" s="18"/>
      <c r="CX169" s="18"/>
      <c r="CZ169" s="18"/>
      <c r="DA169" s="18"/>
      <c r="DB169" s="18"/>
      <c r="DC169" s="18"/>
      <c r="DD169" s="18"/>
      <c r="DE169" s="18"/>
      <c r="DF169" s="18"/>
      <c r="DG169" s="18"/>
      <c r="DH169" s="18"/>
      <c r="DI169" s="18"/>
      <c r="DJ169" s="18"/>
      <c r="DK169" s="18"/>
      <c r="DL169" s="18"/>
      <c r="DM169" s="18"/>
      <c r="DN169" s="18"/>
      <c r="DO169" s="18"/>
      <c r="DP169" s="18"/>
      <c r="DQ169" s="18"/>
      <c r="DR169" s="18"/>
      <c r="DS169" s="18"/>
    </row>
    <row r="170" spans="1:123" ht="14">
      <c r="B170" s="235" t="s">
        <v>178</v>
      </c>
      <c r="C170" s="284">
        <f t="shared" si="0"/>
        <v>100</v>
      </c>
      <c r="D170" s="22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  <c r="AA170" s="18"/>
      <c r="AB170" s="18"/>
      <c r="AC170" s="18"/>
      <c r="AD170" s="18"/>
      <c r="AE170" s="18"/>
      <c r="AF170" s="18"/>
      <c r="AG170" s="18"/>
      <c r="AH170" s="18"/>
      <c r="AI170" s="22"/>
      <c r="AJ170" s="18"/>
      <c r="AK170" s="18"/>
      <c r="AL170" s="18"/>
      <c r="AM170" s="18"/>
      <c r="AN170" s="18"/>
      <c r="AO170" s="18"/>
      <c r="AP170" s="18"/>
      <c r="AQ170" s="18"/>
      <c r="AR170" s="18"/>
      <c r="AS170" s="18"/>
      <c r="AT170" s="18"/>
      <c r="AU170" s="18"/>
      <c r="AV170" s="18"/>
      <c r="AW170" s="18"/>
      <c r="AX170" s="18"/>
      <c r="AY170" s="18"/>
      <c r="AZ170" s="18"/>
      <c r="BA170" s="18"/>
      <c r="BB170" s="18"/>
      <c r="BC170" s="18"/>
      <c r="BD170" s="18"/>
      <c r="BE170" s="18"/>
      <c r="BF170" s="18"/>
      <c r="BG170" s="18"/>
      <c r="BH170" s="18"/>
      <c r="BI170" s="18"/>
      <c r="BJ170" s="18"/>
      <c r="BK170" s="18"/>
      <c r="BL170" s="18"/>
      <c r="BM170" s="18"/>
      <c r="BN170" s="18"/>
      <c r="BO170" s="18"/>
      <c r="BP170" s="18"/>
      <c r="BQ170" s="18"/>
      <c r="BR170" s="18"/>
      <c r="BS170" s="18"/>
      <c r="BT170" s="18"/>
      <c r="BU170" s="18"/>
      <c r="BV170" s="18"/>
      <c r="BW170" s="18"/>
      <c r="BX170" s="18"/>
      <c r="BY170" s="18"/>
      <c r="BZ170" s="18"/>
      <c r="CA170" s="18"/>
      <c r="CB170" s="18"/>
      <c r="CC170" s="18"/>
      <c r="CD170" s="18"/>
      <c r="CE170" s="18"/>
      <c r="CF170" s="18"/>
      <c r="CG170" s="18"/>
      <c r="CH170" s="18"/>
      <c r="CI170" s="18"/>
      <c r="CJ170" s="18"/>
      <c r="CK170" s="18"/>
      <c r="CL170" s="18"/>
      <c r="CM170" s="18"/>
      <c r="CN170" s="18"/>
      <c r="CO170" s="18"/>
      <c r="CP170" s="18"/>
      <c r="CQ170" s="18"/>
      <c r="CR170" s="18"/>
      <c r="CS170" s="18"/>
      <c r="CT170" s="18"/>
      <c r="CU170" s="18"/>
      <c r="CV170" s="18"/>
      <c r="CW170" s="18"/>
      <c r="CX170" s="18"/>
      <c r="CZ170" s="18"/>
      <c r="DA170" s="18"/>
      <c r="DB170" s="18"/>
      <c r="DC170" s="18"/>
      <c r="DD170" s="18"/>
      <c r="DE170" s="18"/>
      <c r="DF170" s="18"/>
      <c r="DG170" s="18"/>
      <c r="DH170" s="18"/>
      <c r="DI170" s="18"/>
      <c r="DJ170" s="18"/>
      <c r="DK170" s="18"/>
      <c r="DL170" s="18"/>
      <c r="DM170" s="18"/>
      <c r="DN170" s="18"/>
      <c r="DO170" s="18"/>
      <c r="DP170" s="18"/>
      <c r="DQ170" s="18"/>
      <c r="DR170" s="18"/>
      <c r="DS170" s="18"/>
    </row>
    <row r="171" spans="1:123" ht="14">
      <c r="B171" s="286" t="s">
        <v>253</v>
      </c>
      <c r="C171" s="284">
        <f t="shared" si="0"/>
        <v>4</v>
      </c>
      <c r="D171" s="22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  <c r="AA171" s="18"/>
      <c r="AB171" s="18"/>
      <c r="AC171" s="18"/>
      <c r="AD171" s="18"/>
      <c r="AE171" s="18"/>
      <c r="AF171" s="18"/>
      <c r="AG171" s="18"/>
      <c r="AH171" s="18"/>
      <c r="AI171" s="22"/>
      <c r="AJ171" s="18"/>
      <c r="AK171" s="18"/>
      <c r="AL171" s="18"/>
      <c r="AM171" s="18"/>
      <c r="AN171" s="18"/>
      <c r="AO171" s="18"/>
      <c r="AP171" s="18"/>
      <c r="AQ171" s="18"/>
      <c r="AR171" s="18"/>
      <c r="AS171" s="18"/>
      <c r="AT171" s="18"/>
      <c r="AU171" s="18"/>
      <c r="AV171" s="18"/>
      <c r="AW171" s="18"/>
      <c r="AX171" s="18"/>
      <c r="AY171" s="18"/>
      <c r="AZ171" s="18"/>
      <c r="BA171" s="18"/>
      <c r="BB171" s="18"/>
      <c r="BC171" s="18"/>
      <c r="BD171" s="18"/>
      <c r="BE171" s="18"/>
      <c r="BF171" s="18"/>
      <c r="BG171" s="18"/>
      <c r="BH171" s="18"/>
      <c r="BI171" s="18"/>
      <c r="BJ171" s="18"/>
      <c r="BK171" s="18"/>
      <c r="BL171" s="18"/>
      <c r="BM171" s="18"/>
      <c r="BN171" s="18"/>
      <c r="BO171" s="18"/>
      <c r="BP171" s="18"/>
      <c r="BQ171" s="18"/>
      <c r="BR171" s="18"/>
      <c r="BS171" s="18"/>
      <c r="BT171" s="18"/>
      <c r="BU171" s="18"/>
      <c r="BV171" s="18"/>
      <c r="BW171" s="18"/>
      <c r="BX171" s="18"/>
      <c r="BY171" s="18"/>
      <c r="BZ171" s="18"/>
      <c r="CA171" s="18"/>
      <c r="CB171" s="18"/>
      <c r="CC171" s="18"/>
      <c r="CD171" s="18"/>
      <c r="CE171" s="18"/>
      <c r="CF171" s="18"/>
      <c r="CG171" s="18"/>
      <c r="CH171" s="18"/>
      <c r="CI171" s="18"/>
      <c r="CJ171" s="18"/>
      <c r="CK171" s="18"/>
      <c r="CL171" s="18"/>
      <c r="CM171" s="18"/>
      <c r="CN171" s="18"/>
      <c r="CO171" s="18"/>
      <c r="CP171" s="18"/>
      <c r="CQ171" s="18"/>
      <c r="CR171" s="18"/>
      <c r="CS171" s="18"/>
      <c r="CT171" s="18"/>
      <c r="CU171" s="18"/>
      <c r="CV171" s="18"/>
      <c r="CW171" s="18"/>
      <c r="CX171" s="18"/>
      <c r="CZ171" s="18"/>
      <c r="DA171" s="18"/>
      <c r="DB171" s="18"/>
      <c r="DC171" s="18"/>
      <c r="DD171" s="18"/>
      <c r="DE171" s="18"/>
      <c r="DF171" s="18"/>
      <c r="DG171" s="18"/>
      <c r="DH171" s="18"/>
      <c r="DI171" s="18"/>
      <c r="DJ171" s="18"/>
      <c r="DK171" s="18"/>
      <c r="DL171" s="18"/>
      <c r="DM171" s="18"/>
      <c r="DN171" s="18"/>
      <c r="DO171" s="18"/>
      <c r="DP171" s="18"/>
      <c r="DQ171" s="18"/>
      <c r="DR171" s="18"/>
      <c r="DS171" s="18"/>
    </row>
    <row r="172" spans="1:123" ht="14">
      <c r="B172" s="376" t="s">
        <v>254</v>
      </c>
      <c r="C172" s="284">
        <f t="shared" si="0"/>
        <v>1</v>
      </c>
      <c r="D172" s="22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8"/>
      <c r="AB172" s="18"/>
      <c r="AC172" s="18"/>
      <c r="AD172" s="18"/>
      <c r="AE172" s="18"/>
      <c r="AF172" s="18"/>
      <c r="AG172" s="18"/>
      <c r="AH172" s="18"/>
      <c r="AI172" s="22"/>
      <c r="AJ172" s="18"/>
      <c r="AK172" s="18"/>
      <c r="AL172" s="18"/>
      <c r="AM172" s="18"/>
      <c r="AN172" s="18"/>
      <c r="AO172" s="18"/>
      <c r="AP172" s="18"/>
      <c r="AQ172" s="18"/>
      <c r="AR172" s="18"/>
      <c r="AS172" s="18"/>
      <c r="AT172" s="18"/>
      <c r="AU172" s="18"/>
      <c r="AV172" s="18"/>
      <c r="AW172" s="18"/>
      <c r="AX172" s="18"/>
      <c r="AY172" s="18"/>
      <c r="AZ172" s="18"/>
      <c r="BA172" s="18"/>
      <c r="BB172" s="18"/>
      <c r="BC172" s="18"/>
      <c r="BD172" s="18"/>
      <c r="BE172" s="18"/>
      <c r="BF172" s="18"/>
      <c r="BG172" s="18"/>
      <c r="BH172" s="18"/>
      <c r="BI172" s="18"/>
      <c r="BJ172" s="18"/>
      <c r="BK172" s="18"/>
      <c r="BL172" s="18"/>
      <c r="BM172" s="18"/>
      <c r="BN172" s="18"/>
      <c r="BO172" s="18"/>
      <c r="BP172" s="18"/>
      <c r="BQ172" s="18"/>
      <c r="BR172" s="18"/>
      <c r="BS172" s="18"/>
      <c r="BT172" s="18"/>
      <c r="BU172" s="18"/>
      <c r="BV172" s="18"/>
      <c r="BW172" s="18"/>
      <c r="BX172" s="18"/>
      <c r="BY172" s="18"/>
      <c r="BZ172" s="18"/>
      <c r="CA172" s="18"/>
      <c r="CB172" s="18"/>
      <c r="CC172" s="18"/>
      <c r="CD172" s="18"/>
      <c r="CE172" s="18"/>
      <c r="CF172" s="18"/>
      <c r="CG172" s="18"/>
      <c r="CH172" s="18"/>
      <c r="CI172" s="18"/>
      <c r="CJ172" s="18"/>
      <c r="CK172" s="18"/>
      <c r="CL172" s="18"/>
      <c r="CM172" s="18"/>
      <c r="CN172" s="18"/>
      <c r="CO172" s="18"/>
      <c r="CP172" s="18"/>
      <c r="CQ172" s="18"/>
      <c r="CR172" s="18"/>
      <c r="CS172" s="18"/>
      <c r="CT172" s="18"/>
      <c r="CU172" s="18"/>
      <c r="CV172" s="18"/>
      <c r="CW172" s="18"/>
      <c r="CX172" s="18"/>
      <c r="CZ172" s="18"/>
      <c r="DA172" s="18"/>
      <c r="DB172" s="18"/>
      <c r="DC172" s="18"/>
      <c r="DD172" s="18"/>
      <c r="DE172" s="18"/>
      <c r="DF172" s="18"/>
      <c r="DG172" s="18"/>
      <c r="DH172" s="18"/>
      <c r="DI172" s="18"/>
      <c r="DJ172" s="18"/>
      <c r="DK172" s="18"/>
      <c r="DL172" s="18"/>
      <c r="DM172" s="18"/>
      <c r="DN172" s="18"/>
      <c r="DO172" s="18"/>
      <c r="DP172" s="18"/>
      <c r="DQ172" s="18"/>
      <c r="DR172" s="18"/>
      <c r="DS172" s="18"/>
    </row>
    <row r="173" spans="1:123">
      <c r="B173" s="377" t="s">
        <v>126</v>
      </c>
      <c r="C173" s="284">
        <f>SUM(C168:C172)</f>
        <v>141</v>
      </c>
      <c r="D173" s="283"/>
      <c r="AI173" s="283"/>
    </row>
    <row r="174" spans="1:123">
      <c r="D174" s="283"/>
      <c r="AI174" s="283"/>
    </row>
    <row r="176" spans="1:123">
      <c r="B176" s="423" t="s">
        <v>363</v>
      </c>
      <c r="C176" s="423" t="s">
        <v>364</v>
      </c>
    </row>
    <row r="177" spans="2:25">
      <c r="B177" s="378" t="s">
        <v>252</v>
      </c>
      <c r="C177" s="422">
        <v>43501</v>
      </c>
    </row>
    <row r="178" spans="2:25">
      <c r="B178" s="378" t="s">
        <v>365</v>
      </c>
      <c r="C178" s="422">
        <v>43539</v>
      </c>
    </row>
    <row r="187" spans="2:25">
      <c r="Y187" s="290"/>
    </row>
  </sheetData>
  <mergeCells count="10">
    <mergeCell ref="A1:C1"/>
    <mergeCell ref="A2:C2"/>
    <mergeCell ref="A7:A8"/>
    <mergeCell ref="B7:B8"/>
    <mergeCell ref="C7:C8"/>
    <mergeCell ref="D7:AH7"/>
    <mergeCell ref="AI7:BM7"/>
    <mergeCell ref="BN7:CO7"/>
    <mergeCell ref="CP7:DS7"/>
    <mergeCell ref="Y9:AN9"/>
  </mergeCells>
  <dataValidations count="2">
    <dataValidation type="list" allowBlank="1" showInputMessage="1" showErrorMessage="1" sqref="B168:B172" xr:uid="{00000000-0002-0000-0200-000000000000}">
      <formula1>#REF!</formula1>
    </dataValidation>
    <dataValidation type="list" allowBlank="1" showInputMessage="1" showErrorMessage="1" sqref="C10:C165" xr:uid="{00000000-0002-0000-0200-000001000000}">
      <formula1>$B$169:$B$172</formula1>
    </dataValidation>
  </dataValidations>
  <pageMargins left="0" right="0" top="0" bottom="0" header="0" footer="0"/>
  <pageSetup paperSize="9" scale="10" fitToHeight="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6C49F-0881-45DC-A24C-06E226E17E02}">
  <sheetPr codeName="Feuil6"/>
  <dimension ref="A1:BM389"/>
  <sheetViews>
    <sheetView zoomScale="70" zoomScaleNormal="70" workbookViewId="0">
      <selection activeCell="F13" sqref="F13"/>
    </sheetView>
  </sheetViews>
  <sheetFormatPr baseColWidth="10" defaultRowHeight="14.5"/>
  <cols>
    <col min="1" max="1" width="59.36328125" bestFit="1" customWidth="1"/>
    <col min="2" max="2" width="15.08984375" bestFit="1" customWidth="1"/>
    <col min="4" max="16" width="6.6328125" customWidth="1"/>
    <col min="17" max="25" width="3.6328125" customWidth="1"/>
    <col min="26" max="65" width="6.6328125" customWidth="1"/>
  </cols>
  <sheetData>
    <row r="1" spans="1:65" ht="20">
      <c r="A1" s="482" t="s">
        <v>164</v>
      </c>
      <c r="B1" s="482"/>
    </row>
    <row r="2" spans="1:65" ht="18">
      <c r="A2" s="484" t="s">
        <v>369</v>
      </c>
      <c r="B2" s="484"/>
    </row>
    <row r="3" spans="1:65" ht="18">
      <c r="A3" s="431" t="s">
        <v>366</v>
      </c>
      <c r="B3" s="323">
        <v>43435</v>
      </c>
    </row>
    <row r="4" spans="1:65" ht="18">
      <c r="A4" s="431" t="s">
        <v>167</v>
      </c>
      <c r="B4" s="325">
        <f ca="1">_xlfn.DAYS(B5,TODAY())</f>
        <v>11</v>
      </c>
    </row>
    <row r="5" spans="1:65" ht="18">
      <c r="A5" s="431" t="s">
        <v>367</v>
      </c>
      <c r="B5" s="323">
        <v>43541</v>
      </c>
    </row>
    <row r="6" spans="1:65" ht="18.5" thickBot="1">
      <c r="A6" s="431" t="s">
        <v>368</v>
      </c>
      <c r="B6" s="324">
        <f ca="1">TODAY()</f>
        <v>43530</v>
      </c>
      <c r="D6" s="501" t="s">
        <v>435</v>
      </c>
      <c r="E6" s="501"/>
      <c r="F6" s="501"/>
      <c r="G6" s="501"/>
      <c r="H6" s="502" t="s">
        <v>436</v>
      </c>
      <c r="I6" s="502"/>
      <c r="J6" s="502"/>
      <c r="K6" s="502"/>
      <c r="L6" s="502"/>
      <c r="M6" s="503" t="s">
        <v>437</v>
      </c>
      <c r="N6" s="503"/>
      <c r="O6" s="503"/>
      <c r="P6" s="503"/>
      <c r="Z6" s="504" t="s">
        <v>438</v>
      </c>
      <c r="AA6" s="504"/>
      <c r="AB6" s="504"/>
      <c r="AC6" s="504"/>
      <c r="AD6" s="504"/>
      <c r="AE6" s="504"/>
      <c r="AF6" s="504"/>
      <c r="AG6" s="504"/>
      <c r="AH6" s="504"/>
      <c r="AI6" s="504"/>
      <c r="AJ6" s="504"/>
      <c r="AK6" s="505" t="s">
        <v>439</v>
      </c>
      <c r="AL6" s="505"/>
      <c r="AM6" s="505"/>
      <c r="AN6" s="505"/>
      <c r="AR6" s="500" t="s">
        <v>440</v>
      </c>
      <c r="AS6" s="500"/>
      <c r="AT6" s="500"/>
      <c r="AU6" s="500"/>
      <c r="AV6" s="500"/>
      <c r="AW6" s="500"/>
      <c r="AX6" s="500"/>
      <c r="AY6" s="500"/>
      <c r="AZ6" s="500"/>
    </row>
    <row r="7" spans="1:65" ht="16" thickBot="1">
      <c r="A7" s="486" t="s">
        <v>170</v>
      </c>
      <c r="B7" s="488" t="s">
        <v>146</v>
      </c>
      <c r="C7" s="490" t="s">
        <v>147</v>
      </c>
      <c r="D7" s="497" t="s">
        <v>412</v>
      </c>
      <c r="E7" s="498"/>
      <c r="F7" s="498"/>
      <c r="G7" s="499"/>
      <c r="H7" s="492" t="s">
        <v>413</v>
      </c>
      <c r="I7" s="493"/>
      <c r="J7" s="493"/>
      <c r="K7" s="493"/>
      <c r="L7" s="493"/>
      <c r="M7" s="492" t="s">
        <v>414</v>
      </c>
      <c r="N7" s="493"/>
      <c r="O7" s="493"/>
      <c r="P7" s="494"/>
      <c r="Q7" s="492" t="s">
        <v>415</v>
      </c>
      <c r="R7" s="493"/>
      <c r="S7" s="493"/>
      <c r="T7" s="494"/>
      <c r="U7" s="492" t="s">
        <v>416</v>
      </c>
      <c r="V7" s="493"/>
      <c r="W7" s="493"/>
      <c r="X7" s="493"/>
      <c r="Y7" s="494"/>
      <c r="Z7" s="492" t="s">
        <v>417</v>
      </c>
      <c r="AA7" s="493"/>
      <c r="AB7" s="493"/>
      <c r="AC7" s="494"/>
      <c r="AD7" s="495" t="s">
        <v>418</v>
      </c>
      <c r="AE7" s="496"/>
      <c r="AF7" s="496"/>
      <c r="AG7" s="496"/>
      <c r="AH7" s="496"/>
      <c r="AI7" s="497" t="s">
        <v>419</v>
      </c>
      <c r="AJ7" s="498"/>
      <c r="AK7" s="498"/>
      <c r="AL7" s="499"/>
      <c r="AM7" s="496" t="s">
        <v>171</v>
      </c>
      <c r="AN7" s="496"/>
      <c r="AO7" s="496"/>
      <c r="AP7" s="496"/>
      <c r="AQ7" s="492" t="s">
        <v>172</v>
      </c>
      <c r="AR7" s="493"/>
      <c r="AS7" s="493"/>
      <c r="AT7" s="494"/>
      <c r="AU7" s="492" t="s">
        <v>173</v>
      </c>
      <c r="AV7" s="493"/>
      <c r="AW7" s="493"/>
      <c r="AX7" s="494"/>
      <c r="AY7" s="492" t="s">
        <v>174</v>
      </c>
      <c r="AZ7" s="493"/>
      <c r="BA7" s="493"/>
      <c r="BB7" s="494"/>
      <c r="BC7" s="420" t="s">
        <v>412</v>
      </c>
      <c r="BD7" s="420"/>
      <c r="BE7" s="420"/>
      <c r="BF7" s="420"/>
      <c r="BG7" s="420"/>
      <c r="BH7" s="420"/>
      <c r="BI7" s="420"/>
      <c r="BJ7" s="420"/>
      <c r="BK7" s="420"/>
      <c r="BL7" s="420"/>
      <c r="BM7" s="420"/>
    </row>
    <row r="8" spans="1:65" ht="15" thickBot="1">
      <c r="A8" s="487"/>
      <c r="B8" s="489"/>
      <c r="C8" s="489"/>
      <c r="D8" s="432" t="s">
        <v>370</v>
      </c>
      <c r="E8" s="432" t="s">
        <v>371</v>
      </c>
      <c r="F8" s="432" t="s">
        <v>372</v>
      </c>
      <c r="G8" s="432" t="s">
        <v>373</v>
      </c>
      <c r="H8" s="432" t="s">
        <v>374</v>
      </c>
      <c r="I8" s="432" t="s">
        <v>375</v>
      </c>
      <c r="J8" s="432" t="s">
        <v>376</v>
      </c>
      <c r="K8" s="432" t="s">
        <v>377</v>
      </c>
      <c r="L8" s="23" t="s">
        <v>378</v>
      </c>
      <c r="M8" s="432" t="s">
        <v>379</v>
      </c>
      <c r="N8" s="432" t="s">
        <v>380</v>
      </c>
      <c r="O8" s="432" t="s">
        <v>381</v>
      </c>
      <c r="P8" s="432" t="s">
        <v>382</v>
      </c>
      <c r="Q8" s="432" t="s">
        <v>383</v>
      </c>
      <c r="R8" s="432" t="s">
        <v>384</v>
      </c>
      <c r="S8" s="432" t="s">
        <v>385</v>
      </c>
      <c r="T8" s="432" t="s">
        <v>386</v>
      </c>
      <c r="U8" s="432" t="s">
        <v>387</v>
      </c>
      <c r="V8" s="432" t="s">
        <v>388</v>
      </c>
      <c r="W8" s="432" t="s">
        <v>389</v>
      </c>
      <c r="X8" s="432" t="s">
        <v>390</v>
      </c>
      <c r="Y8" s="432" t="s">
        <v>391</v>
      </c>
      <c r="Z8" s="432" t="s">
        <v>392</v>
      </c>
      <c r="AA8" s="432" t="s">
        <v>393</v>
      </c>
      <c r="AB8" s="432" t="s">
        <v>394</v>
      </c>
      <c r="AC8" s="432" t="s">
        <v>395</v>
      </c>
      <c r="AD8" s="23" t="s">
        <v>396</v>
      </c>
      <c r="AE8" s="23" t="s">
        <v>397</v>
      </c>
      <c r="AF8" s="23" t="s">
        <v>398</v>
      </c>
      <c r="AG8" s="23" t="s">
        <v>399</v>
      </c>
      <c r="AH8" s="23" t="s">
        <v>400</v>
      </c>
      <c r="AI8" s="432" t="s">
        <v>401</v>
      </c>
      <c r="AJ8" s="432" t="s">
        <v>402</v>
      </c>
      <c r="AK8" s="432" t="s">
        <v>403</v>
      </c>
      <c r="AL8" s="432" t="s">
        <v>404</v>
      </c>
      <c r="AM8" s="23" t="s">
        <v>405</v>
      </c>
      <c r="AN8" s="23" t="s">
        <v>406</v>
      </c>
      <c r="AO8" s="23" t="s">
        <v>407</v>
      </c>
      <c r="AP8" s="23" t="s">
        <v>408</v>
      </c>
      <c r="AQ8" s="432" t="s">
        <v>420</v>
      </c>
      <c r="AR8" s="432" t="s">
        <v>421</v>
      </c>
      <c r="AS8" s="432" t="s">
        <v>422</v>
      </c>
      <c r="AT8" s="432" t="s">
        <v>423</v>
      </c>
      <c r="AU8" s="432" t="s">
        <v>424</v>
      </c>
      <c r="AV8" s="432" t="s">
        <v>425</v>
      </c>
      <c r="AW8" s="432" t="s">
        <v>426</v>
      </c>
      <c r="AX8" s="432" t="s">
        <v>427</v>
      </c>
      <c r="AY8" s="432" t="s">
        <v>428</v>
      </c>
      <c r="AZ8" s="432" t="s">
        <v>429</v>
      </c>
      <c r="BA8" s="432" t="s">
        <v>430</v>
      </c>
      <c r="BB8" s="432" t="s">
        <v>431</v>
      </c>
      <c r="BC8" s="432" t="s">
        <v>432</v>
      </c>
      <c r="BD8" s="432" t="s">
        <v>370</v>
      </c>
      <c r="BE8" s="432" t="s">
        <v>371</v>
      </c>
      <c r="BF8" s="432" t="s">
        <v>372</v>
      </c>
      <c r="BG8" s="432" t="s">
        <v>373</v>
      </c>
      <c r="BH8" s="432" t="s">
        <v>374</v>
      </c>
      <c r="BI8" s="432" t="s">
        <v>375</v>
      </c>
      <c r="BJ8" s="432" t="s">
        <v>376</v>
      </c>
      <c r="BK8" s="432" t="s">
        <v>377</v>
      </c>
      <c r="BL8" s="432" t="s">
        <v>378</v>
      </c>
      <c r="BM8" s="432" t="s">
        <v>379</v>
      </c>
    </row>
    <row r="9" spans="1:65">
      <c r="A9" s="33" t="s">
        <v>247</v>
      </c>
      <c r="B9" s="34"/>
      <c r="C9" s="35"/>
      <c r="E9" s="57"/>
      <c r="F9" s="57"/>
      <c r="G9" s="57"/>
      <c r="H9" s="57"/>
      <c r="I9" s="57"/>
      <c r="J9" s="57"/>
      <c r="Q9" s="491" t="s">
        <v>433</v>
      </c>
      <c r="R9" s="491"/>
      <c r="S9" s="491"/>
      <c r="T9" s="491"/>
      <c r="U9" s="491"/>
      <c r="V9" s="491"/>
      <c r="W9" s="491"/>
      <c r="X9" s="491"/>
      <c r="Y9" s="491"/>
      <c r="AP9" s="491" t="s">
        <v>434</v>
      </c>
      <c r="AQ9" s="491"/>
    </row>
    <row r="10" spans="1:65">
      <c r="A10" s="50" t="s">
        <v>409</v>
      </c>
      <c r="B10" s="51"/>
      <c r="C10" s="52"/>
      <c r="E10" s="57"/>
      <c r="F10" s="57"/>
      <c r="G10" s="57"/>
      <c r="H10" s="57"/>
      <c r="I10" s="57"/>
      <c r="J10" s="57"/>
      <c r="Q10" s="433"/>
      <c r="R10" s="433"/>
      <c r="S10" s="433"/>
      <c r="T10" s="433"/>
      <c r="U10" s="433"/>
      <c r="V10" s="433"/>
      <c r="W10" s="433"/>
      <c r="X10" s="433"/>
      <c r="Y10" s="433"/>
      <c r="AP10" s="433"/>
      <c r="AQ10" s="433"/>
    </row>
    <row r="11" spans="1:65">
      <c r="A11" s="76" t="s">
        <v>410</v>
      </c>
      <c r="B11" s="77"/>
      <c r="C11" s="78" t="s">
        <v>178</v>
      </c>
      <c r="E11" s="57"/>
      <c r="F11" s="57"/>
      <c r="G11" s="57"/>
      <c r="H11" s="57"/>
      <c r="I11" s="57"/>
      <c r="J11" s="57"/>
      <c r="Q11" s="433"/>
      <c r="R11" s="433"/>
      <c r="S11" s="433"/>
      <c r="T11" s="433"/>
      <c r="U11" s="433"/>
      <c r="V11" s="433"/>
      <c r="W11" s="433"/>
      <c r="X11" s="433"/>
      <c r="Y11" s="433"/>
      <c r="AP11" s="433"/>
      <c r="AQ11" s="433"/>
    </row>
    <row r="12" spans="1:65" ht="15" thickBot="1">
      <c r="A12" s="50" t="s">
        <v>411</v>
      </c>
      <c r="B12" s="77"/>
      <c r="C12" s="78" t="s">
        <v>178</v>
      </c>
      <c r="E12" s="79"/>
      <c r="F12" s="57"/>
      <c r="G12" s="57"/>
      <c r="H12" s="57"/>
      <c r="I12" s="57"/>
      <c r="J12" s="57"/>
      <c r="Q12" s="433"/>
      <c r="R12" s="433"/>
      <c r="S12" s="433"/>
      <c r="T12" s="433"/>
      <c r="U12" s="433"/>
      <c r="V12" s="433"/>
      <c r="W12" s="433"/>
      <c r="X12" s="433"/>
      <c r="Y12" s="433"/>
      <c r="AP12" s="433"/>
      <c r="AQ12" s="433"/>
    </row>
    <row r="13" spans="1:65">
      <c r="A13" s="33" t="s">
        <v>441</v>
      </c>
      <c r="B13" s="34"/>
      <c r="C13" s="35"/>
      <c r="Q13" s="433"/>
      <c r="R13" s="433"/>
      <c r="S13" s="433"/>
      <c r="T13" s="433"/>
      <c r="U13" s="433"/>
      <c r="V13" s="433"/>
      <c r="W13" s="433"/>
      <c r="X13" s="433"/>
      <c r="Y13" s="433"/>
      <c r="AP13" s="433"/>
      <c r="AQ13" s="433"/>
    </row>
    <row r="14" spans="1:65">
      <c r="A14" s="50" t="s">
        <v>409</v>
      </c>
      <c r="B14" s="51"/>
      <c r="C14" s="52"/>
      <c r="Q14" s="433"/>
      <c r="R14" s="433"/>
      <c r="S14" s="433"/>
      <c r="T14" s="433"/>
      <c r="U14" s="433"/>
      <c r="V14" s="433"/>
      <c r="W14" s="433"/>
      <c r="X14" s="433"/>
      <c r="Y14" s="433"/>
      <c r="AP14" s="433"/>
      <c r="AQ14" s="433"/>
    </row>
    <row r="15" spans="1:65">
      <c r="A15" s="76" t="s">
        <v>410</v>
      </c>
      <c r="B15" s="77"/>
      <c r="C15" s="78" t="s">
        <v>178</v>
      </c>
      <c r="Q15" s="433"/>
      <c r="R15" s="433"/>
      <c r="S15" s="433"/>
      <c r="T15" s="433"/>
      <c r="U15" s="433"/>
      <c r="V15" s="433"/>
      <c r="W15" s="433"/>
      <c r="X15" s="433"/>
      <c r="Y15" s="433"/>
      <c r="AP15" s="433"/>
      <c r="AQ15" s="433"/>
    </row>
    <row r="16" spans="1:65" ht="15" thickBot="1">
      <c r="A16" s="50" t="s">
        <v>411</v>
      </c>
      <c r="B16" s="77"/>
      <c r="C16" s="78" t="s">
        <v>178</v>
      </c>
      <c r="Q16" s="433"/>
      <c r="R16" s="433"/>
      <c r="S16" s="433"/>
      <c r="T16" s="433"/>
      <c r="U16" s="433"/>
      <c r="V16" s="433"/>
      <c r="W16" s="433"/>
      <c r="X16" s="433"/>
      <c r="Y16" s="433"/>
      <c r="AP16" s="433"/>
      <c r="AQ16" s="433"/>
    </row>
    <row r="17" spans="1:43">
      <c r="A17" s="33" t="s">
        <v>442</v>
      </c>
      <c r="B17" s="34"/>
      <c r="C17" s="35"/>
      <c r="Q17" s="433"/>
      <c r="R17" s="433"/>
      <c r="S17" s="433"/>
      <c r="T17" s="433"/>
      <c r="U17" s="433"/>
      <c r="V17" s="433"/>
      <c r="W17" s="433"/>
      <c r="X17" s="433"/>
      <c r="Y17" s="433"/>
      <c r="AP17" s="433"/>
      <c r="AQ17" s="433"/>
    </row>
    <row r="18" spans="1:43">
      <c r="A18" s="50" t="s">
        <v>409</v>
      </c>
      <c r="B18" s="51"/>
      <c r="C18" s="52"/>
      <c r="Q18" s="433"/>
      <c r="R18" s="433"/>
      <c r="S18" s="433"/>
      <c r="T18" s="433"/>
      <c r="U18" s="433"/>
      <c r="V18" s="433"/>
      <c r="W18" s="433"/>
      <c r="X18" s="433"/>
      <c r="Y18" s="433"/>
      <c r="AP18" s="433"/>
      <c r="AQ18" s="433"/>
    </row>
    <row r="19" spans="1:43">
      <c r="A19" s="76" t="s">
        <v>410</v>
      </c>
      <c r="B19" s="77"/>
      <c r="C19" s="78" t="s">
        <v>178</v>
      </c>
      <c r="Q19" s="433"/>
      <c r="R19" s="433"/>
      <c r="S19" s="433"/>
      <c r="T19" s="433"/>
      <c r="U19" s="433"/>
      <c r="V19" s="433"/>
      <c r="W19" s="433"/>
      <c r="X19" s="433"/>
      <c r="Y19" s="433"/>
      <c r="AP19" s="433"/>
      <c r="AQ19" s="433"/>
    </row>
    <row r="20" spans="1:43" ht="15" thickBot="1">
      <c r="A20" s="50" t="s">
        <v>411</v>
      </c>
      <c r="B20" s="77"/>
      <c r="C20" s="78" t="s">
        <v>178</v>
      </c>
      <c r="Q20" s="433"/>
      <c r="R20" s="433"/>
      <c r="S20" s="433"/>
      <c r="T20" s="433"/>
      <c r="U20" s="433"/>
      <c r="V20" s="433"/>
      <c r="W20" s="433"/>
      <c r="X20" s="433"/>
      <c r="Y20" s="433"/>
      <c r="AP20" s="433"/>
      <c r="AQ20" s="433"/>
    </row>
    <row r="21" spans="1:43">
      <c r="A21" s="33" t="s">
        <v>443</v>
      </c>
      <c r="B21" s="34"/>
      <c r="C21" s="35"/>
      <c r="Q21" s="433"/>
      <c r="R21" s="433"/>
      <c r="S21" s="433"/>
      <c r="T21" s="433"/>
      <c r="U21" s="433"/>
      <c r="V21" s="433"/>
      <c r="W21" s="433"/>
      <c r="X21" s="433"/>
      <c r="Y21" s="433"/>
      <c r="AP21" s="433"/>
      <c r="AQ21" s="433"/>
    </row>
    <row r="22" spans="1:43">
      <c r="A22" s="50" t="s">
        <v>409</v>
      </c>
      <c r="B22" s="51"/>
      <c r="C22" s="52"/>
      <c r="Q22" s="433"/>
      <c r="R22" s="433"/>
      <c r="S22" s="433"/>
      <c r="T22" s="433"/>
      <c r="U22" s="433"/>
      <c r="V22" s="433"/>
      <c r="W22" s="433"/>
      <c r="X22" s="433"/>
      <c r="Y22" s="433"/>
      <c r="AP22" s="433"/>
      <c r="AQ22" s="433"/>
    </row>
    <row r="23" spans="1:43">
      <c r="A23" s="76" t="s">
        <v>410</v>
      </c>
      <c r="B23" s="77"/>
      <c r="C23" s="78" t="s">
        <v>178</v>
      </c>
      <c r="Q23" s="433"/>
      <c r="R23" s="433"/>
      <c r="S23" s="433"/>
      <c r="T23" s="433"/>
      <c r="U23" s="433"/>
      <c r="V23" s="433"/>
      <c r="W23" s="433"/>
      <c r="X23" s="433"/>
      <c r="Y23" s="433"/>
      <c r="AP23" s="433"/>
      <c r="AQ23" s="433"/>
    </row>
    <row r="24" spans="1:43" ht="15" thickBot="1">
      <c r="A24" s="50" t="s">
        <v>411</v>
      </c>
      <c r="B24" s="77"/>
      <c r="C24" s="78" t="s">
        <v>178</v>
      </c>
      <c r="Q24" s="433"/>
      <c r="R24" s="433"/>
      <c r="S24" s="433"/>
      <c r="T24" s="433"/>
      <c r="U24" s="433"/>
      <c r="V24" s="433"/>
      <c r="W24" s="433"/>
      <c r="X24" s="433"/>
      <c r="Y24" s="433"/>
      <c r="AP24" s="433"/>
      <c r="AQ24" s="433"/>
    </row>
    <row r="25" spans="1:43">
      <c r="A25" s="33" t="s">
        <v>444</v>
      </c>
      <c r="B25" s="34"/>
      <c r="C25" s="35"/>
      <c r="Q25" s="433"/>
      <c r="R25" s="433"/>
      <c r="S25" s="433"/>
      <c r="T25" s="433"/>
      <c r="U25" s="433"/>
      <c r="V25" s="433"/>
      <c r="W25" s="433"/>
      <c r="X25" s="433"/>
      <c r="Y25" s="433"/>
      <c r="AP25" s="433"/>
      <c r="AQ25" s="433"/>
    </row>
    <row r="26" spans="1:43">
      <c r="A26" s="50" t="s">
        <v>409</v>
      </c>
      <c r="B26" s="51"/>
      <c r="C26" s="52"/>
      <c r="Q26" s="433"/>
      <c r="R26" s="433"/>
      <c r="S26" s="433"/>
      <c r="T26" s="433"/>
      <c r="U26" s="433"/>
      <c r="V26" s="433"/>
      <c r="W26" s="433"/>
      <c r="X26" s="433"/>
      <c r="Y26" s="433"/>
      <c r="AP26" s="433"/>
      <c r="AQ26" s="433"/>
    </row>
    <row r="27" spans="1:43">
      <c r="A27" s="76" t="s">
        <v>410</v>
      </c>
      <c r="B27" s="77"/>
      <c r="C27" s="78" t="s">
        <v>178</v>
      </c>
      <c r="Q27" s="433"/>
      <c r="R27" s="433"/>
      <c r="S27" s="433"/>
      <c r="T27" s="433"/>
      <c r="U27" s="433"/>
      <c r="V27" s="433"/>
      <c r="W27" s="433"/>
      <c r="X27" s="433"/>
      <c r="Y27" s="433"/>
      <c r="AP27" s="433"/>
      <c r="AQ27" s="433"/>
    </row>
    <row r="28" spans="1:43">
      <c r="A28" s="50" t="s">
        <v>411</v>
      </c>
      <c r="B28" s="77"/>
      <c r="C28" s="78" t="s">
        <v>178</v>
      </c>
      <c r="Q28" s="433"/>
      <c r="R28" s="433"/>
      <c r="S28" s="433"/>
      <c r="T28" s="433"/>
      <c r="U28" s="433"/>
      <c r="V28" s="433"/>
      <c r="W28" s="433"/>
      <c r="X28" s="433"/>
      <c r="Y28" s="433"/>
      <c r="AP28" s="433"/>
      <c r="AQ28" s="433"/>
    </row>
    <row r="29" spans="1:43">
      <c r="Q29" s="433"/>
      <c r="R29" s="433"/>
      <c r="S29" s="433"/>
      <c r="T29" s="433"/>
      <c r="U29" s="433"/>
      <c r="V29" s="433"/>
      <c r="W29" s="433"/>
      <c r="X29" s="433"/>
      <c r="Y29" s="433"/>
      <c r="AP29" s="433"/>
      <c r="AQ29" s="433"/>
    </row>
    <row r="30" spans="1:43">
      <c r="Q30" s="433"/>
      <c r="R30" s="433"/>
      <c r="S30" s="433"/>
      <c r="T30" s="433"/>
      <c r="U30" s="433"/>
      <c r="V30" s="433"/>
      <c r="W30" s="433"/>
      <c r="X30" s="433"/>
      <c r="Y30" s="433"/>
      <c r="AP30" s="433"/>
      <c r="AQ30" s="433"/>
    </row>
    <row r="31" spans="1:43">
      <c r="Q31" s="433"/>
      <c r="R31" s="433"/>
      <c r="S31" s="433"/>
      <c r="T31" s="433"/>
      <c r="U31" s="433"/>
      <c r="V31" s="433"/>
      <c r="W31" s="433"/>
      <c r="X31" s="433"/>
      <c r="Y31" s="433"/>
      <c r="AP31" s="433"/>
      <c r="AQ31" s="433"/>
    </row>
    <row r="32" spans="1:43">
      <c r="Q32" s="433"/>
      <c r="R32" s="433"/>
      <c r="S32" s="433"/>
      <c r="T32" s="433"/>
      <c r="U32" s="433"/>
      <c r="V32" s="433"/>
      <c r="W32" s="433"/>
      <c r="X32" s="433"/>
      <c r="Y32" s="433"/>
      <c r="AP32" s="433"/>
      <c r="AQ32" s="433"/>
    </row>
    <row r="33" spans="17:43">
      <c r="Q33" s="433"/>
      <c r="R33" s="433"/>
      <c r="S33" s="433"/>
      <c r="T33" s="433"/>
      <c r="U33" s="433"/>
      <c r="V33" s="433"/>
      <c r="W33" s="433"/>
      <c r="X33" s="433"/>
      <c r="Y33" s="433"/>
      <c r="AP33" s="433"/>
      <c r="AQ33" s="433"/>
    </row>
    <row r="34" spans="17:43">
      <c r="Q34" s="433"/>
      <c r="R34" s="433"/>
      <c r="S34" s="433"/>
      <c r="T34" s="433"/>
      <c r="U34" s="433"/>
      <c r="V34" s="433"/>
      <c r="W34" s="433"/>
      <c r="X34" s="433"/>
      <c r="Y34" s="433"/>
      <c r="AP34" s="433"/>
      <c r="AQ34" s="433"/>
    </row>
    <row r="35" spans="17:43">
      <c r="Q35" s="433"/>
      <c r="R35" s="433"/>
      <c r="S35" s="433"/>
      <c r="T35" s="433"/>
      <c r="U35" s="433"/>
      <c r="V35" s="433"/>
      <c r="W35" s="433"/>
      <c r="X35" s="433"/>
      <c r="Y35" s="433"/>
      <c r="AP35" s="433"/>
      <c r="AQ35" s="433"/>
    </row>
    <row r="36" spans="17:43">
      <c r="Q36" s="433"/>
      <c r="R36" s="433"/>
      <c r="S36" s="433"/>
      <c r="T36" s="433"/>
      <c r="U36" s="433"/>
      <c r="V36" s="433"/>
      <c r="W36" s="433"/>
      <c r="X36" s="433"/>
      <c r="Y36" s="433"/>
      <c r="AP36" s="433"/>
      <c r="AQ36" s="433"/>
    </row>
    <row r="37" spans="17:43">
      <c r="Q37" s="433"/>
      <c r="R37" s="433"/>
      <c r="S37" s="433"/>
      <c r="T37" s="433"/>
      <c r="U37" s="433"/>
      <c r="V37" s="433"/>
      <c r="W37" s="433"/>
      <c r="X37" s="433"/>
      <c r="Y37" s="433"/>
      <c r="AP37" s="433"/>
      <c r="AQ37" s="433"/>
    </row>
    <row r="38" spans="17:43">
      <c r="Q38" s="433"/>
      <c r="R38" s="433"/>
      <c r="S38" s="433"/>
      <c r="T38" s="433"/>
      <c r="U38" s="433"/>
      <c r="V38" s="433"/>
      <c r="W38" s="433"/>
      <c r="X38" s="433"/>
      <c r="Y38" s="433"/>
      <c r="AP38" s="433"/>
      <c r="AQ38" s="433"/>
    </row>
    <row r="39" spans="17:43">
      <c r="Q39" s="433"/>
      <c r="R39" s="433"/>
      <c r="S39" s="433"/>
      <c r="T39" s="433"/>
      <c r="U39" s="433"/>
      <c r="V39" s="433"/>
      <c r="W39" s="433"/>
      <c r="X39" s="433"/>
      <c r="Y39" s="433"/>
      <c r="AP39" s="433"/>
      <c r="AQ39" s="433"/>
    </row>
    <row r="40" spans="17:43">
      <c r="Q40" s="433"/>
      <c r="R40" s="433"/>
      <c r="S40" s="433"/>
      <c r="T40" s="433"/>
      <c r="U40" s="433"/>
      <c r="V40" s="433"/>
      <c r="W40" s="433"/>
      <c r="X40" s="433"/>
      <c r="Y40" s="433"/>
      <c r="AP40" s="433"/>
      <c r="AQ40" s="433"/>
    </row>
    <row r="41" spans="17:43">
      <c r="Q41" s="433"/>
      <c r="R41" s="433"/>
      <c r="S41" s="433"/>
      <c r="T41" s="433"/>
      <c r="U41" s="433"/>
      <c r="V41" s="433"/>
      <c r="W41" s="433"/>
      <c r="X41" s="433"/>
      <c r="Y41" s="433"/>
      <c r="AP41" s="433"/>
      <c r="AQ41" s="433"/>
    </row>
    <row r="42" spans="17:43">
      <c r="Q42" s="433"/>
      <c r="R42" s="433"/>
      <c r="S42" s="433"/>
      <c r="T42" s="433"/>
      <c r="U42" s="433"/>
      <c r="V42" s="433"/>
      <c r="W42" s="433"/>
      <c r="X42" s="433"/>
      <c r="Y42" s="433"/>
      <c r="AP42" s="433"/>
      <c r="AQ42" s="433"/>
    </row>
    <row r="43" spans="17:43">
      <c r="Q43" s="433"/>
      <c r="R43" s="433"/>
      <c r="S43" s="433"/>
      <c r="T43" s="433"/>
      <c r="U43" s="433"/>
      <c r="V43" s="433"/>
      <c r="W43" s="433"/>
      <c r="X43" s="433"/>
      <c r="Y43" s="433"/>
      <c r="AP43" s="433"/>
      <c r="AQ43" s="433"/>
    </row>
    <row r="44" spans="17:43">
      <c r="Q44" s="433"/>
      <c r="R44" s="433"/>
      <c r="S44" s="433"/>
      <c r="T44" s="433"/>
      <c r="U44" s="433"/>
      <c r="V44" s="433"/>
      <c r="W44" s="433"/>
      <c r="X44" s="433"/>
      <c r="Y44" s="433"/>
      <c r="AP44" s="433"/>
      <c r="AQ44" s="433"/>
    </row>
    <row r="45" spans="17:43">
      <c r="Q45" s="433"/>
      <c r="R45" s="433"/>
      <c r="S45" s="433"/>
      <c r="T45" s="433"/>
      <c r="U45" s="433"/>
      <c r="V45" s="433"/>
      <c r="W45" s="433"/>
      <c r="X45" s="433"/>
      <c r="Y45" s="433"/>
      <c r="AP45" s="433"/>
      <c r="AQ45" s="433"/>
    </row>
    <row r="46" spans="17:43">
      <c r="Q46" s="433"/>
      <c r="R46" s="433"/>
      <c r="S46" s="433"/>
      <c r="T46" s="433"/>
      <c r="U46" s="433"/>
      <c r="V46" s="433"/>
      <c r="W46" s="433"/>
      <c r="X46" s="433"/>
      <c r="Y46" s="433"/>
      <c r="AP46" s="433"/>
      <c r="AQ46" s="433"/>
    </row>
    <row r="47" spans="17:43">
      <c r="Q47" s="433"/>
      <c r="R47" s="433"/>
      <c r="S47" s="433"/>
      <c r="T47" s="433"/>
      <c r="U47" s="433"/>
      <c r="V47" s="433"/>
      <c r="W47" s="433"/>
      <c r="X47" s="433"/>
      <c r="Y47" s="433"/>
      <c r="AP47" s="433"/>
      <c r="AQ47" s="433"/>
    </row>
    <row r="48" spans="17:43">
      <c r="Q48" s="433"/>
      <c r="R48" s="433"/>
      <c r="S48" s="433"/>
      <c r="T48" s="433"/>
      <c r="U48" s="433"/>
      <c r="V48" s="433"/>
      <c r="W48" s="433"/>
      <c r="X48" s="433"/>
      <c r="Y48" s="433"/>
      <c r="AP48" s="433"/>
      <c r="AQ48" s="433"/>
    </row>
    <row r="49" spans="17:43">
      <c r="Q49" s="433"/>
      <c r="R49" s="433"/>
      <c r="S49" s="433"/>
      <c r="T49" s="433"/>
      <c r="U49" s="433"/>
      <c r="V49" s="433"/>
      <c r="W49" s="433"/>
      <c r="X49" s="433"/>
      <c r="Y49" s="433"/>
      <c r="AP49" s="433"/>
      <c r="AQ49" s="433"/>
    </row>
    <row r="50" spans="17:43">
      <c r="Q50" s="433"/>
      <c r="R50" s="433"/>
      <c r="S50" s="433"/>
      <c r="T50" s="433"/>
      <c r="U50" s="433"/>
      <c r="V50" s="433"/>
      <c r="W50" s="433"/>
      <c r="X50" s="433"/>
      <c r="Y50" s="433"/>
      <c r="AP50" s="433"/>
      <c r="AQ50" s="433"/>
    </row>
    <row r="51" spans="17:43">
      <c r="Q51" s="433"/>
      <c r="R51" s="433"/>
      <c r="S51" s="433"/>
      <c r="T51" s="433"/>
      <c r="U51" s="433"/>
      <c r="V51" s="433"/>
      <c r="W51" s="433"/>
      <c r="X51" s="433"/>
      <c r="Y51" s="433"/>
      <c r="AP51" s="433"/>
      <c r="AQ51" s="433"/>
    </row>
    <row r="52" spans="17:43">
      <c r="Q52" s="433"/>
      <c r="R52" s="433"/>
      <c r="S52" s="433"/>
      <c r="T52" s="433"/>
      <c r="U52" s="433"/>
      <c r="V52" s="433"/>
      <c r="W52" s="433"/>
      <c r="X52" s="433"/>
      <c r="Y52" s="433"/>
      <c r="AP52" s="433"/>
      <c r="AQ52" s="433"/>
    </row>
    <row r="53" spans="17:43">
      <c r="Q53" s="433"/>
      <c r="R53" s="433"/>
      <c r="S53" s="433"/>
      <c r="T53" s="433"/>
      <c r="U53" s="433"/>
      <c r="V53" s="433"/>
      <c r="W53" s="433"/>
      <c r="X53" s="433"/>
      <c r="Y53" s="433"/>
      <c r="AP53" s="433"/>
      <c r="AQ53" s="433"/>
    </row>
    <row r="54" spans="17:43">
      <c r="Q54" s="433"/>
      <c r="R54" s="433"/>
      <c r="S54" s="433"/>
      <c r="T54" s="433"/>
      <c r="U54" s="433"/>
      <c r="V54" s="433"/>
      <c r="W54" s="433"/>
      <c r="X54" s="433"/>
      <c r="Y54" s="433"/>
      <c r="AP54" s="433"/>
      <c r="AQ54" s="433"/>
    </row>
    <row r="55" spans="17:43">
      <c r="Q55" s="433"/>
      <c r="R55" s="433"/>
      <c r="S55" s="433"/>
      <c r="T55" s="433"/>
      <c r="U55" s="433"/>
      <c r="V55" s="433"/>
      <c r="W55" s="433"/>
      <c r="X55" s="433"/>
      <c r="Y55" s="433"/>
      <c r="AP55" s="433"/>
      <c r="AQ55" s="433"/>
    </row>
    <row r="56" spans="17:43">
      <c r="Q56" s="433"/>
      <c r="R56" s="433"/>
      <c r="S56" s="433"/>
      <c r="T56" s="433"/>
      <c r="U56" s="433"/>
      <c r="V56" s="433"/>
      <c r="W56" s="433"/>
      <c r="X56" s="433"/>
      <c r="Y56" s="433"/>
      <c r="AP56" s="433"/>
      <c r="AQ56" s="433"/>
    </row>
    <row r="57" spans="17:43">
      <c r="Q57" s="433"/>
      <c r="R57" s="433"/>
      <c r="S57" s="433"/>
      <c r="T57" s="433"/>
      <c r="U57" s="433"/>
      <c r="V57" s="433"/>
      <c r="W57" s="433"/>
      <c r="X57" s="433"/>
      <c r="Y57" s="433"/>
      <c r="AP57" s="433"/>
      <c r="AQ57" s="433"/>
    </row>
    <row r="58" spans="17:43">
      <c r="Q58" s="433"/>
      <c r="R58" s="433"/>
      <c r="S58" s="433"/>
      <c r="T58" s="433"/>
      <c r="U58" s="433"/>
      <c r="V58" s="433"/>
      <c r="W58" s="433"/>
      <c r="X58" s="433"/>
      <c r="Y58" s="433"/>
      <c r="AP58" s="433"/>
      <c r="AQ58" s="433"/>
    </row>
    <row r="59" spans="17:43">
      <c r="Q59" s="433"/>
      <c r="R59" s="433"/>
      <c r="S59" s="433"/>
      <c r="T59" s="433"/>
      <c r="U59" s="433"/>
      <c r="V59" s="433"/>
      <c r="W59" s="433"/>
      <c r="X59" s="433"/>
      <c r="Y59" s="433"/>
      <c r="AP59" s="433"/>
      <c r="AQ59" s="433"/>
    </row>
    <row r="60" spans="17:43">
      <c r="Q60" s="433"/>
      <c r="R60" s="433"/>
      <c r="S60" s="433"/>
      <c r="T60" s="433"/>
      <c r="U60" s="433"/>
      <c r="V60" s="433"/>
      <c r="W60" s="433"/>
      <c r="X60" s="433"/>
      <c r="Y60" s="433"/>
      <c r="AP60" s="433"/>
      <c r="AQ60" s="433"/>
    </row>
    <row r="61" spans="17:43">
      <c r="Q61" s="433"/>
      <c r="R61" s="433"/>
      <c r="S61" s="433"/>
      <c r="T61" s="433"/>
      <c r="U61" s="433"/>
      <c r="V61" s="433"/>
      <c r="W61" s="433"/>
      <c r="X61" s="433"/>
      <c r="Y61" s="433"/>
      <c r="AP61" s="433"/>
      <c r="AQ61" s="433"/>
    </row>
    <row r="62" spans="17:43">
      <c r="Q62" s="433"/>
      <c r="R62" s="433"/>
      <c r="S62" s="433"/>
      <c r="T62" s="433"/>
      <c r="U62" s="433"/>
      <c r="V62" s="433"/>
      <c r="W62" s="433"/>
      <c r="X62" s="433"/>
      <c r="Y62" s="433"/>
      <c r="AP62" s="433"/>
      <c r="AQ62" s="433"/>
    </row>
    <row r="63" spans="17:43">
      <c r="Q63" s="433"/>
      <c r="R63" s="433"/>
      <c r="S63" s="433"/>
      <c r="T63" s="433"/>
      <c r="U63" s="433"/>
      <c r="V63" s="433"/>
      <c r="W63" s="433"/>
      <c r="X63" s="433"/>
      <c r="Y63" s="433"/>
      <c r="AP63" s="433"/>
      <c r="AQ63" s="433"/>
    </row>
    <row r="64" spans="17:43">
      <c r="Q64" s="433"/>
      <c r="R64" s="433"/>
      <c r="S64" s="433"/>
      <c r="T64" s="433"/>
      <c r="U64" s="433"/>
      <c r="V64" s="433"/>
      <c r="W64" s="433"/>
      <c r="X64" s="433"/>
      <c r="Y64" s="433"/>
      <c r="AP64" s="433"/>
      <c r="AQ64" s="433"/>
    </row>
    <row r="65" spans="17:43">
      <c r="Q65" s="433"/>
      <c r="R65" s="433"/>
      <c r="S65" s="433"/>
      <c r="T65" s="433"/>
      <c r="U65" s="433"/>
      <c r="V65" s="433"/>
      <c r="W65" s="433"/>
      <c r="X65" s="433"/>
      <c r="Y65" s="433"/>
      <c r="AP65" s="433"/>
      <c r="AQ65" s="433"/>
    </row>
    <row r="66" spans="17:43">
      <c r="Q66" s="433"/>
      <c r="R66" s="433"/>
      <c r="S66" s="433"/>
      <c r="T66" s="433"/>
      <c r="U66" s="433"/>
      <c r="V66" s="433"/>
      <c r="W66" s="433"/>
      <c r="X66" s="433"/>
      <c r="Y66" s="433"/>
      <c r="AP66" s="433"/>
      <c r="AQ66" s="433"/>
    </row>
    <row r="67" spans="17:43">
      <c r="Q67" s="433"/>
      <c r="R67" s="433"/>
      <c r="S67" s="433"/>
      <c r="T67" s="433"/>
      <c r="U67" s="433"/>
      <c r="V67" s="433"/>
      <c r="W67" s="433"/>
      <c r="X67" s="433"/>
      <c r="Y67" s="433"/>
      <c r="AP67" s="433"/>
      <c r="AQ67" s="433"/>
    </row>
    <row r="68" spans="17:43">
      <c r="Q68" s="433"/>
      <c r="R68" s="433"/>
      <c r="S68" s="433"/>
      <c r="T68" s="433"/>
      <c r="U68" s="433"/>
      <c r="V68" s="433"/>
      <c r="W68" s="433"/>
      <c r="X68" s="433"/>
      <c r="Y68" s="433"/>
      <c r="AP68" s="433"/>
      <c r="AQ68" s="433"/>
    </row>
    <row r="69" spans="17:43">
      <c r="Q69" s="433"/>
      <c r="R69" s="433"/>
      <c r="S69" s="433"/>
      <c r="T69" s="433"/>
      <c r="U69" s="433"/>
      <c r="V69" s="433"/>
      <c r="W69" s="433"/>
      <c r="X69" s="433"/>
      <c r="Y69" s="433"/>
      <c r="AP69" s="433"/>
      <c r="AQ69" s="433"/>
    </row>
    <row r="70" spans="17:43">
      <c r="Q70" s="433"/>
      <c r="R70" s="433"/>
      <c r="S70" s="433"/>
      <c r="T70" s="433"/>
      <c r="U70" s="433"/>
      <c r="V70" s="433"/>
      <c r="W70" s="433"/>
      <c r="X70" s="433"/>
      <c r="Y70" s="433"/>
      <c r="AP70" s="433"/>
      <c r="AQ70" s="433"/>
    </row>
    <row r="71" spans="17:43">
      <c r="Q71" s="433"/>
      <c r="R71" s="433"/>
      <c r="S71" s="433"/>
      <c r="T71" s="433"/>
      <c r="U71" s="433"/>
      <c r="V71" s="433"/>
      <c r="W71" s="433"/>
      <c r="X71" s="433"/>
      <c r="Y71" s="433"/>
      <c r="AP71" s="433"/>
      <c r="AQ71" s="433"/>
    </row>
    <row r="72" spans="17:43">
      <c r="Q72" s="433"/>
      <c r="R72" s="433"/>
      <c r="S72" s="433"/>
      <c r="T72" s="433"/>
      <c r="U72" s="433"/>
      <c r="V72" s="433"/>
      <c r="W72" s="433"/>
      <c r="X72" s="433"/>
      <c r="Y72" s="433"/>
      <c r="AP72" s="433"/>
      <c r="AQ72" s="433"/>
    </row>
    <row r="73" spans="17:43">
      <c r="Q73" s="433"/>
      <c r="R73" s="433"/>
      <c r="S73" s="433"/>
      <c r="T73" s="433"/>
      <c r="U73" s="433"/>
      <c r="V73" s="433"/>
      <c r="W73" s="433"/>
      <c r="X73" s="433"/>
      <c r="Y73" s="433"/>
      <c r="AP73" s="433"/>
      <c r="AQ73" s="433"/>
    </row>
    <row r="74" spans="17:43">
      <c r="Q74" s="433"/>
      <c r="R74" s="433"/>
      <c r="S74" s="433"/>
      <c r="T74" s="433"/>
      <c r="U74" s="433"/>
      <c r="V74" s="433"/>
      <c r="W74" s="433"/>
      <c r="X74" s="433"/>
      <c r="Y74" s="433"/>
      <c r="AP74" s="433"/>
      <c r="AQ74" s="433"/>
    </row>
    <row r="75" spans="17:43">
      <c r="Q75" s="433"/>
      <c r="R75" s="433"/>
      <c r="S75" s="433"/>
      <c r="T75" s="433"/>
      <c r="U75" s="433"/>
      <c r="V75" s="433"/>
      <c r="W75" s="433"/>
      <c r="X75" s="433"/>
      <c r="Y75" s="433"/>
      <c r="AP75" s="433"/>
      <c r="AQ75" s="433"/>
    </row>
    <row r="76" spans="17:43">
      <c r="Q76" s="433"/>
      <c r="R76" s="433"/>
      <c r="S76" s="433"/>
      <c r="T76" s="433"/>
      <c r="U76" s="433"/>
      <c r="V76" s="433"/>
      <c r="W76" s="433"/>
      <c r="X76" s="433"/>
      <c r="Y76" s="433"/>
      <c r="AP76" s="433"/>
      <c r="AQ76" s="433"/>
    </row>
    <row r="77" spans="17:43">
      <c r="Q77" s="433"/>
      <c r="R77" s="433"/>
      <c r="S77" s="433"/>
      <c r="T77" s="433"/>
      <c r="U77" s="433"/>
      <c r="V77" s="433"/>
      <c r="W77" s="433"/>
      <c r="X77" s="433"/>
      <c r="Y77" s="433"/>
      <c r="AP77" s="433"/>
      <c r="AQ77" s="433"/>
    </row>
    <row r="78" spans="17:43">
      <c r="Q78" s="433"/>
      <c r="R78" s="433"/>
      <c r="S78" s="433"/>
      <c r="T78" s="433"/>
      <c r="U78" s="433"/>
      <c r="V78" s="433"/>
      <c r="W78" s="433"/>
      <c r="X78" s="433"/>
      <c r="Y78" s="433"/>
      <c r="AP78" s="433"/>
      <c r="AQ78" s="433"/>
    </row>
    <row r="79" spans="17:43">
      <c r="Q79" s="433"/>
      <c r="R79" s="433"/>
      <c r="S79" s="433"/>
      <c r="T79" s="433"/>
      <c r="U79" s="433"/>
      <c r="V79" s="433"/>
      <c r="W79" s="433"/>
      <c r="X79" s="433"/>
      <c r="Y79" s="433"/>
      <c r="AP79" s="433"/>
      <c r="AQ79" s="433"/>
    </row>
    <row r="80" spans="17:43">
      <c r="Q80" s="433"/>
      <c r="R80" s="433"/>
      <c r="S80" s="433"/>
      <c r="T80" s="433"/>
      <c r="U80" s="433"/>
      <c r="V80" s="433"/>
      <c r="W80" s="433"/>
      <c r="X80" s="433"/>
      <c r="Y80" s="433"/>
      <c r="AP80" s="433"/>
      <c r="AQ80" s="433"/>
    </row>
    <row r="81" spans="17:43">
      <c r="Q81" s="433"/>
      <c r="R81" s="433"/>
      <c r="S81" s="433"/>
      <c r="T81" s="433"/>
      <c r="U81" s="433"/>
      <c r="V81" s="433"/>
      <c r="W81" s="433"/>
      <c r="X81" s="433"/>
      <c r="Y81" s="433"/>
      <c r="AP81" s="433"/>
      <c r="AQ81" s="433"/>
    </row>
    <row r="82" spans="17:43">
      <c r="Q82" s="433"/>
      <c r="R82" s="433"/>
      <c r="S82" s="433"/>
      <c r="T82" s="433"/>
      <c r="U82" s="433"/>
      <c r="V82" s="433"/>
      <c r="W82" s="433"/>
      <c r="X82" s="433"/>
      <c r="Y82" s="433"/>
      <c r="AP82" s="433"/>
      <c r="AQ82" s="433"/>
    </row>
    <row r="83" spans="17:43">
      <c r="Q83" s="433"/>
      <c r="R83" s="433"/>
      <c r="S83" s="433"/>
      <c r="T83" s="433"/>
      <c r="U83" s="433"/>
      <c r="V83" s="433"/>
      <c r="W83" s="433"/>
      <c r="X83" s="433"/>
      <c r="Y83" s="433"/>
      <c r="AP83" s="433"/>
      <c r="AQ83" s="433"/>
    </row>
    <row r="84" spans="17:43">
      <c r="Q84" s="433"/>
      <c r="R84" s="433"/>
      <c r="S84" s="433"/>
      <c r="T84" s="433"/>
      <c r="U84" s="433"/>
      <c r="V84" s="433"/>
      <c r="W84" s="433"/>
      <c r="X84" s="433"/>
      <c r="Y84" s="433"/>
      <c r="AP84" s="433"/>
      <c r="AQ84" s="433"/>
    </row>
    <row r="85" spans="17:43">
      <c r="Q85" s="433"/>
      <c r="R85" s="433"/>
      <c r="S85" s="433"/>
      <c r="T85" s="433"/>
      <c r="U85" s="433"/>
      <c r="V85" s="433"/>
      <c r="W85" s="433"/>
      <c r="X85" s="433"/>
      <c r="Y85" s="433"/>
      <c r="AP85" s="433"/>
      <c r="AQ85" s="433"/>
    </row>
    <row r="86" spans="17:43">
      <c r="Q86" s="433"/>
      <c r="R86" s="433"/>
      <c r="S86" s="433"/>
      <c r="T86" s="433"/>
      <c r="U86" s="433"/>
      <c r="V86" s="433"/>
      <c r="W86" s="433"/>
      <c r="X86" s="433"/>
      <c r="Y86" s="433"/>
      <c r="AP86" s="433"/>
      <c r="AQ86" s="433"/>
    </row>
    <row r="87" spans="17:43">
      <c r="Q87" s="433"/>
      <c r="R87" s="433"/>
      <c r="S87" s="433"/>
      <c r="T87" s="433"/>
      <c r="U87" s="433"/>
      <c r="V87" s="433"/>
      <c r="W87" s="433"/>
      <c r="X87" s="433"/>
      <c r="Y87" s="433"/>
      <c r="AP87" s="433"/>
      <c r="AQ87" s="433"/>
    </row>
    <row r="88" spans="17:43">
      <c r="Q88" s="433"/>
      <c r="R88" s="433"/>
      <c r="S88" s="433"/>
      <c r="T88" s="433"/>
      <c r="U88" s="433"/>
      <c r="V88" s="433"/>
      <c r="W88" s="433"/>
      <c r="X88" s="433"/>
      <c r="Y88" s="433"/>
      <c r="AP88" s="433"/>
      <c r="AQ88" s="433"/>
    </row>
    <row r="89" spans="17:43">
      <c r="Q89" s="433"/>
      <c r="R89" s="433"/>
      <c r="S89" s="433"/>
      <c r="T89" s="433"/>
      <c r="U89" s="433"/>
      <c r="V89" s="433"/>
      <c r="W89" s="433"/>
      <c r="X89" s="433"/>
      <c r="Y89" s="433"/>
      <c r="AP89" s="433"/>
      <c r="AQ89" s="433"/>
    </row>
    <row r="90" spans="17:43">
      <c r="Q90" s="433"/>
      <c r="R90" s="433"/>
      <c r="S90" s="433"/>
      <c r="T90" s="433"/>
      <c r="U90" s="433"/>
      <c r="V90" s="433"/>
      <c r="W90" s="433"/>
      <c r="X90" s="433"/>
      <c r="Y90" s="433"/>
      <c r="AP90" s="433"/>
      <c r="AQ90" s="433"/>
    </row>
    <row r="91" spans="17:43">
      <c r="Q91" s="433"/>
      <c r="R91" s="433"/>
      <c r="S91" s="433"/>
      <c r="T91" s="433"/>
      <c r="U91" s="433"/>
      <c r="V91" s="433"/>
      <c r="W91" s="433"/>
      <c r="X91" s="433"/>
      <c r="Y91" s="433"/>
      <c r="AP91" s="433"/>
      <c r="AQ91" s="433"/>
    </row>
    <row r="92" spans="17:43">
      <c r="Q92" s="433"/>
      <c r="R92" s="433"/>
      <c r="S92" s="433"/>
      <c r="T92" s="433"/>
      <c r="U92" s="433"/>
      <c r="V92" s="433"/>
      <c r="W92" s="433"/>
      <c r="X92" s="433"/>
      <c r="Y92" s="433"/>
      <c r="AP92" s="433"/>
      <c r="AQ92" s="433"/>
    </row>
    <row r="93" spans="17:43">
      <c r="Q93" s="433"/>
      <c r="R93" s="433"/>
      <c r="S93" s="433"/>
      <c r="T93" s="433"/>
      <c r="U93" s="433"/>
      <c r="V93" s="433"/>
      <c r="W93" s="433"/>
      <c r="X93" s="433"/>
      <c r="Y93" s="433"/>
      <c r="AP93" s="433"/>
      <c r="AQ93" s="433"/>
    </row>
    <row r="94" spans="17:43">
      <c r="Q94" s="433"/>
      <c r="R94" s="433"/>
      <c r="S94" s="433"/>
      <c r="T94" s="433"/>
      <c r="U94" s="433"/>
      <c r="V94" s="433"/>
      <c r="W94" s="433"/>
      <c r="X94" s="433"/>
      <c r="Y94" s="433"/>
      <c r="AP94" s="433"/>
      <c r="AQ94" s="433"/>
    </row>
    <row r="95" spans="17:43">
      <c r="Q95" s="433"/>
      <c r="R95" s="433"/>
      <c r="S95" s="433"/>
      <c r="T95" s="433"/>
      <c r="U95" s="433"/>
      <c r="V95" s="433"/>
      <c r="W95" s="433"/>
      <c r="X95" s="433"/>
      <c r="Y95" s="433"/>
      <c r="AP95" s="433"/>
      <c r="AQ95" s="433"/>
    </row>
    <row r="96" spans="17:43">
      <c r="Q96" s="433"/>
      <c r="R96" s="433"/>
      <c r="S96" s="433"/>
      <c r="T96" s="433"/>
      <c r="U96" s="433"/>
      <c r="V96" s="433"/>
      <c r="W96" s="433"/>
      <c r="X96" s="433"/>
      <c r="Y96" s="433"/>
      <c r="AP96" s="433"/>
      <c r="AQ96" s="433"/>
    </row>
    <row r="97" spans="17:43">
      <c r="Q97" s="433"/>
      <c r="R97" s="433"/>
      <c r="S97" s="433"/>
      <c r="T97" s="433"/>
      <c r="U97" s="433"/>
      <c r="V97" s="433"/>
      <c r="W97" s="433"/>
      <c r="X97" s="433"/>
      <c r="Y97" s="433"/>
      <c r="AP97" s="433"/>
      <c r="AQ97" s="433"/>
    </row>
    <row r="98" spans="17:43">
      <c r="Q98" s="433"/>
      <c r="R98" s="433"/>
      <c r="S98" s="433"/>
      <c r="T98" s="433"/>
      <c r="U98" s="433"/>
      <c r="V98" s="433"/>
      <c r="W98" s="433"/>
      <c r="X98" s="433"/>
      <c r="Y98" s="433"/>
      <c r="AP98" s="433"/>
      <c r="AQ98" s="433"/>
    </row>
    <row r="99" spans="17:43">
      <c r="Q99" s="433"/>
      <c r="R99" s="433"/>
      <c r="S99" s="433"/>
      <c r="T99" s="433"/>
      <c r="U99" s="433"/>
      <c r="V99" s="433"/>
      <c r="W99" s="433"/>
      <c r="X99" s="433"/>
      <c r="Y99" s="433"/>
      <c r="AP99" s="433"/>
      <c r="AQ99" s="433"/>
    </row>
    <row r="100" spans="17:43">
      <c r="Q100" s="433"/>
      <c r="R100" s="433"/>
      <c r="S100" s="433"/>
      <c r="T100" s="433"/>
      <c r="U100" s="433"/>
      <c r="V100" s="433"/>
      <c r="W100" s="433"/>
      <c r="X100" s="433"/>
      <c r="Y100" s="433"/>
      <c r="AP100" s="433"/>
      <c r="AQ100" s="433"/>
    </row>
    <row r="101" spans="17:43">
      <c r="Q101" s="433"/>
      <c r="R101" s="433"/>
      <c r="S101" s="433"/>
      <c r="T101" s="433"/>
      <c r="U101" s="433"/>
      <c r="V101" s="433"/>
      <c r="W101" s="433"/>
      <c r="X101" s="433"/>
      <c r="Y101" s="433"/>
      <c r="AP101" s="433"/>
      <c r="AQ101" s="433"/>
    </row>
    <row r="102" spans="17:43">
      <c r="Q102" s="433"/>
      <c r="R102" s="433"/>
      <c r="S102" s="433"/>
      <c r="T102" s="433"/>
      <c r="U102" s="433"/>
      <c r="V102" s="433"/>
      <c r="W102" s="433"/>
      <c r="X102" s="433"/>
      <c r="Y102" s="433"/>
      <c r="AP102" s="433"/>
      <c r="AQ102" s="433"/>
    </row>
    <row r="103" spans="17:43">
      <c r="Q103" s="433"/>
      <c r="R103" s="433"/>
      <c r="S103" s="433"/>
      <c r="T103" s="433"/>
      <c r="U103" s="433"/>
      <c r="V103" s="433"/>
      <c r="W103" s="433"/>
      <c r="X103" s="433"/>
      <c r="Y103" s="433"/>
      <c r="AP103" s="433"/>
      <c r="AQ103" s="433"/>
    </row>
    <row r="104" spans="17:43">
      <c r="Q104" s="433"/>
      <c r="R104" s="433"/>
      <c r="S104" s="433"/>
      <c r="T104" s="433"/>
      <c r="U104" s="433"/>
      <c r="V104" s="433"/>
      <c r="W104" s="433"/>
      <c r="X104" s="433"/>
      <c r="Y104" s="433"/>
      <c r="AP104" s="433"/>
      <c r="AQ104" s="433"/>
    </row>
    <row r="105" spans="17:43">
      <c r="Q105" s="433"/>
      <c r="R105" s="433"/>
      <c r="S105" s="433"/>
      <c r="T105" s="433"/>
      <c r="U105" s="433"/>
      <c r="V105" s="433"/>
      <c r="W105" s="433"/>
      <c r="X105" s="433"/>
      <c r="Y105" s="433"/>
      <c r="AP105" s="433"/>
      <c r="AQ105" s="433"/>
    </row>
    <row r="106" spans="17:43">
      <c r="Q106" s="433"/>
      <c r="R106" s="433"/>
      <c r="S106" s="433"/>
      <c r="T106" s="433"/>
      <c r="U106" s="433"/>
      <c r="V106" s="433"/>
      <c r="W106" s="433"/>
      <c r="X106" s="433"/>
      <c r="Y106" s="433"/>
      <c r="AP106" s="433"/>
      <c r="AQ106" s="433"/>
    </row>
    <row r="107" spans="17:43">
      <c r="Q107" s="433"/>
      <c r="R107" s="433"/>
      <c r="S107" s="433"/>
      <c r="T107" s="433"/>
      <c r="U107" s="433"/>
      <c r="V107" s="433"/>
      <c r="W107" s="433"/>
      <c r="X107" s="433"/>
      <c r="Y107" s="433"/>
      <c r="AP107" s="433"/>
      <c r="AQ107" s="433"/>
    </row>
    <row r="108" spans="17:43">
      <c r="Q108" s="433"/>
      <c r="R108" s="433"/>
      <c r="S108" s="433"/>
      <c r="T108" s="433"/>
      <c r="U108" s="433"/>
      <c r="V108" s="433"/>
      <c r="W108" s="433"/>
      <c r="X108" s="433"/>
      <c r="Y108" s="433"/>
      <c r="AP108" s="433"/>
      <c r="AQ108" s="433"/>
    </row>
    <row r="109" spans="17:43">
      <c r="Q109" s="433"/>
      <c r="R109" s="433"/>
      <c r="S109" s="433"/>
      <c r="T109" s="433"/>
      <c r="U109" s="433"/>
      <c r="V109" s="433"/>
      <c r="W109" s="433"/>
      <c r="X109" s="433"/>
      <c r="Y109" s="433"/>
      <c r="AP109" s="433"/>
      <c r="AQ109" s="433"/>
    </row>
    <row r="110" spans="17:43">
      <c r="Q110" s="433"/>
      <c r="R110" s="433"/>
      <c r="S110" s="433"/>
      <c r="T110" s="433"/>
      <c r="U110" s="433"/>
      <c r="V110" s="433"/>
      <c r="W110" s="433"/>
      <c r="X110" s="433"/>
      <c r="Y110" s="433"/>
      <c r="AP110" s="433"/>
      <c r="AQ110" s="433"/>
    </row>
    <row r="111" spans="17:43">
      <c r="Q111" s="433"/>
      <c r="R111" s="433"/>
      <c r="S111" s="433"/>
      <c r="T111" s="433"/>
      <c r="U111" s="433"/>
      <c r="V111" s="433"/>
      <c r="W111" s="433"/>
      <c r="X111" s="433"/>
      <c r="Y111" s="433"/>
      <c r="AP111" s="433"/>
      <c r="AQ111" s="433"/>
    </row>
    <row r="112" spans="17:43">
      <c r="Q112" s="433"/>
      <c r="R112" s="433"/>
      <c r="S112" s="433"/>
      <c r="T112" s="433"/>
      <c r="U112" s="433"/>
      <c r="V112" s="433"/>
      <c r="W112" s="433"/>
      <c r="X112" s="433"/>
      <c r="Y112" s="433"/>
      <c r="AP112" s="433"/>
      <c r="AQ112" s="433"/>
    </row>
    <row r="113" spans="17:43">
      <c r="Q113" s="433"/>
      <c r="R113" s="433"/>
      <c r="S113" s="433"/>
      <c r="T113" s="433"/>
      <c r="U113" s="433"/>
      <c r="V113" s="433"/>
      <c r="W113" s="433"/>
      <c r="X113" s="433"/>
      <c r="Y113" s="433"/>
      <c r="AP113" s="433"/>
      <c r="AQ113" s="433"/>
    </row>
    <row r="114" spans="17:43">
      <c r="Q114" s="433"/>
      <c r="R114" s="433"/>
      <c r="S114" s="433"/>
      <c r="T114" s="433"/>
      <c r="U114" s="433"/>
      <c r="V114" s="433"/>
      <c r="W114" s="433"/>
      <c r="X114" s="433"/>
      <c r="Y114" s="433"/>
      <c r="AP114" s="433"/>
      <c r="AQ114" s="433"/>
    </row>
    <row r="115" spans="17:43">
      <c r="Q115" s="433"/>
      <c r="R115" s="433"/>
      <c r="S115" s="433"/>
      <c r="T115" s="433"/>
      <c r="U115" s="433"/>
      <c r="V115" s="433"/>
      <c r="W115" s="433"/>
      <c r="X115" s="433"/>
      <c r="Y115" s="433"/>
      <c r="AP115" s="433"/>
      <c r="AQ115" s="433"/>
    </row>
    <row r="116" spans="17:43">
      <c r="Q116" s="433"/>
      <c r="R116" s="433"/>
      <c r="S116" s="433"/>
      <c r="T116" s="433"/>
      <c r="U116" s="433"/>
      <c r="V116" s="433"/>
      <c r="W116" s="433"/>
      <c r="X116" s="433"/>
      <c r="Y116" s="433"/>
      <c r="AP116" s="433"/>
      <c r="AQ116" s="433"/>
    </row>
    <row r="117" spans="17:43">
      <c r="Q117" s="433"/>
      <c r="R117" s="433"/>
      <c r="S117" s="433"/>
      <c r="T117" s="433"/>
      <c r="U117" s="433"/>
      <c r="V117" s="433"/>
      <c r="W117" s="433"/>
      <c r="X117" s="433"/>
      <c r="Y117" s="433"/>
      <c r="AP117" s="433"/>
      <c r="AQ117" s="433"/>
    </row>
    <row r="118" spans="17:43">
      <c r="Q118" s="433"/>
      <c r="R118" s="433"/>
      <c r="S118" s="433"/>
      <c r="T118" s="433"/>
      <c r="U118" s="433"/>
      <c r="V118" s="433"/>
      <c r="W118" s="433"/>
      <c r="X118" s="433"/>
      <c r="Y118" s="433"/>
      <c r="AP118" s="433"/>
      <c r="AQ118" s="433"/>
    </row>
    <row r="119" spans="17:43">
      <c r="Q119" s="433"/>
      <c r="R119" s="433"/>
      <c r="S119" s="433"/>
      <c r="T119" s="433"/>
      <c r="U119" s="433"/>
      <c r="V119" s="433"/>
      <c r="W119" s="433"/>
      <c r="X119" s="433"/>
      <c r="Y119" s="433"/>
      <c r="AP119" s="433"/>
      <c r="AQ119" s="433"/>
    </row>
    <row r="120" spans="17:43">
      <c r="Q120" s="433"/>
      <c r="R120" s="433"/>
      <c r="S120" s="433"/>
      <c r="T120" s="433"/>
      <c r="U120" s="433"/>
      <c r="V120" s="433"/>
      <c r="W120" s="433"/>
      <c r="X120" s="433"/>
      <c r="Y120" s="433"/>
      <c r="AP120" s="433"/>
      <c r="AQ120" s="433"/>
    </row>
    <row r="121" spans="17:43">
      <c r="Q121" s="433"/>
      <c r="R121" s="433"/>
      <c r="S121" s="433"/>
      <c r="T121" s="433"/>
      <c r="U121" s="433"/>
      <c r="V121" s="433"/>
      <c r="W121" s="433"/>
      <c r="X121" s="433"/>
      <c r="Y121" s="433"/>
      <c r="AP121" s="433"/>
      <c r="AQ121" s="433"/>
    </row>
    <row r="122" spans="17:43">
      <c r="Q122" s="433"/>
      <c r="R122" s="433"/>
      <c r="S122" s="433"/>
      <c r="T122" s="433"/>
      <c r="U122" s="433"/>
      <c r="V122" s="433"/>
      <c r="W122" s="433"/>
      <c r="X122" s="433"/>
      <c r="Y122" s="433"/>
      <c r="AP122" s="433"/>
      <c r="AQ122" s="433"/>
    </row>
    <row r="123" spans="17:43">
      <c r="Q123" s="433"/>
      <c r="R123" s="433"/>
      <c r="S123" s="433"/>
      <c r="T123" s="433"/>
      <c r="U123" s="433"/>
      <c r="V123" s="433"/>
      <c r="W123" s="433"/>
      <c r="X123" s="433"/>
      <c r="Y123" s="433"/>
      <c r="AP123" s="433"/>
      <c r="AQ123" s="433"/>
    </row>
    <row r="124" spans="17:43">
      <c r="Q124" s="433"/>
      <c r="R124" s="433"/>
      <c r="S124" s="433"/>
      <c r="T124" s="433"/>
      <c r="U124" s="433"/>
      <c r="V124" s="433"/>
      <c r="W124" s="433"/>
      <c r="X124" s="433"/>
      <c r="Y124" s="433"/>
      <c r="AP124" s="433"/>
      <c r="AQ124" s="433"/>
    </row>
    <row r="125" spans="17:43">
      <c r="Q125" s="433"/>
      <c r="R125" s="433"/>
      <c r="S125" s="433"/>
      <c r="T125" s="433"/>
      <c r="U125" s="433"/>
      <c r="V125" s="433"/>
      <c r="W125" s="433"/>
      <c r="X125" s="433"/>
      <c r="Y125" s="433"/>
      <c r="AP125" s="433"/>
      <c r="AQ125" s="433"/>
    </row>
    <row r="126" spans="17:43">
      <c r="Q126" s="433"/>
      <c r="R126" s="433"/>
      <c r="S126" s="433"/>
      <c r="T126" s="433"/>
      <c r="U126" s="433"/>
      <c r="V126" s="433"/>
      <c r="W126" s="433"/>
      <c r="X126" s="433"/>
      <c r="Y126" s="433"/>
      <c r="AP126" s="433"/>
      <c r="AQ126" s="433"/>
    </row>
    <row r="127" spans="17:43">
      <c r="Q127" s="433"/>
      <c r="R127" s="433"/>
      <c r="S127" s="433"/>
      <c r="T127" s="433"/>
      <c r="U127" s="433"/>
      <c r="V127" s="433"/>
      <c r="W127" s="433"/>
      <c r="X127" s="433"/>
      <c r="Y127" s="433"/>
      <c r="AP127" s="433"/>
      <c r="AQ127" s="433"/>
    </row>
    <row r="128" spans="17:43">
      <c r="Q128" s="433"/>
      <c r="R128" s="433"/>
      <c r="S128" s="433"/>
      <c r="T128" s="433"/>
      <c r="U128" s="433"/>
      <c r="V128" s="433"/>
      <c r="W128" s="433"/>
      <c r="X128" s="433"/>
      <c r="Y128" s="433"/>
      <c r="AP128" s="433"/>
      <c r="AQ128" s="433"/>
    </row>
    <row r="129" spans="17:43">
      <c r="Q129" s="433"/>
      <c r="R129" s="433"/>
      <c r="S129" s="433"/>
      <c r="T129" s="433"/>
      <c r="U129" s="433"/>
      <c r="V129" s="433"/>
      <c r="W129" s="433"/>
      <c r="X129" s="433"/>
      <c r="Y129" s="433"/>
      <c r="AP129" s="433"/>
      <c r="AQ129" s="433"/>
    </row>
    <row r="130" spans="17:43">
      <c r="Q130" s="433"/>
      <c r="R130" s="433"/>
      <c r="S130" s="433"/>
      <c r="T130" s="433"/>
      <c r="U130" s="433"/>
      <c r="V130" s="433"/>
      <c r="W130" s="433"/>
      <c r="X130" s="433"/>
      <c r="Y130" s="433"/>
      <c r="AP130" s="433"/>
      <c r="AQ130" s="433"/>
    </row>
    <row r="131" spans="17:43">
      <c r="Q131" s="433"/>
      <c r="R131" s="433"/>
      <c r="S131" s="433"/>
      <c r="T131" s="433"/>
      <c r="U131" s="433"/>
      <c r="V131" s="433"/>
      <c r="W131" s="433"/>
      <c r="X131" s="433"/>
      <c r="Y131" s="433"/>
      <c r="AP131" s="433"/>
      <c r="AQ131" s="433"/>
    </row>
    <row r="132" spans="17:43">
      <c r="Q132" s="433"/>
      <c r="R132" s="433"/>
      <c r="S132" s="433"/>
      <c r="T132" s="433"/>
      <c r="U132" s="433"/>
      <c r="V132" s="433"/>
      <c r="W132" s="433"/>
      <c r="X132" s="433"/>
      <c r="Y132" s="433"/>
      <c r="AP132" s="433"/>
      <c r="AQ132" s="433"/>
    </row>
    <row r="133" spans="17:43">
      <c r="Q133" s="433"/>
      <c r="R133" s="433"/>
      <c r="S133" s="433"/>
      <c r="T133" s="433"/>
      <c r="U133" s="433"/>
      <c r="V133" s="433"/>
      <c r="W133" s="433"/>
      <c r="X133" s="433"/>
      <c r="Y133" s="433"/>
      <c r="AP133" s="433"/>
      <c r="AQ133" s="433"/>
    </row>
    <row r="134" spans="17:43">
      <c r="Q134" s="433"/>
      <c r="R134" s="433"/>
      <c r="S134" s="433"/>
      <c r="T134" s="433"/>
      <c r="U134" s="433"/>
      <c r="V134" s="433"/>
      <c r="W134" s="433"/>
      <c r="X134" s="433"/>
      <c r="Y134" s="433"/>
      <c r="AP134" s="433"/>
      <c r="AQ134" s="433"/>
    </row>
    <row r="135" spans="17:43">
      <c r="Q135" s="433"/>
      <c r="R135" s="433"/>
      <c r="S135" s="433"/>
      <c r="T135" s="433"/>
      <c r="U135" s="433"/>
      <c r="V135" s="433"/>
      <c r="W135" s="433"/>
      <c r="X135" s="433"/>
      <c r="Y135" s="433"/>
      <c r="AP135" s="433"/>
      <c r="AQ135" s="433"/>
    </row>
    <row r="136" spans="17:43">
      <c r="Q136" s="433"/>
      <c r="R136" s="433"/>
      <c r="S136" s="433"/>
      <c r="T136" s="433"/>
      <c r="U136" s="433"/>
      <c r="V136" s="433"/>
      <c r="W136" s="433"/>
      <c r="X136" s="433"/>
      <c r="Y136" s="433"/>
      <c r="AP136" s="433"/>
      <c r="AQ136" s="433"/>
    </row>
    <row r="137" spans="17:43">
      <c r="Q137" s="433"/>
      <c r="R137" s="433"/>
      <c r="S137" s="433"/>
      <c r="T137" s="433"/>
      <c r="U137" s="433"/>
      <c r="V137" s="433"/>
      <c r="W137" s="433"/>
      <c r="X137" s="433"/>
      <c r="Y137" s="433"/>
      <c r="AP137" s="433"/>
      <c r="AQ137" s="433"/>
    </row>
    <row r="138" spans="17:43">
      <c r="Q138" s="433"/>
      <c r="R138" s="433"/>
      <c r="S138" s="433"/>
      <c r="T138" s="433"/>
      <c r="U138" s="433"/>
      <c r="V138" s="433"/>
      <c r="W138" s="433"/>
      <c r="X138" s="433"/>
      <c r="Y138" s="433"/>
      <c r="AP138" s="433"/>
      <c r="AQ138" s="433"/>
    </row>
    <row r="139" spans="17:43">
      <c r="Q139" s="433"/>
      <c r="R139" s="433"/>
      <c r="S139" s="433"/>
      <c r="T139" s="433"/>
      <c r="U139" s="433"/>
      <c r="V139" s="433"/>
      <c r="W139" s="433"/>
      <c r="X139" s="433"/>
      <c r="Y139" s="433"/>
      <c r="AP139" s="433"/>
      <c r="AQ139" s="433"/>
    </row>
    <row r="140" spans="17:43">
      <c r="Q140" s="433"/>
      <c r="R140" s="433"/>
      <c r="S140" s="433"/>
      <c r="T140" s="433"/>
      <c r="U140" s="433"/>
      <c r="V140" s="433"/>
      <c r="W140" s="433"/>
      <c r="X140" s="433"/>
      <c r="Y140" s="433"/>
      <c r="AP140" s="433"/>
      <c r="AQ140" s="433"/>
    </row>
    <row r="141" spans="17:43">
      <c r="Q141" s="433"/>
      <c r="R141" s="433"/>
      <c r="S141" s="433"/>
      <c r="T141" s="433"/>
      <c r="U141" s="433"/>
      <c r="V141" s="433"/>
      <c r="W141" s="433"/>
      <c r="X141" s="433"/>
      <c r="Y141" s="433"/>
      <c r="AP141" s="433"/>
      <c r="AQ141" s="433"/>
    </row>
    <row r="142" spans="17:43">
      <c r="Q142" s="433"/>
      <c r="R142" s="433"/>
      <c r="S142" s="433"/>
      <c r="T142" s="433"/>
      <c r="U142" s="433"/>
      <c r="V142" s="433"/>
      <c r="W142" s="433"/>
      <c r="X142" s="433"/>
      <c r="Y142" s="433"/>
      <c r="AP142" s="433"/>
      <c r="AQ142" s="433"/>
    </row>
    <row r="143" spans="17:43">
      <c r="Q143" s="433"/>
      <c r="R143" s="433"/>
      <c r="S143" s="433"/>
      <c r="T143" s="433"/>
      <c r="U143" s="433"/>
      <c r="V143" s="433"/>
      <c r="W143" s="433"/>
      <c r="X143" s="433"/>
      <c r="Y143" s="433"/>
      <c r="AP143" s="433"/>
      <c r="AQ143" s="433"/>
    </row>
    <row r="144" spans="17:43">
      <c r="Q144" s="433"/>
      <c r="R144" s="433"/>
      <c r="S144" s="433"/>
      <c r="T144" s="433"/>
      <c r="U144" s="433"/>
      <c r="V144" s="433"/>
      <c r="W144" s="433"/>
      <c r="X144" s="433"/>
      <c r="Y144" s="433"/>
      <c r="AP144" s="433"/>
      <c r="AQ144" s="433"/>
    </row>
    <row r="145" spans="17:43">
      <c r="Q145" s="433"/>
      <c r="R145" s="433"/>
      <c r="S145" s="433"/>
      <c r="T145" s="433"/>
      <c r="U145" s="433"/>
      <c r="V145" s="433"/>
      <c r="W145" s="433"/>
      <c r="X145" s="433"/>
      <c r="Y145" s="433"/>
      <c r="AP145" s="433"/>
      <c r="AQ145" s="433"/>
    </row>
    <row r="146" spans="17:43">
      <c r="Q146" s="433"/>
      <c r="R146" s="433"/>
      <c r="S146" s="433"/>
      <c r="T146" s="433"/>
      <c r="U146" s="433"/>
      <c r="V146" s="433"/>
      <c r="W146" s="433"/>
      <c r="X146" s="433"/>
      <c r="Y146" s="433"/>
      <c r="AP146" s="433"/>
      <c r="AQ146" s="433"/>
    </row>
    <row r="147" spans="17:43">
      <c r="Q147" s="433"/>
      <c r="R147" s="433"/>
      <c r="S147" s="433"/>
      <c r="T147" s="433"/>
      <c r="U147" s="433"/>
      <c r="V147" s="433"/>
      <c r="W147" s="433"/>
      <c r="X147" s="433"/>
      <c r="Y147" s="433"/>
      <c r="AP147" s="433"/>
      <c r="AQ147" s="433"/>
    </row>
    <row r="148" spans="17:43">
      <c r="Q148" s="433"/>
      <c r="R148" s="433"/>
      <c r="S148" s="433"/>
      <c r="T148" s="433"/>
      <c r="U148" s="433"/>
      <c r="V148" s="433"/>
      <c r="W148" s="433"/>
      <c r="X148" s="433"/>
      <c r="Y148" s="433"/>
      <c r="AP148" s="433"/>
      <c r="AQ148" s="433"/>
    </row>
    <row r="149" spans="17:43">
      <c r="Q149" s="433"/>
      <c r="R149" s="433"/>
      <c r="S149" s="433"/>
      <c r="T149" s="433"/>
      <c r="U149" s="433"/>
      <c r="V149" s="433"/>
      <c r="W149" s="433"/>
      <c r="X149" s="433"/>
      <c r="Y149" s="433"/>
      <c r="AP149" s="433"/>
      <c r="AQ149" s="433"/>
    </row>
    <row r="150" spans="17:43">
      <c r="Q150" s="433"/>
      <c r="R150" s="433"/>
      <c r="S150" s="433"/>
      <c r="T150" s="433"/>
      <c r="U150" s="433"/>
      <c r="V150" s="433"/>
      <c r="W150" s="433"/>
      <c r="X150" s="433"/>
      <c r="Y150" s="433"/>
      <c r="AP150" s="433"/>
      <c r="AQ150" s="433"/>
    </row>
    <row r="151" spans="17:43">
      <c r="Q151" s="433"/>
      <c r="R151" s="433"/>
      <c r="S151" s="433"/>
      <c r="T151" s="433"/>
      <c r="U151" s="433"/>
      <c r="V151" s="433"/>
      <c r="W151" s="433"/>
      <c r="X151" s="433"/>
      <c r="Y151" s="433"/>
      <c r="AP151" s="433"/>
      <c r="AQ151" s="433"/>
    </row>
    <row r="152" spans="17:43">
      <c r="Q152" s="433"/>
      <c r="R152" s="433"/>
      <c r="S152" s="433"/>
      <c r="T152" s="433"/>
      <c r="U152" s="433"/>
      <c r="V152" s="433"/>
      <c r="W152" s="433"/>
      <c r="X152" s="433"/>
      <c r="Y152" s="433"/>
      <c r="AP152" s="433"/>
      <c r="AQ152" s="433"/>
    </row>
    <row r="153" spans="17:43">
      <c r="Q153" s="433"/>
      <c r="R153" s="433"/>
      <c r="S153" s="433"/>
      <c r="T153" s="433"/>
      <c r="U153" s="433"/>
      <c r="V153" s="433"/>
      <c r="W153" s="433"/>
      <c r="X153" s="433"/>
      <c r="Y153" s="433"/>
      <c r="AP153" s="433"/>
      <c r="AQ153" s="433"/>
    </row>
    <row r="154" spans="17:43">
      <c r="Q154" s="433"/>
      <c r="R154" s="433"/>
      <c r="S154" s="433"/>
      <c r="T154" s="433"/>
      <c r="U154" s="433"/>
      <c r="V154" s="433"/>
      <c r="W154" s="433"/>
      <c r="X154" s="433"/>
      <c r="Y154" s="433"/>
      <c r="AP154" s="433"/>
      <c r="AQ154" s="433"/>
    </row>
    <row r="155" spans="17:43">
      <c r="Q155" s="433"/>
      <c r="R155" s="433"/>
      <c r="S155" s="433"/>
      <c r="T155" s="433"/>
      <c r="U155" s="433"/>
      <c r="V155" s="433"/>
      <c r="W155" s="433"/>
      <c r="X155" s="433"/>
      <c r="Y155" s="433"/>
      <c r="AP155" s="433"/>
      <c r="AQ155" s="433"/>
    </row>
    <row r="156" spans="17:43">
      <c r="Q156" s="433"/>
      <c r="R156" s="433"/>
      <c r="S156" s="433"/>
      <c r="T156" s="433"/>
      <c r="U156" s="433"/>
      <c r="V156" s="433"/>
      <c r="W156" s="433"/>
      <c r="X156" s="433"/>
      <c r="Y156" s="433"/>
      <c r="AP156" s="433"/>
      <c r="AQ156" s="433"/>
    </row>
    <row r="157" spans="17:43">
      <c r="Q157" s="433"/>
      <c r="R157" s="433"/>
      <c r="S157" s="433"/>
      <c r="T157" s="433"/>
      <c r="U157" s="433"/>
      <c r="V157" s="433"/>
      <c r="W157" s="433"/>
      <c r="X157" s="433"/>
      <c r="Y157" s="433"/>
      <c r="AP157" s="433"/>
      <c r="AQ157" s="433"/>
    </row>
    <row r="158" spans="17:43">
      <c r="Q158" s="433"/>
      <c r="R158" s="433"/>
      <c r="S158" s="433"/>
      <c r="T158" s="433"/>
      <c r="U158" s="433"/>
      <c r="V158" s="433"/>
      <c r="W158" s="433"/>
      <c r="X158" s="433"/>
      <c r="Y158" s="433"/>
      <c r="AP158" s="433"/>
      <c r="AQ158" s="433"/>
    </row>
    <row r="159" spans="17:43">
      <c r="Q159" s="433"/>
      <c r="R159" s="433"/>
      <c r="S159" s="433"/>
      <c r="T159" s="433"/>
      <c r="U159" s="433"/>
      <c r="V159" s="433"/>
      <c r="W159" s="433"/>
      <c r="X159" s="433"/>
      <c r="Y159" s="433"/>
      <c r="AP159" s="433"/>
      <c r="AQ159" s="433"/>
    </row>
    <row r="160" spans="17:43">
      <c r="Q160" s="433"/>
      <c r="R160" s="433"/>
      <c r="S160" s="433"/>
      <c r="T160" s="433"/>
      <c r="U160" s="433"/>
      <c r="V160" s="433"/>
      <c r="W160" s="433"/>
      <c r="X160" s="433"/>
      <c r="Y160" s="433"/>
      <c r="AP160" s="433"/>
      <c r="AQ160" s="433"/>
    </row>
    <row r="161" spans="17:43">
      <c r="Q161" s="433"/>
      <c r="R161" s="433"/>
      <c r="S161" s="433"/>
      <c r="T161" s="433"/>
      <c r="U161" s="433"/>
      <c r="V161" s="433"/>
      <c r="W161" s="433"/>
      <c r="X161" s="433"/>
      <c r="Y161" s="433"/>
      <c r="AP161" s="433"/>
      <c r="AQ161" s="433"/>
    </row>
    <row r="162" spans="17:43">
      <c r="Q162" s="433"/>
      <c r="R162" s="433"/>
      <c r="S162" s="433"/>
      <c r="T162" s="433"/>
      <c r="U162" s="433"/>
      <c r="V162" s="433"/>
      <c r="W162" s="433"/>
      <c r="X162" s="433"/>
      <c r="Y162" s="433"/>
      <c r="AP162" s="433"/>
      <c r="AQ162" s="433"/>
    </row>
    <row r="163" spans="17:43">
      <c r="Q163" s="433"/>
      <c r="R163" s="433"/>
      <c r="S163" s="433"/>
      <c r="T163" s="433"/>
      <c r="U163" s="433"/>
      <c r="V163" s="433"/>
      <c r="W163" s="433"/>
      <c r="X163" s="433"/>
      <c r="Y163" s="433"/>
      <c r="AP163" s="433"/>
      <c r="AQ163" s="433"/>
    </row>
    <row r="164" spans="17:43">
      <c r="Q164" s="433"/>
      <c r="R164" s="433"/>
      <c r="S164" s="433"/>
      <c r="T164" s="433"/>
      <c r="U164" s="433"/>
      <c r="V164" s="433"/>
      <c r="W164" s="433"/>
      <c r="X164" s="433"/>
      <c r="Y164" s="433"/>
      <c r="AP164" s="433"/>
      <c r="AQ164" s="433"/>
    </row>
    <row r="165" spans="17:43">
      <c r="Q165" s="433"/>
      <c r="R165" s="433"/>
      <c r="S165" s="433"/>
      <c r="T165" s="433"/>
      <c r="U165" s="433"/>
      <c r="V165" s="433"/>
      <c r="W165" s="433"/>
      <c r="X165" s="433"/>
      <c r="Y165" s="433"/>
      <c r="AP165" s="433"/>
      <c r="AQ165" s="433"/>
    </row>
    <row r="166" spans="17:43">
      <c r="Q166" s="433"/>
      <c r="R166" s="433"/>
      <c r="S166" s="433"/>
      <c r="T166" s="433"/>
      <c r="U166" s="433"/>
      <c r="V166" s="433"/>
      <c r="W166" s="433"/>
      <c r="X166" s="433"/>
      <c r="Y166" s="433"/>
      <c r="AP166" s="433"/>
      <c r="AQ166" s="433"/>
    </row>
    <row r="167" spans="17:43">
      <c r="Q167" s="433"/>
      <c r="R167" s="433"/>
      <c r="S167" s="433"/>
      <c r="T167" s="433"/>
      <c r="U167" s="433"/>
      <c r="V167" s="433"/>
      <c r="W167" s="433"/>
      <c r="X167" s="433"/>
      <c r="Y167" s="433"/>
      <c r="AP167" s="433"/>
      <c r="AQ167" s="433"/>
    </row>
    <row r="168" spans="17:43">
      <c r="Q168" s="433"/>
      <c r="R168" s="433"/>
      <c r="S168" s="433"/>
      <c r="T168" s="433"/>
      <c r="U168" s="433"/>
      <c r="V168" s="433"/>
      <c r="W168" s="433"/>
      <c r="X168" s="433"/>
      <c r="Y168" s="433"/>
      <c r="AP168" s="433"/>
      <c r="AQ168" s="433"/>
    </row>
    <row r="169" spans="17:43">
      <c r="Q169" s="433"/>
      <c r="R169" s="433"/>
      <c r="S169" s="433"/>
      <c r="T169" s="433"/>
      <c r="U169" s="433"/>
      <c r="V169" s="433"/>
      <c r="W169" s="433"/>
      <c r="X169" s="433"/>
      <c r="Y169" s="433"/>
      <c r="AP169" s="433"/>
      <c r="AQ169" s="433"/>
    </row>
    <row r="170" spans="17:43">
      <c r="Q170" s="433"/>
      <c r="R170" s="433"/>
      <c r="S170" s="433"/>
      <c r="T170" s="433"/>
      <c r="U170" s="433"/>
      <c r="V170" s="433"/>
      <c r="W170" s="433"/>
      <c r="X170" s="433"/>
      <c r="Y170" s="433"/>
      <c r="AP170" s="433"/>
      <c r="AQ170" s="433"/>
    </row>
    <row r="171" spans="17:43">
      <c r="Q171" s="433"/>
      <c r="R171" s="433"/>
      <c r="S171" s="433"/>
      <c r="T171" s="433"/>
      <c r="U171" s="433"/>
      <c r="V171" s="433"/>
      <c r="W171" s="433"/>
      <c r="X171" s="433"/>
      <c r="Y171" s="433"/>
      <c r="AP171" s="433"/>
      <c r="AQ171" s="433"/>
    </row>
    <row r="172" spans="17:43">
      <c r="Q172" s="433"/>
      <c r="R172" s="433"/>
      <c r="S172" s="433"/>
      <c r="T172" s="433"/>
      <c r="U172" s="433"/>
      <c r="V172" s="433"/>
      <c r="W172" s="433"/>
      <c r="X172" s="433"/>
      <c r="Y172" s="433"/>
      <c r="AP172" s="433"/>
      <c r="AQ172" s="433"/>
    </row>
    <row r="173" spans="17:43">
      <c r="Q173" s="433"/>
      <c r="R173" s="433"/>
      <c r="S173" s="433"/>
      <c r="T173" s="433"/>
      <c r="U173" s="433"/>
      <c r="V173" s="433"/>
      <c r="W173" s="433"/>
      <c r="X173" s="433"/>
      <c r="Y173" s="433"/>
      <c r="AP173" s="433"/>
      <c r="AQ173" s="433"/>
    </row>
    <row r="174" spans="17:43">
      <c r="Q174" s="433"/>
      <c r="R174" s="433"/>
      <c r="S174" s="433"/>
      <c r="T174" s="433"/>
      <c r="U174" s="433"/>
      <c r="V174" s="433"/>
      <c r="W174" s="433"/>
      <c r="X174" s="433"/>
      <c r="Y174" s="433"/>
      <c r="AP174" s="433"/>
      <c r="AQ174" s="433"/>
    </row>
    <row r="175" spans="17:43">
      <c r="Q175" s="433"/>
      <c r="R175" s="433"/>
      <c r="S175" s="433"/>
      <c r="T175" s="433"/>
      <c r="U175" s="433"/>
      <c r="V175" s="433"/>
      <c r="W175" s="433"/>
      <c r="X175" s="433"/>
      <c r="Y175" s="433"/>
      <c r="AP175" s="433"/>
      <c r="AQ175" s="433"/>
    </row>
    <row r="176" spans="17:43">
      <c r="Q176" s="433"/>
      <c r="R176" s="433"/>
      <c r="S176" s="433"/>
      <c r="T176" s="433"/>
      <c r="U176" s="433"/>
      <c r="V176" s="433"/>
      <c r="W176" s="433"/>
      <c r="X176" s="433"/>
      <c r="Y176" s="433"/>
      <c r="AP176" s="433"/>
      <c r="AQ176" s="433"/>
    </row>
    <row r="177" spans="17:43">
      <c r="Q177" s="433"/>
      <c r="R177" s="433"/>
      <c r="S177" s="433"/>
      <c r="T177" s="433"/>
      <c r="U177" s="433"/>
      <c r="V177" s="433"/>
      <c r="W177" s="433"/>
      <c r="X177" s="433"/>
      <c r="Y177" s="433"/>
      <c r="AP177" s="433"/>
      <c r="AQ177" s="433"/>
    </row>
    <row r="178" spans="17:43">
      <c r="Q178" s="433"/>
      <c r="R178" s="433"/>
      <c r="S178" s="433"/>
      <c r="T178" s="433"/>
      <c r="U178" s="433"/>
      <c r="V178" s="433"/>
      <c r="W178" s="433"/>
      <c r="X178" s="433"/>
      <c r="Y178" s="433"/>
      <c r="AP178" s="433"/>
      <c r="AQ178" s="433"/>
    </row>
    <row r="179" spans="17:43">
      <c r="Q179" s="433"/>
      <c r="R179" s="433"/>
      <c r="S179" s="433"/>
      <c r="T179" s="433"/>
      <c r="U179" s="433"/>
      <c r="V179" s="433"/>
      <c r="W179" s="433"/>
      <c r="X179" s="433"/>
      <c r="Y179" s="433"/>
      <c r="AP179" s="433"/>
      <c r="AQ179" s="433"/>
    </row>
    <row r="180" spans="17:43">
      <c r="Q180" s="433"/>
      <c r="R180" s="433"/>
      <c r="S180" s="433"/>
      <c r="T180" s="433"/>
      <c r="U180" s="433"/>
      <c r="V180" s="433"/>
      <c r="W180" s="433"/>
      <c r="X180" s="433"/>
      <c r="Y180" s="433"/>
      <c r="AP180" s="433"/>
      <c r="AQ180" s="433"/>
    </row>
    <row r="181" spans="17:43">
      <c r="Q181" s="433"/>
      <c r="R181" s="433"/>
      <c r="S181" s="433"/>
      <c r="T181" s="433"/>
      <c r="U181" s="433"/>
      <c r="V181" s="433"/>
      <c r="W181" s="433"/>
      <c r="X181" s="433"/>
      <c r="Y181" s="433"/>
      <c r="AP181" s="433"/>
      <c r="AQ181" s="433"/>
    </row>
    <row r="182" spans="17:43">
      <c r="Q182" s="433"/>
      <c r="R182" s="433"/>
      <c r="S182" s="433"/>
      <c r="T182" s="433"/>
      <c r="U182" s="433"/>
      <c r="V182" s="433"/>
      <c r="W182" s="433"/>
      <c r="X182" s="433"/>
      <c r="Y182" s="433"/>
      <c r="AP182" s="433"/>
      <c r="AQ182" s="433"/>
    </row>
    <row r="183" spans="17:43">
      <c r="Q183" s="433"/>
      <c r="R183" s="433"/>
      <c r="S183" s="433"/>
      <c r="T183" s="433"/>
      <c r="U183" s="433"/>
      <c r="V183" s="433"/>
      <c r="W183" s="433"/>
      <c r="X183" s="433"/>
      <c r="Y183" s="433"/>
      <c r="AP183" s="433"/>
      <c r="AQ183" s="433"/>
    </row>
    <row r="184" spans="17:43">
      <c r="Q184" s="433"/>
      <c r="R184" s="433"/>
      <c r="S184" s="433"/>
      <c r="T184" s="433"/>
      <c r="U184" s="433"/>
      <c r="V184" s="433"/>
      <c r="W184" s="433"/>
      <c r="X184" s="433"/>
      <c r="Y184" s="433"/>
      <c r="AP184" s="433"/>
      <c r="AQ184" s="433"/>
    </row>
    <row r="185" spans="17:43">
      <c r="Q185" s="433"/>
      <c r="R185" s="433"/>
      <c r="S185" s="433"/>
      <c r="T185" s="433"/>
      <c r="U185" s="433"/>
      <c r="V185" s="433"/>
      <c r="W185" s="433"/>
      <c r="X185" s="433"/>
      <c r="Y185" s="433"/>
      <c r="AP185" s="433"/>
      <c r="AQ185" s="433"/>
    </row>
    <row r="186" spans="17:43">
      <c r="Q186" s="433"/>
      <c r="R186" s="433"/>
      <c r="S186" s="433"/>
      <c r="T186" s="433"/>
      <c r="U186" s="433"/>
      <c r="V186" s="433"/>
      <c r="W186" s="433"/>
      <c r="X186" s="433"/>
      <c r="Y186" s="433"/>
      <c r="AP186" s="433"/>
      <c r="AQ186" s="433"/>
    </row>
    <row r="187" spans="17:43">
      <c r="Q187" s="433"/>
      <c r="R187" s="433"/>
      <c r="S187" s="433"/>
      <c r="T187" s="433"/>
      <c r="U187" s="433"/>
      <c r="V187" s="433"/>
      <c r="W187" s="433"/>
      <c r="X187" s="433"/>
      <c r="Y187" s="433"/>
      <c r="AP187" s="433"/>
      <c r="AQ187" s="433"/>
    </row>
    <row r="188" spans="17:43">
      <c r="Q188" s="433"/>
      <c r="R188" s="433"/>
      <c r="S188" s="433"/>
      <c r="T188" s="433"/>
      <c r="U188" s="433"/>
      <c r="V188" s="433"/>
      <c r="W188" s="433"/>
      <c r="X188" s="433"/>
      <c r="Y188" s="433"/>
      <c r="AP188" s="433"/>
      <c r="AQ188" s="433"/>
    </row>
    <row r="189" spans="17:43">
      <c r="Q189" s="433"/>
      <c r="R189" s="433"/>
      <c r="S189" s="433"/>
      <c r="T189" s="433"/>
      <c r="U189" s="433"/>
      <c r="V189" s="433"/>
      <c r="W189" s="433"/>
      <c r="X189" s="433"/>
      <c r="Y189" s="433"/>
      <c r="AP189" s="433"/>
      <c r="AQ189" s="433"/>
    </row>
    <row r="190" spans="17:43">
      <c r="Q190" s="433"/>
      <c r="R190" s="433"/>
      <c r="S190" s="433"/>
      <c r="T190" s="433"/>
      <c r="U190" s="433"/>
      <c r="V190" s="433"/>
      <c r="W190" s="433"/>
      <c r="X190" s="433"/>
      <c r="Y190" s="433"/>
      <c r="AP190" s="433"/>
      <c r="AQ190" s="433"/>
    </row>
    <row r="191" spans="17:43">
      <c r="Q191" s="433"/>
      <c r="R191" s="433"/>
      <c r="S191" s="433"/>
      <c r="T191" s="433"/>
      <c r="U191" s="433"/>
      <c r="V191" s="433"/>
      <c r="W191" s="433"/>
      <c r="X191" s="433"/>
      <c r="Y191" s="433"/>
      <c r="AP191" s="433"/>
      <c r="AQ191" s="433"/>
    </row>
    <row r="192" spans="17:43">
      <c r="Q192" s="433"/>
      <c r="R192" s="433"/>
      <c r="S192" s="433"/>
      <c r="T192" s="433"/>
      <c r="U192" s="433"/>
      <c r="V192" s="433"/>
      <c r="W192" s="433"/>
      <c r="X192" s="433"/>
      <c r="Y192" s="433"/>
      <c r="AP192" s="433"/>
      <c r="AQ192" s="433"/>
    </row>
    <row r="193" spans="17:43">
      <c r="Q193" s="433"/>
      <c r="R193" s="433"/>
      <c r="S193" s="433"/>
      <c r="T193" s="433"/>
      <c r="U193" s="433"/>
      <c r="V193" s="433"/>
      <c r="W193" s="433"/>
      <c r="X193" s="433"/>
      <c r="Y193" s="433"/>
      <c r="AP193" s="433"/>
      <c r="AQ193" s="433"/>
    </row>
    <row r="194" spans="17:43">
      <c r="Q194" s="433"/>
      <c r="R194" s="433"/>
      <c r="S194" s="433"/>
      <c r="T194" s="433"/>
      <c r="U194" s="433"/>
      <c r="V194" s="433"/>
      <c r="W194" s="433"/>
      <c r="X194" s="433"/>
      <c r="Y194" s="433"/>
      <c r="AP194" s="433"/>
      <c r="AQ194" s="433"/>
    </row>
    <row r="195" spans="17:43">
      <c r="Q195" s="433"/>
      <c r="R195" s="433"/>
      <c r="S195" s="433"/>
      <c r="T195" s="433"/>
      <c r="U195" s="433"/>
      <c r="V195" s="433"/>
      <c r="W195" s="433"/>
      <c r="X195" s="433"/>
      <c r="Y195" s="433"/>
      <c r="AP195" s="433"/>
      <c r="AQ195" s="433"/>
    </row>
    <row r="196" spans="17:43">
      <c r="Q196" s="433"/>
      <c r="R196" s="433"/>
      <c r="S196" s="433"/>
      <c r="T196" s="433"/>
      <c r="U196" s="433"/>
      <c r="V196" s="433"/>
      <c r="W196" s="433"/>
      <c r="X196" s="433"/>
      <c r="Y196" s="433"/>
      <c r="AP196" s="433"/>
      <c r="AQ196" s="433"/>
    </row>
    <row r="197" spans="17:43">
      <c r="Q197" s="433"/>
      <c r="R197" s="433"/>
      <c r="S197" s="433"/>
      <c r="T197" s="433"/>
      <c r="U197" s="433"/>
      <c r="V197" s="433"/>
      <c r="W197" s="433"/>
      <c r="X197" s="433"/>
      <c r="Y197" s="433"/>
      <c r="AP197" s="433"/>
      <c r="AQ197" s="433"/>
    </row>
    <row r="198" spans="17:43">
      <c r="Q198" s="433"/>
      <c r="R198" s="433"/>
      <c r="S198" s="433"/>
      <c r="T198" s="433"/>
      <c r="U198" s="433"/>
      <c r="V198" s="433"/>
      <c r="W198" s="433"/>
      <c r="X198" s="433"/>
      <c r="Y198" s="433"/>
      <c r="AP198" s="433"/>
      <c r="AQ198" s="433"/>
    </row>
    <row r="199" spans="17:43">
      <c r="Q199" s="433"/>
      <c r="R199" s="433"/>
      <c r="S199" s="433"/>
      <c r="T199" s="433"/>
      <c r="U199" s="433"/>
      <c r="V199" s="433"/>
      <c r="W199" s="433"/>
      <c r="X199" s="433"/>
      <c r="Y199" s="433"/>
    </row>
    <row r="200" spans="17:43">
      <c r="Q200" s="433"/>
      <c r="R200" s="433"/>
      <c r="S200" s="433"/>
      <c r="T200" s="433"/>
      <c r="U200" s="433"/>
      <c r="V200" s="433"/>
      <c r="W200" s="433"/>
      <c r="X200" s="433"/>
      <c r="Y200" s="433"/>
    </row>
    <row r="201" spans="17:43">
      <c r="Q201" s="433"/>
      <c r="R201" s="433"/>
      <c r="S201" s="433"/>
      <c r="T201" s="433"/>
      <c r="U201" s="433"/>
      <c r="V201" s="433"/>
      <c r="W201" s="433"/>
      <c r="X201" s="433"/>
      <c r="Y201" s="433"/>
    </row>
    <row r="202" spans="17:43">
      <c r="Q202" s="433"/>
      <c r="R202" s="433"/>
      <c r="S202" s="433"/>
      <c r="T202" s="433"/>
      <c r="U202" s="433"/>
      <c r="V202" s="433"/>
      <c r="W202" s="433"/>
      <c r="X202" s="433"/>
      <c r="Y202" s="433"/>
    </row>
    <row r="203" spans="17:43">
      <c r="Q203" s="433"/>
      <c r="R203" s="433"/>
      <c r="S203" s="433"/>
      <c r="T203" s="433"/>
      <c r="U203" s="433"/>
      <c r="V203" s="433"/>
      <c r="W203" s="433"/>
      <c r="X203" s="433"/>
      <c r="Y203" s="433"/>
    </row>
    <row r="204" spans="17:43">
      <c r="Q204" s="433"/>
      <c r="R204" s="433"/>
      <c r="S204" s="433"/>
      <c r="T204" s="433"/>
      <c r="U204" s="433"/>
      <c r="V204" s="433"/>
      <c r="W204" s="433"/>
      <c r="X204" s="433"/>
      <c r="Y204" s="433"/>
    </row>
    <row r="205" spans="17:43">
      <c r="Q205" s="433"/>
      <c r="R205" s="433"/>
      <c r="S205" s="433"/>
      <c r="T205" s="433"/>
      <c r="U205" s="433"/>
      <c r="V205" s="433"/>
      <c r="W205" s="433"/>
      <c r="X205" s="433"/>
      <c r="Y205" s="433"/>
    </row>
    <row r="206" spans="17:43">
      <c r="Q206" s="433"/>
      <c r="R206" s="433"/>
      <c r="S206" s="433"/>
      <c r="T206" s="433"/>
      <c r="U206" s="433"/>
      <c r="V206" s="433"/>
      <c r="W206" s="433"/>
      <c r="X206" s="433"/>
      <c r="Y206" s="433"/>
    </row>
    <row r="207" spans="17:43">
      <c r="Q207" s="433"/>
      <c r="R207" s="433"/>
      <c r="S207" s="433"/>
      <c r="T207" s="433"/>
      <c r="U207" s="433"/>
      <c r="V207" s="433"/>
      <c r="W207" s="433"/>
      <c r="X207" s="433"/>
      <c r="Y207" s="433"/>
    </row>
    <row r="208" spans="17:43">
      <c r="Q208" s="433"/>
      <c r="R208" s="433"/>
      <c r="S208" s="433"/>
      <c r="T208" s="433"/>
      <c r="U208" s="433"/>
      <c r="V208" s="433"/>
      <c r="W208" s="433"/>
      <c r="X208" s="433"/>
      <c r="Y208" s="433"/>
    </row>
    <row r="209" spans="17:25">
      <c r="Q209" s="433"/>
      <c r="R209" s="433"/>
      <c r="S209" s="433"/>
      <c r="T209" s="433"/>
      <c r="U209" s="433"/>
      <c r="V209" s="433"/>
      <c r="W209" s="433"/>
      <c r="X209" s="433"/>
      <c r="Y209" s="433"/>
    </row>
    <row r="210" spans="17:25">
      <c r="Q210" s="433"/>
      <c r="R210" s="433"/>
      <c r="S210" s="433"/>
      <c r="T210" s="433"/>
      <c r="U210" s="433"/>
      <c r="V210" s="433"/>
      <c r="W210" s="433"/>
      <c r="X210" s="433"/>
      <c r="Y210" s="433"/>
    </row>
    <row r="211" spans="17:25">
      <c r="Q211" s="433"/>
      <c r="R211" s="433"/>
      <c r="S211" s="433"/>
      <c r="T211" s="433"/>
      <c r="U211" s="433"/>
      <c r="V211" s="433"/>
      <c r="W211" s="433"/>
      <c r="X211" s="433"/>
      <c r="Y211" s="433"/>
    </row>
    <row r="212" spans="17:25">
      <c r="Q212" s="433"/>
      <c r="R212" s="433"/>
      <c r="S212" s="433"/>
      <c r="T212" s="433"/>
      <c r="U212" s="433"/>
      <c r="V212" s="433"/>
      <c r="W212" s="433"/>
      <c r="X212" s="433"/>
      <c r="Y212" s="433"/>
    </row>
    <row r="213" spans="17:25">
      <c r="Q213" s="433"/>
      <c r="R213" s="433"/>
      <c r="S213" s="433"/>
      <c r="T213" s="433"/>
      <c r="U213" s="433"/>
      <c r="V213" s="433"/>
      <c r="W213" s="433"/>
      <c r="X213" s="433"/>
      <c r="Y213" s="433"/>
    </row>
    <row r="214" spans="17:25">
      <c r="Q214" s="433"/>
      <c r="R214" s="433"/>
      <c r="S214" s="433"/>
      <c r="T214" s="433"/>
      <c r="U214" s="433"/>
      <c r="V214" s="433"/>
      <c r="W214" s="433"/>
      <c r="X214" s="433"/>
      <c r="Y214" s="433"/>
    </row>
    <row r="215" spans="17:25">
      <c r="Q215" s="433"/>
      <c r="R215" s="433"/>
      <c r="S215" s="433"/>
      <c r="T215" s="433"/>
      <c r="U215" s="433"/>
      <c r="V215" s="433"/>
      <c r="W215" s="433"/>
      <c r="X215" s="433"/>
      <c r="Y215" s="433"/>
    </row>
    <row r="216" spans="17:25">
      <c r="Q216" s="433"/>
      <c r="R216" s="433"/>
      <c r="S216" s="433"/>
      <c r="T216" s="433"/>
      <c r="U216" s="433"/>
      <c r="V216" s="433"/>
      <c r="W216" s="433"/>
      <c r="X216" s="433"/>
      <c r="Y216" s="433"/>
    </row>
    <row r="217" spans="17:25">
      <c r="Q217" s="433"/>
      <c r="R217" s="433"/>
      <c r="S217" s="433"/>
      <c r="T217" s="433"/>
      <c r="U217" s="433"/>
      <c r="V217" s="433"/>
      <c r="W217" s="433"/>
      <c r="X217" s="433"/>
      <c r="Y217" s="433"/>
    </row>
    <row r="218" spans="17:25">
      <c r="Q218" s="433"/>
      <c r="R218" s="433"/>
      <c r="S218" s="433"/>
      <c r="T218" s="433"/>
      <c r="U218" s="433"/>
      <c r="V218" s="433"/>
      <c r="W218" s="433"/>
      <c r="X218" s="433"/>
      <c r="Y218" s="433"/>
    </row>
    <row r="219" spans="17:25">
      <c r="Q219" s="433"/>
      <c r="R219" s="433"/>
      <c r="S219" s="433"/>
      <c r="T219" s="433"/>
      <c r="U219" s="433"/>
      <c r="V219" s="433"/>
      <c r="W219" s="433"/>
      <c r="X219" s="433"/>
      <c r="Y219" s="433"/>
    </row>
    <row r="220" spans="17:25">
      <c r="Q220" s="433"/>
      <c r="R220" s="433"/>
      <c r="S220" s="433"/>
      <c r="T220" s="433"/>
      <c r="U220" s="433"/>
      <c r="V220" s="433"/>
      <c r="W220" s="433"/>
      <c r="X220" s="433"/>
      <c r="Y220" s="433"/>
    </row>
    <row r="221" spans="17:25">
      <c r="Q221" s="433"/>
      <c r="R221" s="433"/>
      <c r="S221" s="433"/>
      <c r="T221" s="433"/>
      <c r="U221" s="433"/>
      <c r="V221" s="433"/>
      <c r="W221" s="433"/>
      <c r="X221" s="433"/>
      <c r="Y221" s="433"/>
    </row>
    <row r="222" spans="17:25">
      <c r="Q222" s="433"/>
      <c r="R222" s="433"/>
      <c r="S222" s="433"/>
      <c r="T222" s="433"/>
      <c r="U222" s="433"/>
      <c r="V222" s="433"/>
      <c r="W222" s="433"/>
      <c r="X222" s="433"/>
      <c r="Y222" s="433"/>
    </row>
    <row r="223" spans="17:25">
      <c r="Q223" s="433"/>
      <c r="R223" s="433"/>
      <c r="S223" s="433"/>
      <c r="T223" s="433"/>
      <c r="U223" s="433"/>
      <c r="V223" s="433"/>
      <c r="W223" s="433"/>
      <c r="X223" s="433"/>
      <c r="Y223" s="433"/>
    </row>
    <row r="224" spans="17:25">
      <c r="Q224" s="433"/>
      <c r="R224" s="433"/>
      <c r="S224" s="433"/>
      <c r="T224" s="433"/>
      <c r="U224" s="433"/>
      <c r="V224" s="433"/>
      <c r="W224" s="433"/>
      <c r="X224" s="433"/>
      <c r="Y224" s="433"/>
    </row>
    <row r="225" spans="17:25">
      <c r="Q225" s="433"/>
      <c r="R225" s="433"/>
      <c r="S225" s="433"/>
      <c r="T225" s="433"/>
      <c r="U225" s="433"/>
      <c r="V225" s="433"/>
      <c r="W225" s="433"/>
      <c r="X225" s="433"/>
      <c r="Y225" s="433"/>
    </row>
    <row r="226" spans="17:25">
      <c r="Q226" s="433"/>
      <c r="R226" s="433"/>
      <c r="S226" s="433"/>
      <c r="T226" s="433"/>
      <c r="U226" s="433"/>
      <c r="V226" s="433"/>
      <c r="W226" s="433"/>
      <c r="X226" s="433"/>
      <c r="Y226" s="433"/>
    </row>
    <row r="227" spans="17:25">
      <c r="Q227" s="433"/>
      <c r="R227" s="433"/>
      <c r="S227" s="433"/>
      <c r="T227" s="433"/>
      <c r="U227" s="433"/>
      <c r="V227" s="433"/>
      <c r="W227" s="433"/>
      <c r="X227" s="433"/>
      <c r="Y227" s="433"/>
    </row>
    <row r="228" spans="17:25">
      <c r="Q228" s="433"/>
      <c r="R228" s="433"/>
      <c r="S228" s="433"/>
      <c r="T228" s="433"/>
      <c r="U228" s="433"/>
      <c r="V228" s="433"/>
      <c r="W228" s="433"/>
      <c r="X228" s="433"/>
      <c r="Y228" s="433"/>
    </row>
    <row r="229" spans="17:25">
      <c r="Q229" s="433"/>
      <c r="R229" s="433"/>
      <c r="S229" s="433"/>
      <c r="T229" s="433"/>
      <c r="U229" s="433"/>
      <c r="V229" s="433"/>
      <c r="W229" s="433"/>
      <c r="X229" s="433"/>
      <c r="Y229" s="433"/>
    </row>
    <row r="230" spans="17:25">
      <c r="Q230" s="433"/>
      <c r="R230" s="433"/>
      <c r="S230" s="433"/>
      <c r="T230" s="433"/>
      <c r="U230" s="433"/>
      <c r="V230" s="433"/>
      <c r="W230" s="433"/>
      <c r="X230" s="433"/>
      <c r="Y230" s="433"/>
    </row>
    <row r="231" spans="17:25">
      <c r="Q231" s="433"/>
      <c r="R231" s="433"/>
      <c r="S231" s="433"/>
      <c r="T231" s="433"/>
      <c r="U231" s="433"/>
      <c r="V231" s="433"/>
      <c r="W231" s="433"/>
      <c r="X231" s="433"/>
      <c r="Y231" s="433"/>
    </row>
    <row r="232" spans="17:25">
      <c r="Q232" s="433"/>
      <c r="R232" s="433"/>
      <c r="S232" s="433"/>
      <c r="T232" s="433"/>
      <c r="U232" s="433"/>
      <c r="V232" s="433"/>
      <c r="W232" s="433"/>
      <c r="X232" s="433"/>
      <c r="Y232" s="433"/>
    </row>
    <row r="233" spans="17:25">
      <c r="Q233" s="433"/>
      <c r="R233" s="433"/>
      <c r="S233" s="433"/>
      <c r="T233" s="433"/>
      <c r="U233" s="433"/>
      <c r="V233" s="433"/>
      <c r="W233" s="433"/>
      <c r="X233" s="433"/>
      <c r="Y233" s="433"/>
    </row>
    <row r="234" spans="17:25">
      <c r="Q234" s="433"/>
      <c r="R234" s="433"/>
      <c r="S234" s="433"/>
      <c r="T234" s="433"/>
      <c r="U234" s="433"/>
      <c r="V234" s="433"/>
      <c r="W234" s="433"/>
      <c r="X234" s="433"/>
      <c r="Y234" s="433"/>
    </row>
    <row r="235" spans="17:25">
      <c r="Q235" s="433"/>
      <c r="R235" s="433"/>
      <c r="S235" s="433"/>
      <c r="T235" s="433"/>
      <c r="U235" s="433"/>
      <c r="V235" s="433"/>
      <c r="W235" s="433"/>
      <c r="X235" s="433"/>
      <c r="Y235" s="433"/>
    </row>
    <row r="236" spans="17:25">
      <c r="Q236" s="433"/>
      <c r="R236" s="433"/>
      <c r="S236" s="433"/>
      <c r="T236" s="433"/>
      <c r="U236" s="433"/>
      <c r="V236" s="433"/>
      <c r="W236" s="433"/>
      <c r="X236" s="433"/>
      <c r="Y236" s="433"/>
    </row>
    <row r="237" spans="17:25">
      <c r="Q237" s="433"/>
      <c r="R237" s="433"/>
      <c r="S237" s="433"/>
      <c r="T237" s="433"/>
      <c r="U237" s="433"/>
      <c r="V237" s="433"/>
      <c r="W237" s="433"/>
      <c r="X237" s="433"/>
      <c r="Y237" s="433"/>
    </row>
    <row r="238" spans="17:25">
      <c r="Q238" s="433"/>
      <c r="R238" s="433"/>
      <c r="S238" s="433"/>
      <c r="T238" s="433"/>
      <c r="U238" s="433"/>
      <c r="V238" s="433"/>
      <c r="W238" s="433"/>
      <c r="X238" s="433"/>
      <c r="Y238" s="433"/>
    </row>
    <row r="239" spans="17:25">
      <c r="Q239" s="433"/>
      <c r="R239" s="433"/>
      <c r="S239" s="433"/>
      <c r="T239" s="433"/>
      <c r="U239" s="433"/>
      <c r="V239" s="433"/>
      <c r="W239" s="433"/>
      <c r="X239" s="433"/>
      <c r="Y239" s="433"/>
    </row>
    <row r="240" spans="17:25">
      <c r="Q240" s="433"/>
      <c r="R240" s="433"/>
      <c r="S240" s="433"/>
      <c r="T240" s="433"/>
      <c r="U240" s="433"/>
      <c r="V240" s="433"/>
      <c r="W240" s="433"/>
      <c r="X240" s="433"/>
      <c r="Y240" s="433"/>
    </row>
    <row r="241" spans="17:25">
      <c r="Q241" s="433"/>
      <c r="R241" s="433"/>
      <c r="S241" s="433"/>
      <c r="T241" s="433"/>
      <c r="U241" s="433"/>
      <c r="V241" s="433"/>
      <c r="W241" s="433"/>
      <c r="X241" s="433"/>
      <c r="Y241" s="433"/>
    </row>
    <row r="242" spans="17:25">
      <c r="Q242" s="433"/>
      <c r="R242" s="433"/>
      <c r="S242" s="433"/>
      <c r="T242" s="433"/>
      <c r="U242" s="433"/>
      <c r="V242" s="433"/>
      <c r="W242" s="433"/>
      <c r="X242" s="433"/>
      <c r="Y242" s="433"/>
    </row>
    <row r="243" spans="17:25">
      <c r="Q243" s="433"/>
      <c r="R243" s="433"/>
      <c r="S243" s="433"/>
      <c r="T243" s="433"/>
      <c r="U243" s="433"/>
      <c r="V243" s="433"/>
      <c r="W243" s="433"/>
      <c r="X243" s="433"/>
      <c r="Y243" s="433"/>
    </row>
    <row r="244" spans="17:25">
      <c r="Q244" s="433"/>
      <c r="R244" s="433"/>
      <c r="S244" s="433"/>
      <c r="T244" s="433"/>
      <c r="U244" s="433"/>
      <c r="V244" s="433"/>
      <c r="W244" s="433"/>
      <c r="X244" s="433"/>
      <c r="Y244" s="433"/>
    </row>
    <row r="245" spans="17:25">
      <c r="Q245" s="433"/>
      <c r="R245" s="433"/>
      <c r="S245" s="433"/>
      <c r="T245" s="433"/>
      <c r="U245" s="433"/>
      <c r="V245" s="433"/>
      <c r="W245" s="433"/>
      <c r="X245" s="433"/>
      <c r="Y245" s="433"/>
    </row>
    <row r="246" spans="17:25">
      <c r="Q246" s="433"/>
      <c r="R246" s="433"/>
      <c r="S246" s="433"/>
      <c r="T246" s="433"/>
      <c r="U246" s="433"/>
      <c r="V246" s="433"/>
      <c r="W246" s="433"/>
      <c r="X246" s="433"/>
      <c r="Y246" s="433"/>
    </row>
    <row r="247" spans="17:25">
      <c r="Q247" s="433"/>
      <c r="R247" s="433"/>
      <c r="S247" s="433"/>
      <c r="T247" s="433"/>
      <c r="U247" s="433"/>
      <c r="V247" s="433"/>
      <c r="W247" s="433"/>
      <c r="X247" s="433"/>
      <c r="Y247" s="433"/>
    </row>
    <row r="248" spans="17:25">
      <c r="Q248" s="433"/>
      <c r="R248" s="433"/>
      <c r="S248" s="433"/>
      <c r="T248" s="433"/>
      <c r="U248" s="433"/>
      <c r="V248" s="433"/>
      <c r="W248" s="433"/>
      <c r="X248" s="433"/>
      <c r="Y248" s="433"/>
    </row>
    <row r="249" spans="17:25">
      <c r="Q249" s="433"/>
      <c r="R249" s="433"/>
      <c r="S249" s="433"/>
      <c r="T249" s="433"/>
      <c r="U249" s="433"/>
      <c r="V249" s="433"/>
      <c r="W249" s="433"/>
      <c r="X249" s="433"/>
      <c r="Y249" s="433"/>
    </row>
    <row r="250" spans="17:25">
      <c r="Q250" s="433"/>
      <c r="R250" s="433"/>
      <c r="S250" s="433"/>
      <c r="T250" s="433"/>
      <c r="U250" s="433"/>
      <c r="V250" s="433"/>
      <c r="W250" s="433"/>
      <c r="X250" s="433"/>
      <c r="Y250" s="433"/>
    </row>
    <row r="251" spans="17:25">
      <c r="Q251" s="433"/>
      <c r="R251" s="433"/>
      <c r="S251" s="433"/>
      <c r="T251" s="433"/>
      <c r="U251" s="433"/>
      <c r="V251" s="433"/>
      <c r="W251" s="433"/>
      <c r="X251" s="433"/>
      <c r="Y251" s="433"/>
    </row>
    <row r="252" spans="17:25">
      <c r="Q252" s="433"/>
      <c r="R252" s="433"/>
      <c r="S252" s="433"/>
      <c r="T252" s="433"/>
      <c r="U252" s="433"/>
      <c r="V252" s="433"/>
      <c r="W252" s="433"/>
      <c r="X252" s="433"/>
      <c r="Y252" s="433"/>
    </row>
    <row r="253" spans="17:25">
      <c r="Q253" s="433"/>
      <c r="R253" s="433"/>
      <c r="S253" s="433"/>
      <c r="T253" s="433"/>
      <c r="U253" s="433"/>
      <c r="V253" s="433"/>
      <c r="W253" s="433"/>
      <c r="X253" s="433"/>
      <c r="Y253" s="433"/>
    </row>
    <row r="254" spans="17:25">
      <c r="Q254" s="433"/>
      <c r="R254" s="433"/>
      <c r="S254" s="433"/>
      <c r="T254" s="433"/>
      <c r="U254" s="433"/>
      <c r="V254" s="433"/>
      <c r="W254" s="433"/>
      <c r="X254" s="433"/>
      <c r="Y254" s="433"/>
    </row>
    <row r="255" spans="17:25">
      <c r="Q255" s="433"/>
      <c r="R255" s="433"/>
      <c r="S255" s="433"/>
      <c r="T255" s="433"/>
      <c r="U255" s="433"/>
      <c r="V255" s="433"/>
      <c r="W255" s="433"/>
      <c r="X255" s="433"/>
      <c r="Y255" s="433"/>
    </row>
    <row r="256" spans="17:25">
      <c r="Q256" s="433"/>
      <c r="R256" s="433"/>
      <c r="S256" s="433"/>
      <c r="T256" s="433"/>
      <c r="U256" s="433"/>
      <c r="V256" s="433"/>
      <c r="W256" s="433"/>
      <c r="X256" s="433"/>
      <c r="Y256" s="433"/>
    </row>
    <row r="257" spans="17:25">
      <c r="Q257" s="433"/>
      <c r="R257" s="433"/>
      <c r="S257" s="433"/>
      <c r="T257" s="433"/>
      <c r="U257" s="433"/>
      <c r="V257" s="433"/>
      <c r="W257" s="433"/>
      <c r="X257" s="433"/>
      <c r="Y257" s="433"/>
    </row>
    <row r="258" spans="17:25">
      <c r="Q258" s="433"/>
      <c r="R258" s="433"/>
      <c r="S258" s="433"/>
      <c r="T258" s="433"/>
      <c r="U258" s="433"/>
      <c r="V258" s="433"/>
      <c r="W258" s="433"/>
      <c r="X258" s="433"/>
      <c r="Y258" s="433"/>
    </row>
    <row r="259" spans="17:25">
      <c r="Q259" s="433"/>
      <c r="R259" s="433"/>
      <c r="S259" s="433"/>
      <c r="T259" s="433"/>
      <c r="U259" s="433"/>
      <c r="V259" s="433"/>
      <c r="W259" s="433"/>
      <c r="X259" s="433"/>
      <c r="Y259" s="433"/>
    </row>
    <row r="260" spans="17:25">
      <c r="Q260" s="433"/>
      <c r="R260" s="433"/>
      <c r="S260" s="433"/>
      <c r="T260" s="433"/>
      <c r="U260" s="433"/>
      <c r="V260" s="433"/>
      <c r="W260" s="433"/>
      <c r="X260" s="433"/>
      <c r="Y260" s="433"/>
    </row>
    <row r="261" spans="17:25">
      <c r="Q261" s="433"/>
      <c r="R261" s="433"/>
      <c r="S261" s="433"/>
      <c r="T261" s="433"/>
      <c r="U261" s="433"/>
      <c r="V261" s="433"/>
      <c r="W261" s="433"/>
      <c r="X261" s="433"/>
      <c r="Y261" s="433"/>
    </row>
    <row r="262" spans="17:25">
      <c r="Q262" s="433"/>
      <c r="R262" s="433"/>
      <c r="S262" s="433"/>
      <c r="T262" s="433"/>
      <c r="U262" s="433"/>
      <c r="V262" s="433"/>
      <c r="W262" s="433"/>
      <c r="X262" s="433"/>
      <c r="Y262" s="433"/>
    </row>
    <row r="263" spans="17:25">
      <c r="Q263" s="433"/>
      <c r="R263" s="433"/>
      <c r="S263" s="433"/>
      <c r="T263" s="433"/>
      <c r="U263" s="433"/>
      <c r="V263" s="433"/>
      <c r="W263" s="433"/>
      <c r="X263" s="433"/>
      <c r="Y263" s="433"/>
    </row>
    <row r="264" spans="17:25">
      <c r="Q264" s="433"/>
      <c r="R264" s="433"/>
      <c r="S264" s="433"/>
      <c r="T264" s="433"/>
      <c r="U264" s="433"/>
      <c r="V264" s="433"/>
      <c r="W264" s="433"/>
      <c r="X264" s="433"/>
      <c r="Y264" s="433"/>
    </row>
    <row r="265" spans="17:25">
      <c r="Q265" s="433"/>
      <c r="R265" s="433"/>
      <c r="S265" s="433"/>
      <c r="T265" s="433"/>
      <c r="U265" s="433"/>
      <c r="V265" s="433"/>
      <c r="W265" s="433"/>
      <c r="X265" s="433"/>
      <c r="Y265" s="433"/>
    </row>
    <row r="266" spans="17:25">
      <c r="Q266" s="433"/>
      <c r="R266" s="433"/>
      <c r="S266" s="433"/>
      <c r="T266" s="433"/>
      <c r="U266" s="433"/>
      <c r="V266" s="433"/>
      <c r="W266" s="433"/>
      <c r="X266" s="433"/>
      <c r="Y266" s="433"/>
    </row>
    <row r="267" spans="17:25">
      <c r="Q267" s="433"/>
      <c r="R267" s="433"/>
      <c r="S267" s="433"/>
      <c r="T267" s="433"/>
      <c r="U267" s="433"/>
      <c r="V267" s="433"/>
      <c r="W267" s="433"/>
      <c r="X267" s="433"/>
      <c r="Y267" s="433"/>
    </row>
    <row r="268" spans="17:25">
      <c r="Q268" s="433"/>
      <c r="R268" s="433"/>
      <c r="S268" s="433"/>
      <c r="T268" s="433"/>
      <c r="U268" s="433"/>
      <c r="V268" s="433"/>
      <c r="W268" s="433"/>
      <c r="X268" s="433"/>
      <c r="Y268" s="433"/>
    </row>
    <row r="269" spans="17:25">
      <c r="Q269" s="433"/>
      <c r="R269" s="433"/>
      <c r="S269" s="433"/>
      <c r="T269" s="433"/>
      <c r="U269" s="433"/>
      <c r="V269" s="433"/>
      <c r="W269" s="433"/>
      <c r="X269" s="433"/>
      <c r="Y269" s="433"/>
    </row>
    <row r="270" spans="17:25">
      <c r="Q270" s="433"/>
      <c r="R270" s="433"/>
      <c r="S270" s="433"/>
      <c r="T270" s="433"/>
      <c r="U270" s="433"/>
      <c r="V270" s="433"/>
      <c r="W270" s="433"/>
      <c r="X270" s="433"/>
      <c r="Y270" s="433"/>
    </row>
    <row r="271" spans="17:25">
      <c r="Q271" s="433"/>
      <c r="R271" s="433"/>
      <c r="S271" s="433"/>
      <c r="T271" s="433"/>
      <c r="U271" s="433"/>
      <c r="V271" s="433"/>
      <c r="W271" s="433"/>
      <c r="X271" s="433"/>
      <c r="Y271" s="433"/>
    </row>
    <row r="272" spans="17:25">
      <c r="Q272" s="433"/>
      <c r="R272" s="433"/>
      <c r="S272" s="433"/>
      <c r="T272" s="433"/>
      <c r="U272" s="433"/>
      <c r="V272" s="433"/>
      <c r="W272" s="433"/>
      <c r="X272" s="433"/>
      <c r="Y272" s="433"/>
    </row>
    <row r="273" spans="17:25">
      <c r="Q273" s="433"/>
      <c r="R273" s="433"/>
      <c r="S273" s="433"/>
      <c r="T273" s="433"/>
      <c r="U273" s="433"/>
      <c r="V273" s="433"/>
      <c r="W273" s="433"/>
      <c r="X273" s="433"/>
      <c r="Y273" s="433"/>
    </row>
    <row r="274" spans="17:25">
      <c r="Q274" s="433"/>
      <c r="R274" s="433"/>
      <c r="S274" s="433"/>
      <c r="T274" s="433"/>
      <c r="U274" s="433"/>
      <c r="V274" s="433"/>
      <c r="W274" s="433"/>
      <c r="X274" s="433"/>
      <c r="Y274" s="433"/>
    </row>
    <row r="275" spans="17:25">
      <c r="Q275" s="433"/>
      <c r="R275" s="433"/>
      <c r="S275" s="433"/>
      <c r="T275" s="433"/>
      <c r="U275" s="433"/>
      <c r="V275" s="433"/>
      <c r="W275" s="433"/>
      <c r="X275" s="433"/>
      <c r="Y275" s="433"/>
    </row>
    <row r="276" spans="17:25">
      <c r="Q276" s="433"/>
      <c r="R276" s="433"/>
      <c r="S276" s="433"/>
      <c r="T276" s="433"/>
      <c r="U276" s="433"/>
      <c r="V276" s="433"/>
      <c r="W276" s="433"/>
      <c r="X276" s="433"/>
      <c r="Y276" s="433"/>
    </row>
    <row r="277" spans="17:25">
      <c r="Q277" s="433"/>
      <c r="R277" s="433"/>
      <c r="S277" s="433"/>
      <c r="T277" s="433"/>
      <c r="U277" s="433"/>
      <c r="V277" s="433"/>
      <c r="W277" s="433"/>
      <c r="X277" s="433"/>
      <c r="Y277" s="433"/>
    </row>
    <row r="278" spans="17:25">
      <c r="Q278" s="433"/>
      <c r="R278" s="433"/>
      <c r="S278" s="433"/>
      <c r="T278" s="433"/>
      <c r="U278" s="433"/>
      <c r="V278" s="433"/>
      <c r="W278" s="433"/>
      <c r="X278" s="433"/>
      <c r="Y278" s="433"/>
    </row>
    <row r="279" spans="17:25">
      <c r="Q279" s="433"/>
      <c r="R279" s="433"/>
      <c r="S279" s="433"/>
      <c r="T279" s="433"/>
      <c r="U279" s="433"/>
      <c r="V279" s="433"/>
      <c r="W279" s="433"/>
      <c r="X279" s="433"/>
      <c r="Y279" s="433"/>
    </row>
    <row r="280" spans="17:25">
      <c r="Q280" s="433"/>
      <c r="R280" s="433"/>
      <c r="S280" s="433"/>
      <c r="T280" s="433"/>
      <c r="U280" s="433"/>
      <c r="V280" s="433"/>
      <c r="W280" s="433"/>
      <c r="X280" s="433"/>
      <c r="Y280" s="433"/>
    </row>
    <row r="281" spans="17:25">
      <c r="Q281" s="433"/>
      <c r="R281" s="433"/>
      <c r="S281" s="433"/>
      <c r="T281" s="433"/>
      <c r="U281" s="433"/>
      <c r="V281" s="433"/>
      <c r="W281" s="433"/>
      <c r="X281" s="433"/>
      <c r="Y281" s="433"/>
    </row>
    <row r="282" spans="17:25">
      <c r="Q282" s="433"/>
      <c r="R282" s="433"/>
      <c r="S282" s="433"/>
      <c r="T282" s="433"/>
      <c r="U282" s="433"/>
      <c r="V282" s="433"/>
      <c r="W282" s="433"/>
      <c r="X282" s="433"/>
      <c r="Y282" s="433"/>
    </row>
    <row r="283" spans="17:25">
      <c r="Q283" s="433"/>
      <c r="R283" s="433"/>
      <c r="S283" s="433"/>
      <c r="T283" s="433"/>
      <c r="U283" s="433"/>
      <c r="V283" s="433"/>
      <c r="W283" s="433"/>
      <c r="X283" s="433"/>
      <c r="Y283" s="433"/>
    </row>
    <row r="284" spans="17:25">
      <c r="Q284" s="433"/>
      <c r="R284" s="433"/>
      <c r="S284" s="433"/>
      <c r="T284" s="433"/>
      <c r="U284" s="433"/>
      <c r="V284" s="433"/>
      <c r="W284" s="433"/>
      <c r="X284" s="433"/>
      <c r="Y284" s="433"/>
    </row>
    <row r="285" spans="17:25">
      <c r="Q285" s="433"/>
      <c r="R285" s="433"/>
      <c r="S285" s="433"/>
      <c r="T285" s="433"/>
      <c r="U285" s="433"/>
      <c r="V285" s="433"/>
      <c r="W285" s="433"/>
      <c r="X285" s="433"/>
      <c r="Y285" s="433"/>
    </row>
    <row r="286" spans="17:25">
      <c r="Q286" s="433"/>
      <c r="R286" s="433"/>
      <c r="S286" s="433"/>
      <c r="T286" s="433"/>
      <c r="U286" s="433"/>
      <c r="V286" s="433"/>
      <c r="W286" s="433"/>
      <c r="X286" s="433"/>
      <c r="Y286" s="433"/>
    </row>
    <row r="287" spans="17:25">
      <c r="Q287" s="433"/>
      <c r="R287" s="433"/>
      <c r="S287" s="433"/>
      <c r="T287" s="433"/>
      <c r="U287" s="433"/>
      <c r="V287" s="433"/>
      <c r="W287" s="433"/>
      <c r="X287" s="433"/>
      <c r="Y287" s="433"/>
    </row>
    <row r="288" spans="17:25">
      <c r="Q288" s="433"/>
      <c r="R288" s="433"/>
      <c r="S288" s="433"/>
      <c r="T288" s="433"/>
      <c r="U288" s="433"/>
      <c r="V288" s="433"/>
      <c r="W288" s="433"/>
      <c r="X288" s="433"/>
      <c r="Y288" s="433"/>
    </row>
    <row r="289" spans="17:25">
      <c r="Q289" s="433"/>
      <c r="R289" s="433"/>
      <c r="S289" s="433"/>
      <c r="T289" s="433"/>
      <c r="U289" s="433"/>
      <c r="V289" s="433"/>
      <c r="W289" s="433"/>
      <c r="X289" s="433"/>
      <c r="Y289" s="433"/>
    </row>
    <row r="290" spans="17:25">
      <c r="Q290" s="433"/>
      <c r="R290" s="433"/>
      <c r="S290" s="433"/>
      <c r="T290" s="433"/>
      <c r="U290" s="433"/>
      <c r="V290" s="433"/>
      <c r="W290" s="433"/>
      <c r="X290" s="433"/>
      <c r="Y290" s="433"/>
    </row>
    <row r="291" spans="17:25">
      <c r="Q291" s="433"/>
      <c r="R291" s="433"/>
      <c r="S291" s="433"/>
      <c r="T291" s="433"/>
      <c r="U291" s="433"/>
      <c r="V291" s="433"/>
      <c r="W291" s="433"/>
      <c r="X291" s="433"/>
      <c r="Y291" s="433"/>
    </row>
    <row r="292" spans="17:25">
      <c r="Q292" s="433"/>
      <c r="R292" s="433"/>
      <c r="S292" s="433"/>
      <c r="T292" s="433"/>
      <c r="U292" s="433"/>
      <c r="V292" s="433"/>
      <c r="W292" s="433"/>
      <c r="X292" s="433"/>
      <c r="Y292" s="433"/>
    </row>
    <row r="293" spans="17:25">
      <c r="Q293" s="433"/>
      <c r="R293" s="433"/>
      <c r="S293" s="433"/>
      <c r="T293" s="433"/>
      <c r="U293" s="433"/>
      <c r="V293" s="433"/>
      <c r="W293" s="433"/>
      <c r="X293" s="433"/>
      <c r="Y293" s="433"/>
    </row>
    <row r="294" spans="17:25">
      <c r="Q294" s="433"/>
      <c r="R294" s="433"/>
      <c r="S294" s="433"/>
      <c r="T294" s="433"/>
      <c r="U294" s="433"/>
      <c r="V294" s="433"/>
      <c r="W294" s="433"/>
      <c r="X294" s="433"/>
      <c r="Y294" s="433"/>
    </row>
    <row r="295" spans="17:25">
      <c r="Q295" s="433"/>
      <c r="R295" s="433"/>
      <c r="S295" s="433"/>
      <c r="T295" s="433"/>
      <c r="U295" s="433"/>
      <c r="V295" s="433"/>
      <c r="W295" s="433"/>
      <c r="X295" s="433"/>
      <c r="Y295" s="433"/>
    </row>
    <row r="296" spans="17:25">
      <c r="Q296" s="433"/>
      <c r="R296" s="433"/>
      <c r="S296" s="433"/>
      <c r="T296" s="433"/>
      <c r="U296" s="433"/>
      <c r="V296" s="433"/>
      <c r="W296" s="433"/>
      <c r="X296" s="433"/>
      <c r="Y296" s="433"/>
    </row>
    <row r="297" spans="17:25">
      <c r="Q297" s="433"/>
      <c r="R297" s="433"/>
      <c r="S297" s="433"/>
      <c r="T297" s="433"/>
      <c r="U297" s="433"/>
      <c r="V297" s="433"/>
      <c r="W297" s="433"/>
      <c r="X297" s="433"/>
      <c r="Y297" s="433"/>
    </row>
    <row r="298" spans="17:25">
      <c r="Q298" s="433"/>
      <c r="R298" s="433"/>
      <c r="S298" s="433"/>
      <c r="T298" s="433"/>
      <c r="U298" s="433"/>
      <c r="V298" s="433"/>
      <c r="W298" s="433"/>
      <c r="X298" s="433"/>
      <c r="Y298" s="433"/>
    </row>
    <row r="299" spans="17:25">
      <c r="Q299" s="433"/>
      <c r="R299" s="433"/>
      <c r="S299" s="433"/>
      <c r="T299" s="433"/>
      <c r="U299" s="433"/>
      <c r="V299" s="433"/>
      <c r="W299" s="433"/>
      <c r="X299" s="433"/>
      <c r="Y299" s="433"/>
    </row>
    <row r="300" spans="17:25">
      <c r="Q300" s="433"/>
      <c r="R300" s="433"/>
      <c r="S300" s="433"/>
      <c r="T300" s="433"/>
      <c r="U300" s="433"/>
      <c r="V300" s="433"/>
      <c r="W300" s="433"/>
      <c r="X300" s="433"/>
      <c r="Y300" s="433"/>
    </row>
    <row r="301" spans="17:25">
      <c r="Q301" s="433"/>
      <c r="R301" s="433"/>
      <c r="S301" s="433"/>
      <c r="T301" s="433"/>
      <c r="U301" s="433"/>
      <c r="V301" s="433"/>
      <c r="W301" s="433"/>
      <c r="X301" s="433"/>
      <c r="Y301" s="433"/>
    </row>
    <row r="302" spans="17:25">
      <c r="Q302" s="433"/>
      <c r="R302" s="433"/>
      <c r="S302" s="433"/>
      <c r="T302" s="433"/>
      <c r="U302" s="433"/>
      <c r="V302" s="433"/>
      <c r="W302" s="433"/>
      <c r="X302" s="433"/>
      <c r="Y302" s="433"/>
    </row>
    <row r="303" spans="17:25">
      <c r="Q303" s="433"/>
      <c r="R303" s="433"/>
      <c r="S303" s="433"/>
      <c r="T303" s="433"/>
      <c r="U303" s="433"/>
      <c r="V303" s="433"/>
      <c r="W303" s="433"/>
      <c r="X303" s="433"/>
      <c r="Y303" s="433"/>
    </row>
    <row r="304" spans="17:25">
      <c r="Q304" s="433"/>
      <c r="R304" s="433"/>
      <c r="S304" s="433"/>
      <c r="T304" s="433"/>
      <c r="U304" s="433"/>
      <c r="V304" s="433"/>
      <c r="W304" s="433"/>
      <c r="X304" s="433"/>
      <c r="Y304" s="433"/>
    </row>
    <row r="305" spans="17:25">
      <c r="Q305" s="433"/>
      <c r="R305" s="433"/>
      <c r="S305" s="433"/>
      <c r="T305" s="433"/>
      <c r="U305" s="433"/>
      <c r="V305" s="433"/>
      <c r="W305" s="433"/>
      <c r="X305" s="433"/>
      <c r="Y305" s="433"/>
    </row>
    <row r="306" spans="17:25">
      <c r="Q306" s="433"/>
      <c r="R306" s="433"/>
      <c r="S306" s="433"/>
      <c r="T306" s="433"/>
      <c r="U306" s="433"/>
      <c r="V306" s="433"/>
      <c r="W306" s="433"/>
      <c r="X306" s="433"/>
      <c r="Y306" s="433"/>
    </row>
    <row r="307" spans="17:25">
      <c r="Q307" s="433"/>
      <c r="R307" s="433"/>
      <c r="S307" s="433"/>
      <c r="T307" s="433"/>
      <c r="U307" s="433"/>
      <c r="V307" s="433"/>
      <c r="W307" s="433"/>
      <c r="X307" s="433"/>
      <c r="Y307" s="433"/>
    </row>
    <row r="308" spans="17:25">
      <c r="Q308" s="433"/>
      <c r="R308" s="433"/>
      <c r="S308" s="433"/>
      <c r="T308" s="433"/>
      <c r="U308" s="433"/>
      <c r="V308" s="433"/>
      <c r="W308" s="433"/>
      <c r="X308" s="433"/>
      <c r="Y308" s="433"/>
    </row>
    <row r="309" spans="17:25">
      <c r="Q309" s="433"/>
      <c r="R309" s="433"/>
      <c r="S309" s="433"/>
      <c r="T309" s="433"/>
      <c r="U309" s="433"/>
      <c r="V309" s="433"/>
      <c r="W309" s="433"/>
      <c r="X309" s="433"/>
      <c r="Y309" s="433"/>
    </row>
    <row r="310" spans="17:25">
      <c r="Q310" s="433"/>
      <c r="R310" s="433"/>
      <c r="S310" s="433"/>
      <c r="T310" s="433"/>
      <c r="U310" s="433"/>
      <c r="V310" s="433"/>
      <c r="W310" s="433"/>
      <c r="X310" s="433"/>
      <c r="Y310" s="433"/>
    </row>
    <row r="311" spans="17:25">
      <c r="Q311" s="433"/>
      <c r="R311" s="433"/>
      <c r="S311" s="433"/>
      <c r="T311" s="433"/>
      <c r="U311" s="433"/>
      <c r="V311" s="433"/>
      <c r="W311" s="433"/>
      <c r="X311" s="433"/>
      <c r="Y311" s="433"/>
    </row>
    <row r="312" spans="17:25">
      <c r="Q312" s="433"/>
      <c r="R312" s="433"/>
      <c r="S312" s="433"/>
      <c r="T312" s="433"/>
      <c r="U312" s="433"/>
      <c r="V312" s="433"/>
      <c r="W312" s="433"/>
      <c r="X312" s="433"/>
      <c r="Y312" s="433"/>
    </row>
    <row r="313" spans="17:25">
      <c r="Q313" s="433"/>
      <c r="R313" s="433"/>
      <c r="S313" s="433"/>
      <c r="T313" s="433"/>
      <c r="U313" s="433"/>
      <c r="V313" s="433"/>
      <c r="W313" s="433"/>
      <c r="X313" s="433"/>
      <c r="Y313" s="433"/>
    </row>
    <row r="314" spans="17:25">
      <c r="Q314" s="433"/>
      <c r="R314" s="433"/>
      <c r="S314" s="433"/>
      <c r="T314" s="433"/>
      <c r="U314" s="433"/>
      <c r="V314" s="433"/>
      <c r="W314" s="433"/>
      <c r="X314" s="433"/>
      <c r="Y314" s="433"/>
    </row>
    <row r="315" spans="17:25">
      <c r="Q315" s="433"/>
      <c r="R315" s="433"/>
      <c r="S315" s="433"/>
      <c r="T315" s="433"/>
      <c r="U315" s="433"/>
      <c r="V315" s="433"/>
      <c r="W315" s="433"/>
      <c r="X315" s="433"/>
      <c r="Y315" s="433"/>
    </row>
    <row r="316" spans="17:25">
      <c r="Q316" s="433"/>
      <c r="R316" s="433"/>
      <c r="S316" s="433"/>
      <c r="T316" s="433"/>
      <c r="U316" s="433"/>
      <c r="V316" s="433"/>
      <c r="W316" s="433"/>
      <c r="X316" s="433"/>
      <c r="Y316" s="433"/>
    </row>
    <row r="317" spans="17:25">
      <c r="Q317" s="433"/>
      <c r="R317" s="433"/>
      <c r="S317" s="433"/>
      <c r="T317" s="433"/>
      <c r="U317" s="433"/>
      <c r="V317" s="433"/>
      <c r="W317" s="433"/>
      <c r="X317" s="433"/>
      <c r="Y317" s="433"/>
    </row>
    <row r="318" spans="17:25">
      <c r="Q318" s="433"/>
      <c r="R318" s="433"/>
      <c r="S318" s="433"/>
      <c r="T318" s="433"/>
      <c r="U318" s="433"/>
      <c r="V318" s="433"/>
      <c r="W318" s="433"/>
      <c r="X318" s="433"/>
      <c r="Y318" s="433"/>
    </row>
    <row r="319" spans="17:25">
      <c r="Q319" s="433"/>
      <c r="R319" s="433"/>
      <c r="S319" s="433"/>
      <c r="T319" s="433"/>
      <c r="U319" s="433"/>
      <c r="V319" s="433"/>
      <c r="W319" s="433"/>
      <c r="X319" s="433"/>
      <c r="Y319" s="433"/>
    </row>
    <row r="320" spans="17:25">
      <c r="Q320" s="433"/>
      <c r="R320" s="433"/>
      <c r="S320" s="433"/>
      <c r="T320" s="433"/>
      <c r="U320" s="433"/>
      <c r="V320" s="433"/>
      <c r="W320" s="433"/>
      <c r="X320" s="433"/>
      <c r="Y320" s="433"/>
    </row>
    <row r="321" spans="17:25">
      <c r="Q321" s="433"/>
      <c r="R321" s="433"/>
      <c r="S321" s="433"/>
      <c r="T321" s="433"/>
      <c r="U321" s="433"/>
      <c r="V321" s="433"/>
      <c r="W321" s="433"/>
      <c r="X321" s="433"/>
      <c r="Y321" s="433"/>
    </row>
    <row r="322" spans="17:25">
      <c r="Q322" s="433"/>
      <c r="R322" s="433"/>
      <c r="S322" s="433"/>
      <c r="T322" s="433"/>
      <c r="U322" s="433"/>
      <c r="V322" s="433"/>
      <c r="W322" s="433"/>
      <c r="X322" s="433"/>
      <c r="Y322" s="433"/>
    </row>
    <row r="323" spans="17:25">
      <c r="Q323" s="433"/>
      <c r="R323" s="433"/>
      <c r="S323" s="433"/>
      <c r="T323" s="433"/>
      <c r="U323" s="433"/>
      <c r="V323" s="433"/>
      <c r="W323" s="433"/>
      <c r="X323" s="433"/>
      <c r="Y323" s="433"/>
    </row>
    <row r="324" spans="17:25">
      <c r="Q324" s="433"/>
      <c r="R324" s="433"/>
      <c r="S324" s="433"/>
      <c r="T324" s="433"/>
      <c r="U324" s="433"/>
      <c r="V324" s="433"/>
      <c r="W324" s="433"/>
      <c r="X324" s="433"/>
      <c r="Y324" s="433"/>
    </row>
    <row r="325" spans="17:25">
      <c r="Q325" s="433"/>
      <c r="R325" s="433"/>
      <c r="S325" s="433"/>
      <c r="T325" s="433"/>
      <c r="U325" s="433"/>
      <c r="V325" s="433"/>
      <c r="W325" s="433"/>
      <c r="X325" s="433"/>
      <c r="Y325" s="433"/>
    </row>
    <row r="326" spans="17:25">
      <c r="Q326" s="433"/>
      <c r="R326" s="433"/>
      <c r="S326" s="433"/>
      <c r="T326" s="433"/>
      <c r="U326" s="433"/>
      <c r="V326" s="433"/>
      <c r="W326" s="433"/>
      <c r="X326" s="433"/>
      <c r="Y326" s="433"/>
    </row>
    <row r="327" spans="17:25">
      <c r="Q327" s="433"/>
      <c r="R327" s="433"/>
      <c r="S327" s="433"/>
      <c r="T327" s="433"/>
      <c r="U327" s="433"/>
      <c r="V327" s="433"/>
      <c r="W327" s="433"/>
      <c r="X327" s="433"/>
      <c r="Y327" s="433"/>
    </row>
    <row r="328" spans="17:25">
      <c r="Q328" s="433"/>
      <c r="R328" s="433"/>
      <c r="S328" s="433"/>
      <c r="T328" s="433"/>
      <c r="U328" s="433"/>
      <c r="V328" s="433"/>
      <c r="W328" s="433"/>
      <c r="X328" s="433"/>
      <c r="Y328" s="433"/>
    </row>
    <row r="329" spans="17:25">
      <c r="Q329" s="433"/>
      <c r="R329" s="433"/>
      <c r="S329" s="433"/>
      <c r="T329" s="433"/>
      <c r="U329" s="433"/>
      <c r="V329" s="433"/>
      <c r="W329" s="433"/>
      <c r="X329" s="433"/>
      <c r="Y329" s="433"/>
    </row>
    <row r="330" spans="17:25">
      <c r="Q330" s="433"/>
      <c r="R330" s="433"/>
      <c r="S330" s="433"/>
      <c r="T330" s="433"/>
      <c r="U330" s="433"/>
      <c r="V330" s="433"/>
      <c r="W330" s="433"/>
      <c r="X330" s="433"/>
      <c r="Y330" s="433"/>
    </row>
    <row r="331" spans="17:25">
      <c r="Q331" s="433"/>
      <c r="R331" s="433"/>
      <c r="S331" s="433"/>
      <c r="T331" s="433"/>
      <c r="U331" s="433"/>
      <c r="V331" s="433"/>
      <c r="W331" s="433"/>
      <c r="X331" s="433"/>
      <c r="Y331" s="433"/>
    </row>
    <row r="332" spans="17:25">
      <c r="Q332" s="433"/>
      <c r="R332" s="433"/>
      <c r="S332" s="433"/>
      <c r="T332" s="433"/>
      <c r="U332" s="433"/>
      <c r="V332" s="433"/>
      <c r="W332" s="433"/>
      <c r="X332" s="433"/>
      <c r="Y332" s="433"/>
    </row>
    <row r="333" spans="17:25">
      <c r="Q333" s="433"/>
      <c r="R333" s="433"/>
      <c r="S333" s="433"/>
      <c r="T333" s="433"/>
      <c r="U333" s="433"/>
      <c r="V333" s="433"/>
      <c r="W333" s="433"/>
      <c r="X333" s="433"/>
      <c r="Y333" s="433"/>
    </row>
    <row r="334" spans="17:25">
      <c r="Q334" s="433"/>
      <c r="R334" s="433"/>
      <c r="S334" s="433"/>
      <c r="T334" s="433"/>
      <c r="U334" s="433"/>
      <c r="V334" s="433"/>
      <c r="W334" s="433"/>
      <c r="X334" s="433"/>
      <c r="Y334" s="433"/>
    </row>
    <row r="335" spans="17:25">
      <c r="Q335" s="433"/>
      <c r="R335" s="433"/>
      <c r="S335" s="433"/>
      <c r="T335" s="433"/>
      <c r="U335" s="433"/>
      <c r="V335" s="433"/>
      <c r="W335" s="433"/>
      <c r="X335" s="433"/>
      <c r="Y335" s="433"/>
    </row>
    <row r="336" spans="17:25">
      <c r="Q336" s="433"/>
      <c r="R336" s="433"/>
      <c r="S336" s="433"/>
      <c r="T336" s="433"/>
      <c r="U336" s="433"/>
      <c r="V336" s="433"/>
      <c r="W336" s="433"/>
      <c r="X336" s="433"/>
      <c r="Y336" s="433"/>
    </row>
    <row r="337" spans="17:25">
      <c r="Q337" s="433"/>
      <c r="R337" s="433"/>
      <c r="S337" s="433"/>
      <c r="T337" s="433"/>
      <c r="U337" s="433"/>
      <c r="V337" s="433"/>
      <c r="W337" s="433"/>
      <c r="X337" s="433"/>
      <c r="Y337" s="433"/>
    </row>
    <row r="338" spans="17:25">
      <c r="Q338" s="433"/>
      <c r="R338" s="433"/>
      <c r="S338" s="433"/>
      <c r="T338" s="433"/>
      <c r="U338" s="433"/>
      <c r="V338" s="433"/>
      <c r="W338" s="433"/>
      <c r="X338" s="433"/>
      <c r="Y338" s="433"/>
    </row>
    <row r="339" spans="17:25">
      <c r="Q339" s="433"/>
      <c r="R339" s="433"/>
      <c r="S339" s="433"/>
      <c r="T339" s="433"/>
      <c r="U339" s="433"/>
      <c r="V339" s="433"/>
      <c r="W339" s="433"/>
      <c r="X339" s="433"/>
      <c r="Y339" s="433"/>
    </row>
    <row r="340" spans="17:25">
      <c r="Q340" s="433"/>
      <c r="R340" s="433"/>
      <c r="S340" s="433"/>
      <c r="T340" s="433"/>
      <c r="U340" s="433"/>
      <c r="V340" s="433"/>
      <c r="W340" s="433"/>
      <c r="X340" s="433"/>
      <c r="Y340" s="433"/>
    </row>
    <row r="341" spans="17:25">
      <c r="Q341" s="433"/>
      <c r="R341" s="433"/>
      <c r="S341" s="433"/>
      <c r="T341" s="433"/>
      <c r="U341" s="433"/>
      <c r="V341" s="433"/>
      <c r="W341" s="433"/>
      <c r="X341" s="433"/>
      <c r="Y341" s="433"/>
    </row>
    <row r="342" spans="17:25">
      <c r="Q342" s="433"/>
      <c r="R342" s="433"/>
      <c r="S342" s="433"/>
      <c r="T342" s="433"/>
      <c r="U342" s="433"/>
      <c r="V342" s="433"/>
      <c r="W342" s="433"/>
      <c r="X342" s="433"/>
      <c r="Y342" s="433"/>
    </row>
    <row r="343" spans="17:25">
      <c r="Q343" s="433"/>
      <c r="R343" s="433"/>
      <c r="S343" s="433"/>
      <c r="T343" s="433"/>
      <c r="U343" s="433"/>
      <c r="V343" s="433"/>
      <c r="W343" s="433"/>
      <c r="X343" s="433"/>
      <c r="Y343" s="433"/>
    </row>
    <row r="344" spans="17:25">
      <c r="Q344" s="433"/>
      <c r="R344" s="433"/>
      <c r="S344" s="433"/>
      <c r="T344" s="433"/>
      <c r="U344" s="433"/>
      <c r="V344" s="433"/>
      <c r="W344" s="433"/>
      <c r="X344" s="433"/>
      <c r="Y344" s="433"/>
    </row>
    <row r="345" spans="17:25">
      <c r="Q345" s="433"/>
      <c r="R345" s="433"/>
      <c r="S345" s="433"/>
      <c r="T345" s="433"/>
      <c r="U345" s="433"/>
      <c r="V345" s="433"/>
      <c r="W345" s="433"/>
      <c r="X345" s="433"/>
      <c r="Y345" s="433"/>
    </row>
    <row r="346" spans="17:25">
      <c r="Q346" s="433"/>
      <c r="R346" s="433"/>
      <c r="S346" s="433"/>
      <c r="T346" s="433"/>
      <c r="U346" s="433"/>
      <c r="V346" s="433"/>
      <c r="W346" s="433"/>
      <c r="X346" s="433"/>
      <c r="Y346" s="433"/>
    </row>
    <row r="347" spans="17:25">
      <c r="Q347" s="433"/>
      <c r="R347" s="433"/>
      <c r="S347" s="433"/>
      <c r="T347" s="433"/>
      <c r="U347" s="433"/>
      <c r="V347" s="433"/>
      <c r="W347" s="433"/>
      <c r="X347" s="433"/>
      <c r="Y347" s="433"/>
    </row>
    <row r="348" spans="17:25">
      <c r="Q348" s="433"/>
      <c r="R348" s="433"/>
      <c r="S348" s="433"/>
      <c r="T348" s="433"/>
      <c r="U348" s="433"/>
      <c r="V348" s="433"/>
      <c r="W348" s="433"/>
      <c r="X348" s="433"/>
      <c r="Y348" s="433"/>
    </row>
    <row r="349" spans="17:25">
      <c r="Q349" s="433"/>
      <c r="R349" s="433"/>
      <c r="S349" s="433"/>
      <c r="T349" s="433"/>
      <c r="U349" s="433"/>
      <c r="V349" s="433"/>
      <c r="W349" s="433"/>
      <c r="X349" s="433"/>
      <c r="Y349" s="433"/>
    </row>
    <row r="350" spans="17:25">
      <c r="Q350" s="433"/>
      <c r="R350" s="433"/>
      <c r="S350" s="433"/>
      <c r="T350" s="433"/>
      <c r="U350" s="433"/>
      <c r="V350" s="433"/>
      <c r="W350" s="433"/>
      <c r="X350" s="433"/>
      <c r="Y350" s="433"/>
    </row>
    <row r="351" spans="17:25">
      <c r="Q351" s="433"/>
      <c r="R351" s="433"/>
      <c r="S351" s="433"/>
      <c r="T351" s="433"/>
      <c r="U351" s="433"/>
      <c r="V351" s="433"/>
      <c r="W351" s="433"/>
      <c r="X351" s="433"/>
      <c r="Y351" s="433"/>
    </row>
    <row r="352" spans="17:25">
      <c r="Q352" s="433"/>
      <c r="R352" s="433"/>
      <c r="S352" s="433"/>
      <c r="T352" s="433"/>
      <c r="U352" s="433"/>
      <c r="V352" s="433"/>
      <c r="W352" s="433"/>
      <c r="X352" s="433"/>
      <c r="Y352" s="433"/>
    </row>
    <row r="353" spans="17:25">
      <c r="Q353" s="433"/>
      <c r="R353" s="433"/>
      <c r="S353" s="433"/>
      <c r="T353" s="433"/>
      <c r="U353" s="433"/>
      <c r="V353" s="433"/>
      <c r="W353" s="433"/>
      <c r="X353" s="433"/>
      <c r="Y353" s="433"/>
    </row>
    <row r="354" spans="17:25">
      <c r="Q354" s="433"/>
      <c r="R354" s="433"/>
      <c r="S354" s="433"/>
      <c r="T354" s="433"/>
      <c r="U354" s="433"/>
      <c r="V354" s="433"/>
      <c r="W354" s="433"/>
      <c r="X354" s="433"/>
      <c r="Y354" s="433"/>
    </row>
    <row r="355" spans="17:25">
      <c r="Q355" s="433"/>
      <c r="R355" s="433"/>
      <c r="S355" s="433"/>
      <c r="T355" s="433"/>
      <c r="U355" s="433"/>
      <c r="V355" s="433"/>
      <c r="W355" s="433"/>
      <c r="X355" s="433"/>
      <c r="Y355" s="433"/>
    </row>
    <row r="356" spans="17:25">
      <c r="Q356" s="433"/>
      <c r="R356" s="433"/>
      <c r="S356" s="433"/>
      <c r="T356" s="433"/>
      <c r="U356" s="433"/>
      <c r="V356" s="433"/>
      <c r="W356" s="433"/>
      <c r="X356" s="433"/>
      <c r="Y356" s="433"/>
    </row>
    <row r="357" spans="17:25">
      <c r="Q357" s="433"/>
      <c r="R357" s="433"/>
      <c r="S357" s="433"/>
      <c r="T357" s="433"/>
      <c r="U357" s="433"/>
      <c r="V357" s="433"/>
      <c r="W357" s="433"/>
      <c r="X357" s="433"/>
      <c r="Y357" s="433"/>
    </row>
    <row r="358" spans="17:25">
      <c r="Q358" s="433"/>
      <c r="R358" s="433"/>
      <c r="S358" s="433"/>
      <c r="T358" s="433"/>
      <c r="U358" s="433"/>
      <c r="V358" s="433"/>
      <c r="W358" s="433"/>
      <c r="X358" s="433"/>
      <c r="Y358" s="433"/>
    </row>
    <row r="359" spans="17:25">
      <c r="Q359" s="433"/>
      <c r="R359" s="433"/>
      <c r="S359" s="433"/>
      <c r="T359" s="433"/>
      <c r="U359" s="433"/>
      <c r="V359" s="433"/>
      <c r="W359" s="433"/>
      <c r="X359" s="433"/>
      <c r="Y359" s="433"/>
    </row>
    <row r="360" spans="17:25">
      <c r="Q360" s="433"/>
      <c r="R360" s="433"/>
      <c r="S360" s="433"/>
      <c r="T360" s="433"/>
      <c r="U360" s="433"/>
      <c r="V360" s="433"/>
      <c r="W360" s="433"/>
      <c r="X360" s="433"/>
      <c r="Y360" s="433"/>
    </row>
    <row r="361" spans="17:25">
      <c r="Q361" s="433"/>
      <c r="R361" s="433"/>
      <c r="S361" s="433"/>
      <c r="T361" s="433"/>
      <c r="U361" s="433"/>
      <c r="V361" s="433"/>
      <c r="W361" s="433"/>
      <c r="X361" s="433"/>
      <c r="Y361" s="433"/>
    </row>
    <row r="362" spans="17:25">
      <c r="Q362" s="433"/>
      <c r="R362" s="433"/>
      <c r="S362" s="433"/>
      <c r="T362" s="433"/>
      <c r="U362" s="433"/>
      <c r="V362" s="433"/>
      <c r="W362" s="433"/>
      <c r="X362" s="433"/>
      <c r="Y362" s="433"/>
    </row>
    <row r="363" spans="17:25">
      <c r="Q363" s="433"/>
      <c r="R363" s="433"/>
      <c r="S363" s="433"/>
      <c r="T363" s="433"/>
      <c r="U363" s="433"/>
      <c r="V363" s="433"/>
      <c r="W363" s="433"/>
      <c r="X363" s="433"/>
      <c r="Y363" s="433"/>
    </row>
    <row r="364" spans="17:25">
      <c r="Q364" s="433"/>
      <c r="R364" s="433"/>
      <c r="S364" s="433"/>
      <c r="T364" s="433"/>
      <c r="U364" s="433"/>
      <c r="V364" s="433"/>
      <c r="W364" s="433"/>
      <c r="X364" s="433"/>
      <c r="Y364" s="433"/>
    </row>
    <row r="365" spans="17:25">
      <c r="Q365" s="433"/>
      <c r="R365" s="433"/>
      <c r="S365" s="433"/>
      <c r="T365" s="433"/>
      <c r="U365" s="433"/>
      <c r="V365" s="433"/>
      <c r="W365" s="433"/>
      <c r="X365" s="433"/>
      <c r="Y365" s="433"/>
    </row>
    <row r="366" spans="17:25">
      <c r="Q366" s="433"/>
      <c r="R366" s="433"/>
      <c r="S366" s="433"/>
      <c r="T366" s="433"/>
      <c r="U366" s="433"/>
      <c r="V366" s="433"/>
      <c r="W366" s="433"/>
      <c r="X366" s="433"/>
      <c r="Y366" s="433"/>
    </row>
    <row r="367" spans="17:25">
      <c r="Q367" s="433"/>
      <c r="R367" s="433"/>
      <c r="S367" s="433"/>
      <c r="T367" s="433"/>
      <c r="U367" s="433"/>
      <c r="V367" s="433"/>
      <c r="W367" s="433"/>
      <c r="X367" s="433"/>
      <c r="Y367" s="433"/>
    </row>
    <row r="368" spans="17:25">
      <c r="Q368" s="433"/>
      <c r="R368" s="433"/>
      <c r="S368" s="433"/>
      <c r="T368" s="433"/>
      <c r="U368" s="433"/>
      <c r="V368" s="433"/>
      <c r="W368" s="433"/>
      <c r="X368" s="433"/>
      <c r="Y368" s="433"/>
    </row>
    <row r="369" spans="17:25">
      <c r="Q369" s="433"/>
      <c r="R369" s="433"/>
      <c r="S369" s="433"/>
      <c r="T369" s="433"/>
      <c r="U369" s="433"/>
      <c r="V369" s="433"/>
      <c r="W369" s="433"/>
      <c r="X369" s="433"/>
      <c r="Y369" s="433"/>
    </row>
    <row r="370" spans="17:25">
      <c r="Q370" s="433"/>
      <c r="R370" s="433"/>
      <c r="S370" s="433"/>
      <c r="T370" s="433"/>
      <c r="U370" s="433"/>
      <c r="V370" s="433"/>
      <c r="W370" s="433"/>
      <c r="X370" s="433"/>
      <c r="Y370" s="433"/>
    </row>
    <row r="371" spans="17:25">
      <c r="Q371" s="433"/>
      <c r="R371" s="433"/>
      <c r="S371" s="433"/>
      <c r="T371" s="433"/>
      <c r="U371" s="433"/>
      <c r="V371" s="433"/>
      <c r="W371" s="433"/>
      <c r="X371" s="433"/>
      <c r="Y371" s="433"/>
    </row>
    <row r="372" spans="17:25">
      <c r="Q372" s="433"/>
      <c r="R372" s="433"/>
      <c r="S372" s="433"/>
      <c r="T372" s="433"/>
      <c r="U372" s="433"/>
      <c r="V372" s="433"/>
      <c r="W372" s="433"/>
      <c r="X372" s="433"/>
      <c r="Y372" s="433"/>
    </row>
    <row r="373" spans="17:25">
      <c r="Q373" s="433"/>
      <c r="R373" s="433"/>
      <c r="S373" s="433"/>
      <c r="T373" s="433"/>
      <c r="U373" s="433"/>
      <c r="V373" s="433"/>
      <c r="W373" s="433"/>
      <c r="X373" s="433"/>
      <c r="Y373" s="433"/>
    </row>
    <row r="374" spans="17:25">
      <c r="Q374" s="433"/>
      <c r="R374" s="433"/>
      <c r="S374" s="433"/>
      <c r="T374" s="433"/>
      <c r="U374" s="433"/>
      <c r="V374" s="433"/>
      <c r="W374" s="433"/>
      <c r="X374" s="433"/>
      <c r="Y374" s="433"/>
    </row>
    <row r="375" spans="17:25">
      <c r="Q375" s="433"/>
      <c r="R375" s="433"/>
      <c r="S375" s="433"/>
      <c r="T375" s="433"/>
      <c r="U375" s="433"/>
      <c r="V375" s="433"/>
      <c r="W375" s="433"/>
      <c r="X375" s="433"/>
      <c r="Y375" s="433"/>
    </row>
    <row r="376" spans="17:25">
      <c r="Q376" s="433"/>
      <c r="R376" s="433"/>
      <c r="S376" s="433"/>
      <c r="T376" s="433"/>
      <c r="U376" s="433"/>
      <c r="V376" s="433"/>
      <c r="W376" s="433"/>
      <c r="X376" s="433"/>
      <c r="Y376" s="433"/>
    </row>
    <row r="377" spans="17:25">
      <c r="Q377" s="433"/>
      <c r="R377" s="433"/>
      <c r="S377" s="433"/>
      <c r="T377" s="433"/>
      <c r="U377" s="433"/>
      <c r="V377" s="433"/>
      <c r="W377" s="433"/>
      <c r="X377" s="433"/>
      <c r="Y377" s="433"/>
    </row>
    <row r="378" spans="17:25">
      <c r="Q378" s="433"/>
      <c r="R378" s="433"/>
      <c r="S378" s="433"/>
      <c r="T378" s="433"/>
      <c r="U378" s="433"/>
      <c r="V378" s="433"/>
      <c r="W378" s="433"/>
      <c r="X378" s="433"/>
      <c r="Y378" s="433"/>
    </row>
    <row r="379" spans="17:25">
      <c r="Q379" s="433"/>
      <c r="R379" s="433"/>
      <c r="S379" s="433"/>
      <c r="T379" s="433"/>
      <c r="U379" s="433"/>
      <c r="V379" s="433"/>
      <c r="W379" s="433"/>
      <c r="X379" s="433"/>
      <c r="Y379" s="433"/>
    </row>
    <row r="380" spans="17:25">
      <c r="Q380" s="433"/>
      <c r="R380" s="433"/>
      <c r="S380" s="433"/>
      <c r="T380" s="433"/>
      <c r="U380" s="433"/>
      <c r="V380" s="433"/>
      <c r="W380" s="433"/>
      <c r="X380" s="433"/>
      <c r="Y380" s="433"/>
    </row>
    <row r="381" spans="17:25">
      <c r="Q381" s="433"/>
      <c r="R381" s="433"/>
      <c r="S381" s="433"/>
      <c r="T381" s="433"/>
      <c r="U381" s="433"/>
      <c r="V381" s="433"/>
      <c r="W381" s="433"/>
      <c r="X381" s="433"/>
      <c r="Y381" s="433"/>
    </row>
    <row r="382" spans="17:25">
      <c r="Q382" s="433"/>
      <c r="R382" s="433"/>
      <c r="S382" s="433"/>
      <c r="T382" s="433"/>
      <c r="U382" s="433"/>
      <c r="V382" s="433"/>
      <c r="W382" s="433"/>
      <c r="X382" s="433"/>
      <c r="Y382" s="433"/>
    </row>
    <row r="383" spans="17:25">
      <c r="Q383" s="433"/>
      <c r="R383" s="433"/>
      <c r="S383" s="433"/>
      <c r="T383" s="433"/>
      <c r="U383" s="433"/>
      <c r="V383" s="433"/>
      <c r="W383" s="433"/>
      <c r="X383" s="433"/>
      <c r="Y383" s="433"/>
    </row>
    <row r="384" spans="17:25">
      <c r="Q384" s="433"/>
      <c r="R384" s="433"/>
      <c r="S384" s="433"/>
      <c r="T384" s="433"/>
      <c r="U384" s="433"/>
      <c r="V384" s="433"/>
      <c r="W384" s="433"/>
      <c r="X384" s="433"/>
      <c r="Y384" s="433"/>
    </row>
    <row r="385" spans="17:25">
      <c r="Q385" s="433"/>
      <c r="R385" s="433"/>
      <c r="S385" s="433"/>
      <c r="T385" s="433"/>
      <c r="U385" s="433"/>
      <c r="V385" s="433"/>
      <c r="W385" s="433"/>
      <c r="X385" s="433"/>
      <c r="Y385" s="433"/>
    </row>
    <row r="386" spans="17:25">
      <c r="Q386" s="433"/>
      <c r="R386" s="433"/>
      <c r="S386" s="433"/>
      <c r="T386" s="433"/>
      <c r="U386" s="433"/>
      <c r="V386" s="433"/>
      <c r="W386" s="433"/>
      <c r="X386" s="433"/>
      <c r="Y386" s="433"/>
    </row>
    <row r="387" spans="17:25">
      <c r="Q387" s="433"/>
      <c r="R387" s="433"/>
      <c r="S387" s="433"/>
      <c r="T387" s="433"/>
      <c r="U387" s="433"/>
      <c r="V387" s="433"/>
      <c r="W387" s="433"/>
      <c r="X387" s="433"/>
      <c r="Y387" s="433"/>
    </row>
    <row r="388" spans="17:25">
      <c r="Q388" s="433"/>
      <c r="R388" s="433"/>
      <c r="S388" s="433"/>
      <c r="T388" s="433"/>
      <c r="U388" s="433"/>
      <c r="V388" s="433"/>
      <c r="W388" s="433"/>
      <c r="X388" s="433"/>
      <c r="Y388" s="433"/>
    </row>
    <row r="389" spans="17:25">
      <c r="Q389" s="433"/>
      <c r="R389" s="433"/>
      <c r="S389" s="433"/>
      <c r="T389" s="433"/>
      <c r="U389" s="433"/>
      <c r="V389" s="433"/>
      <c r="W389" s="433"/>
      <c r="X389" s="433"/>
      <c r="Y389" s="433"/>
    </row>
  </sheetData>
  <mergeCells count="25">
    <mergeCell ref="AR6:AZ6"/>
    <mergeCell ref="AU7:AX7"/>
    <mergeCell ref="AY7:BB7"/>
    <mergeCell ref="D6:G6"/>
    <mergeCell ref="H6:L6"/>
    <mergeCell ref="M6:P6"/>
    <mergeCell ref="Z6:AJ6"/>
    <mergeCell ref="AK6:AN6"/>
    <mergeCell ref="AI7:AL7"/>
    <mergeCell ref="AM7:AP7"/>
    <mergeCell ref="AQ7:AT7"/>
    <mergeCell ref="Q9:Y9"/>
    <mergeCell ref="AP9:AQ9"/>
    <mergeCell ref="Z7:AC7"/>
    <mergeCell ref="AD7:AH7"/>
    <mergeCell ref="D7:G7"/>
    <mergeCell ref="H7:L7"/>
    <mergeCell ref="M7:P7"/>
    <mergeCell ref="Q7:T7"/>
    <mergeCell ref="U7:Y7"/>
    <mergeCell ref="A1:B1"/>
    <mergeCell ref="A2:B2"/>
    <mergeCell ref="A7:A8"/>
    <mergeCell ref="B7:B8"/>
    <mergeCell ref="C7:C8"/>
  </mergeCells>
  <dataValidations count="1">
    <dataValidation type="list" allowBlank="1" showInputMessage="1" showErrorMessage="1" sqref="C10:C12 C14:C16 C18:C20 C22:C24 C26:C28" xr:uid="{F3424C13-E501-4652-BE4C-DC27FB7323E8}">
      <formula1>$B$164:$B$167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/>
  <dimension ref="A1:AU26"/>
  <sheetViews>
    <sheetView zoomScale="90" zoomScaleNormal="90" workbookViewId="0">
      <selection activeCell="E6" sqref="E6"/>
    </sheetView>
  </sheetViews>
  <sheetFormatPr baseColWidth="10" defaultColWidth="7.7265625" defaultRowHeight="14"/>
  <cols>
    <col min="1" max="1" width="14.7265625" style="353" bestFit="1" customWidth="1"/>
    <col min="2" max="2" width="30.08984375" style="353" bestFit="1" customWidth="1"/>
    <col min="3" max="3" width="8.81640625" style="353" bestFit="1" customWidth="1"/>
    <col min="4" max="4" width="15.36328125" style="353" bestFit="1" customWidth="1"/>
    <col min="5" max="5" width="9.26953125" style="353" bestFit="1" customWidth="1"/>
    <col min="6" max="7" width="12.1796875" style="353" bestFit="1" customWidth="1"/>
    <col min="8" max="8" width="11.453125" style="353" customWidth="1"/>
    <col min="9" max="9" width="17" style="367" bestFit="1" customWidth="1"/>
    <col min="10" max="10" width="12.1796875" style="367" bestFit="1" customWidth="1"/>
    <col min="11" max="11" width="17" style="367" bestFit="1" customWidth="1"/>
    <col min="12" max="29" width="11.453125" style="367" customWidth="1"/>
    <col min="30" max="47" width="11.453125" style="355" customWidth="1"/>
    <col min="48" max="16384" width="7.7265625" style="355"/>
  </cols>
  <sheetData>
    <row r="1" spans="1:47">
      <c r="A1" s="353" t="s">
        <v>289</v>
      </c>
      <c r="B1" s="353" t="s">
        <v>2</v>
      </c>
      <c r="C1" s="353" t="s">
        <v>290</v>
      </c>
      <c r="D1" s="353" t="s">
        <v>287</v>
      </c>
      <c r="E1" s="353" t="s">
        <v>288</v>
      </c>
      <c r="F1" s="353" t="s">
        <v>145</v>
      </c>
      <c r="G1" s="353" t="s">
        <v>272</v>
      </c>
      <c r="I1" s="368">
        <v>43490</v>
      </c>
      <c r="J1" s="368">
        <v>43491</v>
      </c>
      <c r="K1" s="368">
        <v>43492</v>
      </c>
      <c r="L1" s="368">
        <v>43493</v>
      </c>
      <c r="M1" s="368">
        <v>43494</v>
      </c>
      <c r="N1" s="368">
        <v>43495</v>
      </c>
      <c r="O1" s="368">
        <v>43496</v>
      </c>
      <c r="P1" s="368">
        <v>43497</v>
      </c>
      <c r="Q1" s="368">
        <v>43498</v>
      </c>
      <c r="R1" s="368">
        <v>43499</v>
      </c>
      <c r="S1" s="368">
        <v>43500</v>
      </c>
      <c r="T1" s="368">
        <v>43501</v>
      </c>
      <c r="U1" s="368">
        <v>43502</v>
      </c>
      <c r="V1" s="368">
        <v>43503</v>
      </c>
      <c r="W1" s="368">
        <v>43504</v>
      </c>
      <c r="X1" s="368">
        <v>43505</v>
      </c>
      <c r="Y1" s="368">
        <v>43506</v>
      </c>
      <c r="Z1" s="368">
        <v>43507</v>
      </c>
      <c r="AA1" s="368">
        <v>43508</v>
      </c>
      <c r="AB1" s="368"/>
      <c r="AC1" s="368"/>
      <c r="AD1" s="354"/>
      <c r="AE1" s="354"/>
      <c r="AF1" s="354"/>
      <c r="AG1" s="354"/>
      <c r="AH1" s="354"/>
      <c r="AI1" s="354"/>
      <c r="AJ1" s="354"/>
      <c r="AK1" s="354"/>
      <c r="AL1" s="354"/>
      <c r="AM1" s="354"/>
      <c r="AN1" s="354"/>
      <c r="AO1" s="354"/>
      <c r="AP1" s="354"/>
      <c r="AQ1" s="354"/>
      <c r="AR1" s="354"/>
      <c r="AS1" s="354"/>
      <c r="AT1" s="354"/>
      <c r="AU1" s="354"/>
    </row>
    <row r="2" spans="1:47">
      <c r="A2" s="353">
        <v>1</v>
      </c>
      <c r="B2" s="356" t="s">
        <v>291</v>
      </c>
      <c r="C2" s="353">
        <v>1</v>
      </c>
      <c r="E2" s="353">
        <v>0</v>
      </c>
      <c r="F2" s="357">
        <f>B23</f>
        <v>43490</v>
      </c>
      <c r="G2" s="357">
        <f>F2+C2-1</f>
        <v>43490</v>
      </c>
      <c r="I2" s="366" t="s">
        <v>291</v>
      </c>
    </row>
    <row r="3" spans="1:47">
      <c r="A3" s="353">
        <v>2</v>
      </c>
      <c r="B3" s="356" t="s">
        <v>292</v>
      </c>
      <c r="C3" s="353">
        <v>1</v>
      </c>
      <c r="D3" s="353">
        <v>1</v>
      </c>
      <c r="E3" s="353">
        <v>0</v>
      </c>
      <c r="F3" s="357">
        <f>INDEX(tblPlan[Fin],MATCH(tblPlan[[#This Row],[Prédecesseur]],tblPlan[Numéro],0),1)+1+tblPlan[[#This Row],[Retard]]</f>
        <v>43491</v>
      </c>
      <c r="G3" s="357">
        <f t="shared" ref="G3:G12" si="0">F3+C3-1</f>
        <v>43491</v>
      </c>
      <c r="J3" s="366" t="s">
        <v>292</v>
      </c>
    </row>
    <row r="4" spans="1:47">
      <c r="A4" s="353">
        <v>3</v>
      </c>
      <c r="B4" s="356" t="s">
        <v>293</v>
      </c>
      <c r="C4" s="353">
        <v>1</v>
      </c>
      <c r="D4" s="353">
        <v>2</v>
      </c>
      <c r="E4" s="353">
        <v>0</v>
      </c>
      <c r="F4" s="357">
        <f>INDEX(tblPlan[Fin],MATCH(tblPlan[[#This Row],[Prédecesseur]],tblPlan[Numéro],0),1)+1+tblPlan[[#This Row],[Retard]]</f>
        <v>43492</v>
      </c>
      <c r="G4" s="357">
        <f t="shared" si="0"/>
        <v>43492</v>
      </c>
      <c r="K4" s="366" t="s">
        <v>293</v>
      </c>
    </row>
    <row r="5" spans="1:47">
      <c r="A5" s="353">
        <v>4</v>
      </c>
      <c r="B5" s="356" t="s">
        <v>294</v>
      </c>
      <c r="C5" s="353">
        <v>7</v>
      </c>
      <c r="D5" s="353">
        <v>3</v>
      </c>
      <c r="E5" s="353">
        <v>0</v>
      </c>
      <c r="F5" s="357">
        <f>INDEX(tblPlan[Fin],MATCH(tblPlan[[#This Row],[Prédecesseur]],tblPlan[Numéro],0),1)+1+tblPlan[[#This Row],[Retard]]</f>
        <v>43493</v>
      </c>
      <c r="G5" s="357">
        <f t="shared" si="0"/>
        <v>43499</v>
      </c>
      <c r="L5" s="366" t="s">
        <v>294</v>
      </c>
      <c r="M5" s="366"/>
      <c r="N5" s="366"/>
      <c r="O5" s="366"/>
      <c r="P5" s="366"/>
      <c r="Q5" s="366"/>
      <c r="R5" s="366"/>
    </row>
    <row r="6" spans="1:47">
      <c r="A6" s="353">
        <v>5</v>
      </c>
      <c r="B6" s="356" t="s">
        <v>295</v>
      </c>
      <c r="C6" s="353">
        <v>1</v>
      </c>
      <c r="D6" s="353">
        <v>3</v>
      </c>
      <c r="E6" s="353">
        <v>0</v>
      </c>
      <c r="F6" s="357">
        <f>INDEX(tblPlan[Fin],MATCH(tblPlan[[#This Row],[Prédecesseur]],tblPlan[Numéro],0),1)+1+tblPlan[[#This Row],[Retard]]</f>
        <v>43493</v>
      </c>
      <c r="G6" s="357">
        <f t="shared" si="0"/>
        <v>43493</v>
      </c>
      <c r="L6" s="366" t="s">
        <v>295</v>
      </c>
      <c r="AB6" s="365"/>
    </row>
    <row r="7" spans="1:47">
      <c r="A7" s="353">
        <v>6</v>
      </c>
      <c r="B7" s="356" t="s">
        <v>296</v>
      </c>
      <c r="C7" s="353">
        <v>7</v>
      </c>
      <c r="D7" s="353">
        <v>5</v>
      </c>
      <c r="E7" s="353">
        <v>0</v>
      </c>
      <c r="F7" s="357">
        <f>INDEX(tblPlan[Fin],MATCH(tblPlan[[#This Row],[Prédecesseur]],tblPlan[Numéro],0),1)+1+tblPlan[[#This Row],[Retard]]</f>
        <v>43494</v>
      </c>
      <c r="G7" s="357">
        <f t="shared" si="0"/>
        <v>43500</v>
      </c>
      <c r="M7" s="366" t="s">
        <v>296</v>
      </c>
      <c r="N7" s="366"/>
      <c r="O7" s="366"/>
      <c r="P7" s="366"/>
      <c r="Q7" s="366"/>
      <c r="R7" s="366"/>
      <c r="S7" s="366"/>
      <c r="X7" s="365"/>
      <c r="Y7" s="365"/>
      <c r="AB7" s="365"/>
      <c r="AC7" s="365"/>
      <c r="AD7" s="354"/>
      <c r="AE7" s="354"/>
      <c r="AF7" s="354"/>
      <c r="AG7" s="354"/>
    </row>
    <row r="8" spans="1:47">
      <c r="A8" s="353">
        <v>7</v>
      </c>
      <c r="B8" s="356" t="s">
        <v>297</v>
      </c>
      <c r="C8" s="353">
        <v>3</v>
      </c>
      <c r="D8" s="353">
        <v>3</v>
      </c>
      <c r="E8" s="353">
        <v>0</v>
      </c>
      <c r="F8" s="357">
        <f>INDEX(tblPlan[Fin],MATCH(tblPlan[[#This Row],[Prédecesseur]],tblPlan[Numéro],0),1)+1+tblPlan[[#This Row],[Retard]]</f>
        <v>43493</v>
      </c>
      <c r="G8" s="357">
        <f t="shared" si="0"/>
        <v>43495</v>
      </c>
      <c r="L8" s="366" t="s">
        <v>297</v>
      </c>
      <c r="M8" s="366"/>
      <c r="N8" s="366"/>
      <c r="Y8" s="365"/>
      <c r="Z8" s="365"/>
      <c r="AA8" s="365"/>
    </row>
    <row r="9" spans="1:47">
      <c r="A9" s="353">
        <v>8</v>
      </c>
      <c r="B9" s="356" t="s">
        <v>298</v>
      </c>
      <c r="C9" s="353">
        <v>2</v>
      </c>
      <c r="D9" s="353">
        <v>7</v>
      </c>
      <c r="E9" s="353">
        <v>0</v>
      </c>
      <c r="F9" s="357">
        <f>INDEX(tblPlan[Fin],MATCH(tblPlan[[#This Row],[Prédecesseur]],tblPlan[Numéro],0),1)+1+tblPlan[[#This Row],[Retard]]</f>
        <v>43496</v>
      </c>
      <c r="G9" s="357">
        <f t="shared" si="0"/>
        <v>43497</v>
      </c>
      <c r="O9" s="366" t="s">
        <v>298</v>
      </c>
      <c r="P9" s="366"/>
      <c r="Z9" s="365"/>
      <c r="AA9" s="365"/>
      <c r="AH9" s="354"/>
      <c r="AI9" s="354"/>
      <c r="AJ9" s="354"/>
      <c r="AK9" s="354"/>
    </row>
    <row r="10" spans="1:47">
      <c r="A10" s="353">
        <v>9</v>
      </c>
      <c r="B10" s="356" t="s">
        <v>299</v>
      </c>
      <c r="C10" s="353">
        <v>2</v>
      </c>
      <c r="D10" s="353">
        <v>8</v>
      </c>
      <c r="E10" s="353">
        <v>0</v>
      </c>
      <c r="F10" s="357">
        <f>INDEX(tblPlan[Fin],MATCH(tblPlan[[#This Row],[Prédecesseur]],tblPlan[Numéro],0),1)+1+tblPlan[[#This Row],[Retard]]</f>
        <v>43498</v>
      </c>
      <c r="G10" s="357">
        <f t="shared" si="0"/>
        <v>43499</v>
      </c>
      <c r="Q10" s="366" t="s">
        <v>299</v>
      </c>
      <c r="R10" s="366"/>
      <c r="AB10" s="365"/>
      <c r="AC10" s="365"/>
      <c r="AL10" s="354"/>
      <c r="AM10" s="354"/>
    </row>
    <row r="11" spans="1:47">
      <c r="A11" s="353">
        <v>10</v>
      </c>
      <c r="B11" s="356" t="s">
        <v>300</v>
      </c>
      <c r="C11" s="353">
        <v>5</v>
      </c>
      <c r="D11" s="353">
        <v>9</v>
      </c>
      <c r="E11" s="353">
        <v>0</v>
      </c>
      <c r="F11" s="357">
        <f>INDEX(tblPlan[Fin],MATCH(tblPlan[[#This Row],[Prédecesseur]],tblPlan[Numéro],0),1)+1+tblPlan[[#This Row],[Retard]]</f>
        <v>43500</v>
      </c>
      <c r="G11" s="357">
        <f t="shared" si="0"/>
        <v>43504</v>
      </c>
      <c r="S11" s="366" t="s">
        <v>300</v>
      </c>
      <c r="T11" s="366"/>
      <c r="U11" s="366"/>
      <c r="V11" s="366"/>
      <c r="W11" s="366"/>
      <c r="AD11" s="354"/>
      <c r="AN11" s="354"/>
      <c r="AO11" s="354"/>
      <c r="AP11" s="354"/>
      <c r="AQ11" s="354"/>
      <c r="AR11" s="354"/>
    </row>
    <row r="12" spans="1:47">
      <c r="A12" s="353">
        <v>11</v>
      </c>
      <c r="B12" s="356" t="s">
        <v>301</v>
      </c>
      <c r="C12" s="353">
        <v>4</v>
      </c>
      <c r="D12" s="353">
        <v>10</v>
      </c>
      <c r="E12" s="353">
        <v>0</v>
      </c>
      <c r="F12" s="357">
        <f>INDEX(tblPlan[Fin],MATCH(tblPlan[[#This Row],[Prédecesseur]],tblPlan[Numéro],0),1)+1+tblPlan[[#This Row],[Retard]]</f>
        <v>43505</v>
      </c>
      <c r="G12" s="357">
        <f t="shared" si="0"/>
        <v>43508</v>
      </c>
      <c r="X12" s="366" t="s">
        <v>301</v>
      </c>
      <c r="Y12" s="366"/>
      <c r="Z12" s="366"/>
      <c r="AA12" s="366"/>
      <c r="AD12" s="354"/>
      <c r="AE12" s="354"/>
      <c r="AF12" s="354"/>
      <c r="AR12" s="354"/>
      <c r="AS12" s="354"/>
      <c r="AT12" s="354"/>
      <c r="AU12" s="354"/>
    </row>
    <row r="20" spans="1:3">
      <c r="A20" s="506" t="s">
        <v>302</v>
      </c>
      <c r="B20" s="506"/>
      <c r="C20" s="358"/>
    </row>
    <row r="21" spans="1:3">
      <c r="A21" s="359" t="s">
        <v>303</v>
      </c>
      <c r="B21" s="360" t="s">
        <v>304</v>
      </c>
    </row>
    <row r="22" spans="1:3">
      <c r="A22" s="359" t="s">
        <v>305</v>
      </c>
      <c r="B22" s="361" t="s">
        <v>27</v>
      </c>
    </row>
    <row r="23" spans="1:3">
      <c r="A23" s="359" t="s">
        <v>306</v>
      </c>
      <c r="B23" s="362">
        <v>43490</v>
      </c>
    </row>
    <row r="24" spans="1:3">
      <c r="A24" s="359" t="s">
        <v>307</v>
      </c>
      <c r="B24" s="363">
        <v>43509</v>
      </c>
    </row>
    <row r="25" spans="1:3">
      <c r="A25" s="359" t="s">
        <v>308</v>
      </c>
      <c r="B25" s="361">
        <f>_xlfn.DAYS($B$24,B23)</f>
        <v>19</v>
      </c>
    </row>
    <row r="26" spans="1:3">
      <c r="A26" s="359" t="s">
        <v>309</v>
      </c>
      <c r="B26" s="364">
        <f ca="1">_xlfn.DAYS($B$24,TODAY())</f>
        <v>-21</v>
      </c>
    </row>
  </sheetData>
  <mergeCells count="1">
    <mergeCell ref="A20:B20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J46"/>
  <sheetViews>
    <sheetView workbookViewId="0">
      <selection activeCell="E32" sqref="E32"/>
    </sheetView>
  </sheetViews>
  <sheetFormatPr baseColWidth="10" defaultRowHeight="14.5"/>
  <cols>
    <col min="5" max="5" width="21.54296875" customWidth="1"/>
    <col min="9" max="9" width="13.54296875" customWidth="1"/>
  </cols>
  <sheetData>
    <row r="1" spans="1:10">
      <c r="A1" s="4" t="s">
        <v>0</v>
      </c>
      <c r="B1" s="4" t="s">
        <v>2</v>
      </c>
      <c r="C1" s="4" t="s">
        <v>144</v>
      </c>
      <c r="D1" s="4" t="s">
        <v>1</v>
      </c>
      <c r="E1" s="9" t="s">
        <v>125</v>
      </c>
      <c r="F1" s="4" t="s">
        <v>148</v>
      </c>
    </row>
    <row r="2" spans="1:10">
      <c r="A2" t="s">
        <v>51</v>
      </c>
      <c r="B2" t="s">
        <v>52</v>
      </c>
      <c r="C2" t="s">
        <v>53</v>
      </c>
      <c r="D2" s="3" t="s">
        <v>44</v>
      </c>
      <c r="E2" t="s">
        <v>131</v>
      </c>
      <c r="F2">
        <f ca="1">COUNTIF(Planning_Prod!B:B,Tableau1[[#This Row],[Trigramme]])</f>
        <v>7</v>
      </c>
      <c r="H2" t="s">
        <v>259</v>
      </c>
      <c r="I2" s="291">
        <f ca="1">TODAY()</f>
        <v>43530</v>
      </c>
    </row>
    <row r="3" spans="1:10">
      <c r="A3" t="s">
        <v>54</v>
      </c>
      <c r="B3" t="s">
        <v>55</v>
      </c>
      <c r="C3" t="s">
        <v>56</v>
      </c>
      <c r="D3" s="3" t="s">
        <v>44</v>
      </c>
      <c r="E3" t="s">
        <v>131</v>
      </c>
      <c r="F3">
        <f ca="1">COUNTIF(Planning_Prod!B:B,Tableau1[[#This Row],[Trigramme]])</f>
        <v>0</v>
      </c>
    </row>
    <row r="4" spans="1:10">
      <c r="A4" t="s">
        <v>62</v>
      </c>
      <c r="B4" t="s">
        <v>57</v>
      </c>
      <c r="C4" t="s">
        <v>58</v>
      </c>
      <c r="D4" s="3" t="s">
        <v>44</v>
      </c>
      <c r="E4" t="s">
        <v>131</v>
      </c>
      <c r="F4">
        <f ca="1">COUNTIF(Planning_Prod!B:B,Tableau1[[#This Row],[Trigramme]])</f>
        <v>0</v>
      </c>
      <c r="H4" s="507" t="s">
        <v>74</v>
      </c>
      <c r="I4" s="507"/>
    </row>
    <row r="5" spans="1:10">
      <c r="A5" t="s">
        <v>62</v>
      </c>
      <c r="B5" t="s">
        <v>63</v>
      </c>
      <c r="C5" t="s">
        <v>59</v>
      </c>
      <c r="D5" s="3" t="s">
        <v>44</v>
      </c>
      <c r="E5" t="s">
        <v>128</v>
      </c>
      <c r="F5">
        <f ca="1">COUNTIF(Planning_Prod!B:B,Tableau1[[#This Row],[Trigramme]])</f>
        <v>0</v>
      </c>
      <c r="H5" s="6" t="s">
        <v>44</v>
      </c>
      <c r="I5" s="5">
        <f>COUNTIF(Tableau1[Année],H5)</f>
        <v>7</v>
      </c>
    </row>
    <row r="6" spans="1:10">
      <c r="A6" t="s">
        <v>64</v>
      </c>
      <c r="B6" t="s">
        <v>65</v>
      </c>
      <c r="C6" t="s">
        <v>60</v>
      </c>
      <c r="D6" s="3" t="s">
        <v>44</v>
      </c>
      <c r="E6" t="s">
        <v>140</v>
      </c>
      <c r="F6">
        <f ca="1">COUNTIF(Planning_Prod!B:B,Tableau1[[#This Row],[Trigramme]])</f>
        <v>0</v>
      </c>
      <c r="H6" s="7" t="s">
        <v>6</v>
      </c>
      <c r="I6" s="5">
        <f>COUNTIF(Tableau1[Année],H6)</f>
        <v>16</v>
      </c>
    </row>
    <row r="7" spans="1:10">
      <c r="A7" t="s">
        <v>66</v>
      </c>
      <c r="B7" t="s">
        <v>142</v>
      </c>
      <c r="C7" t="s">
        <v>143</v>
      </c>
      <c r="D7" s="3" t="s">
        <v>44</v>
      </c>
      <c r="E7" t="s">
        <v>140</v>
      </c>
      <c r="F7">
        <f ca="1">COUNTIF(Planning_Prod!B:B,Tableau1[[#This Row],[Trigramme]])</f>
        <v>0</v>
      </c>
      <c r="H7" s="8" t="s">
        <v>43</v>
      </c>
      <c r="I7" s="5">
        <f>COUNTIF(Tableau1[Année],H7)</f>
        <v>22</v>
      </c>
    </row>
    <row r="8" spans="1:10">
      <c r="A8" t="s">
        <v>66</v>
      </c>
      <c r="B8" t="s">
        <v>67</v>
      </c>
      <c r="C8" t="s">
        <v>61</v>
      </c>
      <c r="D8" s="3" t="s">
        <v>44</v>
      </c>
      <c r="E8" t="s">
        <v>140</v>
      </c>
      <c r="F8">
        <f ca="1">COUNTIF(Planning_Prod!B:B,Tableau1[[#This Row],[Trigramme]])</f>
        <v>1</v>
      </c>
      <c r="H8" s="10" t="s">
        <v>126</v>
      </c>
      <c r="I8" s="10">
        <f>SUM(I5:I7)</f>
        <v>45</v>
      </c>
    </row>
    <row r="9" spans="1:10">
      <c r="A9" t="s">
        <v>3</v>
      </c>
      <c r="B9" t="s">
        <v>4</v>
      </c>
      <c r="C9" t="s">
        <v>5</v>
      </c>
      <c r="D9" s="1" t="s">
        <v>6</v>
      </c>
      <c r="E9" t="s">
        <v>141</v>
      </c>
      <c r="F9">
        <f ca="1">COUNTIF(Planning_Prod!B:B,Tableau1[[#This Row],[Trigramme]])</f>
        <v>25</v>
      </c>
      <c r="H9" s="288" t="s">
        <v>255</v>
      </c>
      <c r="I9" s="288" t="s">
        <v>256</v>
      </c>
      <c r="J9" s="288" t="s">
        <v>257</v>
      </c>
    </row>
    <row r="10" spans="1:10">
      <c r="A10" t="s">
        <v>7</v>
      </c>
      <c r="B10" t="s">
        <v>8</v>
      </c>
      <c r="C10" t="s">
        <v>9</v>
      </c>
      <c r="D10" s="1" t="s">
        <v>6</v>
      </c>
      <c r="E10" t="s">
        <v>141</v>
      </c>
      <c r="F10">
        <f ca="1">COUNTIF(Planning_Prod!B:B,Tableau1[[#This Row],[Trigramme]])</f>
        <v>13</v>
      </c>
      <c r="H10" t="e">
        <f t="shared" ref="H10:H25" ca="1" si="0">IF($F9&lt;=5,$F9,NA())</f>
        <v>#N/A</v>
      </c>
      <c r="I10" t="e">
        <f t="shared" ref="I10:I25" ca="1" si="1">IF(AND($F9&gt;5,$F9&lt;20),$F9,NA())</f>
        <v>#N/A</v>
      </c>
      <c r="J10">
        <f t="shared" ref="J10:J25" ca="1" si="2">IF($F9&gt;=20,$F9,NA())</f>
        <v>25</v>
      </c>
    </row>
    <row r="11" spans="1:10">
      <c r="A11" t="s">
        <v>25</v>
      </c>
      <c r="B11" t="s">
        <v>26</v>
      </c>
      <c r="C11" t="s">
        <v>27</v>
      </c>
      <c r="D11" s="1" t="s">
        <v>6</v>
      </c>
      <c r="E11" t="s">
        <v>141</v>
      </c>
      <c r="F11">
        <f ca="1">COUNTIF(Planning_Prod!B:B,Tableau1[[#This Row],[Trigramme]])</f>
        <v>10</v>
      </c>
      <c r="H11" t="e">
        <f t="shared" ca="1" si="0"/>
        <v>#N/A</v>
      </c>
      <c r="I11">
        <f t="shared" ca="1" si="1"/>
        <v>13</v>
      </c>
      <c r="J11" t="e">
        <f t="shared" ca="1" si="2"/>
        <v>#N/A</v>
      </c>
    </row>
    <row r="12" spans="1:10">
      <c r="A12" t="s">
        <v>10</v>
      </c>
      <c r="B12" t="s">
        <v>11</v>
      </c>
      <c r="C12" t="s">
        <v>12</v>
      </c>
      <c r="D12" s="1" t="s">
        <v>6</v>
      </c>
      <c r="E12" t="s">
        <v>131</v>
      </c>
      <c r="F12">
        <f ca="1">COUNTIF(Planning_Prod!B:B,Tableau1[[#This Row],[Trigramme]])</f>
        <v>15</v>
      </c>
      <c r="H12" t="e">
        <f t="shared" ca="1" si="0"/>
        <v>#N/A</v>
      </c>
      <c r="I12">
        <f t="shared" ca="1" si="1"/>
        <v>10</v>
      </c>
      <c r="J12" t="e">
        <f t="shared" ca="1" si="2"/>
        <v>#N/A</v>
      </c>
    </row>
    <row r="13" spans="1:10">
      <c r="A13" t="s">
        <v>99</v>
      </c>
      <c r="B13" t="s">
        <v>127</v>
      </c>
      <c r="C13" t="s">
        <v>106</v>
      </c>
      <c r="D13" s="1" t="s">
        <v>6</v>
      </c>
      <c r="E13" t="s">
        <v>131</v>
      </c>
      <c r="F13">
        <f ca="1">COUNTIF(Planning_Prod!B:B,Tableau1[[#This Row],[Trigramme]])</f>
        <v>4</v>
      </c>
      <c r="H13" t="e">
        <f t="shared" ca="1" si="0"/>
        <v>#N/A</v>
      </c>
      <c r="I13">
        <f t="shared" ca="1" si="1"/>
        <v>15</v>
      </c>
      <c r="J13" t="e">
        <f t="shared" ca="1" si="2"/>
        <v>#N/A</v>
      </c>
    </row>
    <row r="14" spans="1:10">
      <c r="A14" t="s">
        <v>13</v>
      </c>
      <c r="B14" t="s">
        <v>14</v>
      </c>
      <c r="C14" t="s">
        <v>15</v>
      </c>
      <c r="D14" s="1" t="s">
        <v>6</v>
      </c>
      <c r="E14" t="s">
        <v>128</v>
      </c>
      <c r="F14">
        <f ca="1">COUNTIF(Planning_Prod!B:B,Tableau1[[#This Row],[Trigramme]])</f>
        <v>6</v>
      </c>
      <c r="H14">
        <f t="shared" ca="1" si="0"/>
        <v>4</v>
      </c>
      <c r="I14" t="e">
        <f t="shared" ca="1" si="1"/>
        <v>#N/A</v>
      </c>
      <c r="J14" t="e">
        <f t="shared" ca="1" si="2"/>
        <v>#N/A</v>
      </c>
    </row>
    <row r="15" spans="1:10">
      <c r="A15" t="s">
        <v>16</v>
      </c>
      <c r="B15" t="s">
        <v>17</v>
      </c>
      <c r="C15" t="s">
        <v>18</v>
      </c>
      <c r="D15" s="1" t="s">
        <v>6</v>
      </c>
      <c r="E15" t="s">
        <v>129</v>
      </c>
      <c r="F15">
        <f ca="1">COUNTIF(Planning_Prod!B:B,Tableau1[[#This Row],[Trigramme]])</f>
        <v>4</v>
      </c>
      <c r="H15" t="e">
        <f t="shared" ca="1" si="0"/>
        <v>#N/A</v>
      </c>
      <c r="I15">
        <f t="shared" ca="1" si="1"/>
        <v>6</v>
      </c>
      <c r="J15" t="e">
        <f t="shared" ca="1" si="2"/>
        <v>#N/A</v>
      </c>
    </row>
    <row r="16" spans="1:10">
      <c r="A16" t="s">
        <v>19</v>
      </c>
      <c r="B16" t="s">
        <v>20</v>
      </c>
      <c r="C16" t="s">
        <v>21</v>
      </c>
      <c r="D16" s="1" t="s">
        <v>6</v>
      </c>
      <c r="E16" t="s">
        <v>129</v>
      </c>
      <c r="F16">
        <f ca="1">COUNTIF(Planning_Prod!B:B,Tableau1[[#This Row],[Trigramme]])</f>
        <v>1</v>
      </c>
      <c r="H16">
        <f t="shared" ca="1" si="0"/>
        <v>4</v>
      </c>
      <c r="I16" t="e">
        <f t="shared" ca="1" si="1"/>
        <v>#N/A</v>
      </c>
      <c r="J16" t="e">
        <f t="shared" ca="1" si="2"/>
        <v>#N/A</v>
      </c>
    </row>
    <row r="17" spans="1:10">
      <c r="A17" t="s">
        <v>137</v>
      </c>
      <c r="B17" t="s">
        <v>138</v>
      </c>
      <c r="C17" t="s">
        <v>139</v>
      </c>
      <c r="D17" s="1" t="s">
        <v>6</v>
      </c>
      <c r="E17" t="s">
        <v>129</v>
      </c>
      <c r="F17">
        <f ca="1">COUNTIF(Planning_Prod!B:B,Tableau1[[#This Row],[Trigramme]])</f>
        <v>21</v>
      </c>
      <c r="H17">
        <f t="shared" ca="1" si="0"/>
        <v>1</v>
      </c>
      <c r="I17" t="e">
        <f t="shared" ca="1" si="1"/>
        <v>#N/A</v>
      </c>
      <c r="J17" t="e">
        <f t="shared" ca="1" si="2"/>
        <v>#N/A</v>
      </c>
    </row>
    <row r="18" spans="1:10">
      <c r="A18" t="s">
        <v>29</v>
      </c>
      <c r="B18" t="s">
        <v>30</v>
      </c>
      <c r="C18" t="s">
        <v>28</v>
      </c>
      <c r="D18" s="1" t="s">
        <v>6</v>
      </c>
      <c r="E18" t="s">
        <v>129</v>
      </c>
      <c r="F18">
        <f ca="1">COUNTIF(Planning_Prod!B:B,Tableau1[[#This Row],[Trigramme]])</f>
        <v>1</v>
      </c>
      <c r="H18" t="e">
        <f t="shared" ca="1" si="0"/>
        <v>#N/A</v>
      </c>
      <c r="I18" t="e">
        <f t="shared" ca="1" si="1"/>
        <v>#N/A</v>
      </c>
      <c r="J18">
        <f t="shared" ca="1" si="2"/>
        <v>21</v>
      </c>
    </row>
    <row r="19" spans="1:10">
      <c r="A19" t="s">
        <v>22</v>
      </c>
      <c r="B19" t="s">
        <v>23</v>
      </c>
      <c r="C19" t="s">
        <v>24</v>
      </c>
      <c r="D19" s="1" t="s">
        <v>6</v>
      </c>
      <c r="E19" t="s">
        <v>130</v>
      </c>
      <c r="F19">
        <f ca="1">COUNTIF(Planning_Prod!B:B,Tableau1[[#This Row],[Trigramme]])</f>
        <v>27</v>
      </c>
      <c r="H19">
        <f t="shared" ca="1" si="0"/>
        <v>1</v>
      </c>
      <c r="I19" t="e">
        <f t="shared" ca="1" si="1"/>
        <v>#N/A</v>
      </c>
      <c r="J19" t="e">
        <f t="shared" ca="1" si="2"/>
        <v>#N/A</v>
      </c>
    </row>
    <row r="20" spans="1:10">
      <c r="A20" t="s">
        <v>31</v>
      </c>
      <c r="B20" t="s">
        <v>32</v>
      </c>
      <c r="C20" t="s">
        <v>33</v>
      </c>
      <c r="D20" s="1" t="s">
        <v>6</v>
      </c>
      <c r="E20" t="s">
        <v>130</v>
      </c>
      <c r="F20">
        <f ca="1">COUNTIF(Planning_Prod!B:B,Tableau1[[#This Row],[Trigramme]])</f>
        <v>3</v>
      </c>
      <c r="H20" t="e">
        <f t="shared" ca="1" si="0"/>
        <v>#N/A</v>
      </c>
      <c r="I20" t="e">
        <f t="shared" ca="1" si="1"/>
        <v>#N/A</v>
      </c>
      <c r="J20">
        <f t="shared" ca="1" si="2"/>
        <v>27</v>
      </c>
    </row>
    <row r="21" spans="1:10">
      <c r="A21" t="s">
        <v>34</v>
      </c>
      <c r="B21" t="s">
        <v>35</v>
      </c>
      <c r="C21" t="s">
        <v>36</v>
      </c>
      <c r="D21" s="1" t="s">
        <v>6</v>
      </c>
      <c r="E21" t="s">
        <v>130</v>
      </c>
      <c r="F21">
        <f ca="1">COUNTIF(Planning_Prod!B:B,Tableau1[[#This Row],[Trigramme]])</f>
        <v>2</v>
      </c>
      <c r="H21">
        <f t="shared" ca="1" si="0"/>
        <v>3</v>
      </c>
      <c r="I21" t="e">
        <f t="shared" ca="1" si="1"/>
        <v>#N/A</v>
      </c>
      <c r="J21" t="e">
        <f t="shared" ca="1" si="2"/>
        <v>#N/A</v>
      </c>
    </row>
    <row r="22" spans="1:10">
      <c r="A22" t="s">
        <v>37</v>
      </c>
      <c r="B22" t="s">
        <v>39</v>
      </c>
      <c r="C22" t="s">
        <v>38</v>
      </c>
      <c r="D22" s="1" t="s">
        <v>6</v>
      </c>
      <c r="E22" t="s">
        <v>130</v>
      </c>
      <c r="F22">
        <f ca="1">COUNTIF(Planning_Prod!B:B,Tableau1[[#This Row],[Trigramme]])</f>
        <v>0</v>
      </c>
      <c r="H22">
        <f t="shared" ca="1" si="0"/>
        <v>2</v>
      </c>
      <c r="I22" t="e">
        <f t="shared" ca="1" si="1"/>
        <v>#N/A</v>
      </c>
      <c r="J22" t="e">
        <f t="shared" ca="1" si="2"/>
        <v>#N/A</v>
      </c>
    </row>
    <row r="23" spans="1:10">
      <c r="A23" t="s">
        <v>40</v>
      </c>
      <c r="B23" t="s">
        <v>41</v>
      </c>
      <c r="C23" t="s">
        <v>42</v>
      </c>
      <c r="D23" s="1" t="s">
        <v>6</v>
      </c>
      <c r="E23" t="s">
        <v>130</v>
      </c>
      <c r="F23">
        <f ca="1">COUNTIF(Planning_Prod!B:B,Tableau1[[#This Row],[Trigramme]])</f>
        <v>0</v>
      </c>
      <c r="H23">
        <f t="shared" ca="1" si="0"/>
        <v>0</v>
      </c>
      <c r="I23" t="e">
        <f t="shared" ca="1" si="1"/>
        <v>#N/A</v>
      </c>
      <c r="J23" t="e">
        <f t="shared" ca="1" si="2"/>
        <v>#N/A</v>
      </c>
    </row>
    <row r="24" spans="1:10">
      <c r="A24" t="s">
        <v>45</v>
      </c>
      <c r="B24" t="s">
        <v>47</v>
      </c>
      <c r="C24" t="s">
        <v>46</v>
      </c>
      <c r="D24" s="1" t="s">
        <v>6</v>
      </c>
      <c r="E24" t="s">
        <v>130</v>
      </c>
      <c r="F24">
        <f ca="1">COUNTIF(Planning_Prod!B:B,Tableau1[[#This Row],[Trigramme]])</f>
        <v>0</v>
      </c>
      <c r="H24">
        <f t="shared" ca="1" si="0"/>
        <v>0</v>
      </c>
      <c r="I24" t="e">
        <f t="shared" ca="1" si="1"/>
        <v>#N/A</v>
      </c>
      <c r="J24" t="e">
        <f t="shared" ca="1" si="2"/>
        <v>#N/A</v>
      </c>
    </row>
    <row r="25" spans="1:10">
      <c r="A25" t="s">
        <v>48</v>
      </c>
      <c r="B25" t="s">
        <v>49</v>
      </c>
      <c r="C25" t="s">
        <v>50</v>
      </c>
      <c r="D25" s="2" t="s">
        <v>43</v>
      </c>
      <c r="E25" t="s">
        <v>129</v>
      </c>
      <c r="F25">
        <f ca="1">COUNTIF(Planning_Prod!B:B,Tableau1[[#This Row],[Trigramme]])</f>
        <v>0</v>
      </c>
      <c r="H25">
        <f t="shared" ca="1" si="0"/>
        <v>0</v>
      </c>
      <c r="I25" t="e">
        <f t="shared" ca="1" si="1"/>
        <v>#N/A</v>
      </c>
      <c r="J25" t="e">
        <f t="shared" ca="1" si="2"/>
        <v>#N/A</v>
      </c>
    </row>
    <row r="26" spans="1:10">
      <c r="A26" t="s">
        <v>78</v>
      </c>
      <c r="B26" t="s">
        <v>79</v>
      </c>
      <c r="C26" t="s">
        <v>93</v>
      </c>
      <c r="D26" s="2" t="s">
        <v>43</v>
      </c>
      <c r="E26" t="s">
        <v>129</v>
      </c>
      <c r="F26">
        <f ca="1">COUNTIF(Planning_Prod!B:B,Tableau1[[#This Row],[Trigramme]])</f>
        <v>0</v>
      </c>
      <c r="H26" s="287"/>
    </row>
    <row r="27" spans="1:10">
      <c r="A27" t="s">
        <v>80</v>
      </c>
      <c r="B27" t="s">
        <v>81</v>
      </c>
      <c r="C27" t="s">
        <v>92</v>
      </c>
      <c r="D27" s="2" t="s">
        <v>43</v>
      </c>
      <c r="E27" t="s">
        <v>129</v>
      </c>
      <c r="F27">
        <f ca="1">COUNTIF(Planning_Prod!B:B,Tableau1[[#This Row],[Trigramme]])</f>
        <v>0</v>
      </c>
      <c r="H27" s="287"/>
    </row>
    <row r="28" spans="1:10">
      <c r="A28" t="s">
        <v>82</v>
      </c>
      <c r="C28" t="s">
        <v>447</v>
      </c>
      <c r="D28" s="2" t="s">
        <v>43</v>
      </c>
      <c r="E28" t="s">
        <v>129</v>
      </c>
      <c r="F28">
        <f ca="1">COUNTIF(Planning_Prod!B:B,Tableau1[[#This Row],[Trigramme]])</f>
        <v>0</v>
      </c>
      <c r="H28" s="287"/>
    </row>
    <row r="29" spans="1:10">
      <c r="A29" t="s">
        <v>96</v>
      </c>
      <c r="B29" t="s">
        <v>97</v>
      </c>
      <c r="C29" t="s">
        <v>98</v>
      </c>
      <c r="D29" s="2" t="s">
        <v>43</v>
      </c>
      <c r="E29" t="s">
        <v>129</v>
      </c>
      <c r="F29">
        <f ca="1">COUNTIF(Planning_Prod!B:B,Tableau1[[#This Row],[Trigramme]])</f>
        <v>0</v>
      </c>
      <c r="H29" s="287"/>
    </row>
    <row r="30" spans="1:10">
      <c r="A30" t="s">
        <v>99</v>
      </c>
      <c r="B30" t="s">
        <v>100</v>
      </c>
      <c r="C30" t="s">
        <v>101</v>
      </c>
      <c r="D30" s="2" t="s">
        <v>43</v>
      </c>
      <c r="E30" t="s">
        <v>129</v>
      </c>
      <c r="F30">
        <f ca="1">COUNTIF(Planning_Prod!B:B,Tableau1[[#This Row],[Trigramme]])</f>
        <v>0</v>
      </c>
      <c r="H30" s="287"/>
    </row>
    <row r="31" spans="1:10">
      <c r="A31" t="s">
        <v>40</v>
      </c>
      <c r="B31" t="s">
        <v>132</v>
      </c>
      <c r="C31" t="s">
        <v>133</v>
      </c>
      <c r="D31" s="2" t="s">
        <v>43</v>
      </c>
      <c r="E31" t="s">
        <v>131</v>
      </c>
      <c r="F31">
        <f ca="1">COUNTIF(Planning_Prod!B:B,Tableau1[[#This Row],[Trigramme]])</f>
        <v>0</v>
      </c>
      <c r="H31" s="287"/>
    </row>
    <row r="32" spans="1:10">
      <c r="A32" t="s">
        <v>68</v>
      </c>
      <c r="B32" t="s">
        <v>69</v>
      </c>
      <c r="C32" t="s">
        <v>70</v>
      </c>
      <c r="D32" s="2" t="s">
        <v>43</v>
      </c>
      <c r="E32" t="s">
        <v>131</v>
      </c>
      <c r="F32">
        <f ca="1">COUNTIF(Planning_Prod!B:B,Tableau1[[#This Row],[Trigramme]])</f>
        <v>0</v>
      </c>
      <c r="H32" s="287"/>
    </row>
    <row r="33" spans="1:6">
      <c r="A33" t="s">
        <v>71</v>
      </c>
      <c r="B33" t="s">
        <v>72</v>
      </c>
      <c r="C33" t="s">
        <v>73</v>
      </c>
      <c r="D33" s="2" t="s">
        <v>43</v>
      </c>
      <c r="E33" t="s">
        <v>131</v>
      </c>
      <c r="F33">
        <f ca="1">COUNTIF(Planning_Prod!B:B,Tableau1[[#This Row],[Trigramme]])</f>
        <v>0</v>
      </c>
    </row>
    <row r="34" spans="1:6">
      <c r="A34" t="s">
        <v>75</v>
      </c>
      <c r="B34" t="s">
        <v>76</v>
      </c>
      <c r="C34" t="s">
        <v>95</v>
      </c>
      <c r="D34" s="2" t="s">
        <v>43</v>
      </c>
      <c r="E34" t="s">
        <v>131</v>
      </c>
      <c r="F34">
        <f ca="1">COUNTIF(Planning_Prod!B:B,Tableau1[[#This Row],[Trigramme]])</f>
        <v>0</v>
      </c>
    </row>
    <row r="35" spans="1:6">
      <c r="A35" t="s">
        <v>54</v>
      </c>
      <c r="B35" t="s">
        <v>77</v>
      </c>
      <c r="C35" t="s">
        <v>94</v>
      </c>
      <c r="D35" s="2" t="s">
        <v>43</v>
      </c>
      <c r="E35" t="s">
        <v>131</v>
      </c>
      <c r="F35">
        <f ca="1">COUNTIF(Planning_Prod!B:B,Tableau1[[#This Row],[Trigramme]])</f>
        <v>0</v>
      </c>
    </row>
    <row r="36" spans="1:6">
      <c r="A36" t="s">
        <v>87</v>
      </c>
      <c r="B36" t="s">
        <v>88</v>
      </c>
      <c r="C36" t="s">
        <v>89</v>
      </c>
      <c r="D36" s="2" t="s">
        <v>43</v>
      </c>
      <c r="E36" t="s">
        <v>131</v>
      </c>
      <c r="F36">
        <f ca="1">COUNTIF(Planning_Prod!B:B,Tableau1[[#This Row],[Trigramme]])</f>
        <v>0</v>
      </c>
    </row>
    <row r="37" spans="1:6">
      <c r="A37" t="s">
        <v>83</v>
      </c>
      <c r="B37" t="s">
        <v>84</v>
      </c>
      <c r="C37" t="s">
        <v>91</v>
      </c>
      <c r="D37" s="2" t="s">
        <v>43</v>
      </c>
      <c r="E37" t="s">
        <v>130</v>
      </c>
      <c r="F37">
        <f ca="1">COUNTIF(Planning_Prod!B:B,Tableau1[[#This Row],[Trigramme]])</f>
        <v>0</v>
      </c>
    </row>
    <row r="38" spans="1:6">
      <c r="A38" t="s">
        <v>85</v>
      </c>
      <c r="B38" t="s">
        <v>86</v>
      </c>
      <c r="C38" t="s">
        <v>90</v>
      </c>
      <c r="D38" s="2" t="s">
        <v>43</v>
      </c>
      <c r="E38" t="s">
        <v>130</v>
      </c>
      <c r="F38">
        <f ca="1">COUNTIF(Planning_Prod!B:B,Tableau1[[#This Row],[Trigramme]])</f>
        <v>0</v>
      </c>
    </row>
    <row r="39" spans="1:6">
      <c r="A39" t="s">
        <v>102</v>
      </c>
      <c r="B39" t="s">
        <v>103</v>
      </c>
      <c r="C39" t="s">
        <v>73</v>
      </c>
      <c r="D39" s="2" t="s">
        <v>43</v>
      </c>
      <c r="E39" t="s">
        <v>130</v>
      </c>
      <c r="F39">
        <f ca="1">COUNTIF(Planning_Prod!B:B,Tableau1[[#This Row],[Trigramme]])</f>
        <v>0</v>
      </c>
    </row>
    <row r="40" spans="1:6">
      <c r="A40" t="s">
        <v>104</v>
      </c>
      <c r="B40" t="s">
        <v>105</v>
      </c>
      <c r="C40" t="s">
        <v>73</v>
      </c>
      <c r="D40" s="2" t="s">
        <v>43</v>
      </c>
      <c r="E40" t="s">
        <v>130</v>
      </c>
      <c r="F40">
        <f ca="1">COUNTIF(Planning_Prod!B:B,Tableau1[[#This Row],[Trigramme]])</f>
        <v>0</v>
      </c>
    </row>
    <row r="41" spans="1:6">
      <c r="A41" t="s">
        <v>134</v>
      </c>
      <c r="B41" t="s">
        <v>135</v>
      </c>
      <c r="C41" t="s">
        <v>136</v>
      </c>
      <c r="D41" s="2" t="s">
        <v>43</v>
      </c>
      <c r="E41" t="s">
        <v>130</v>
      </c>
      <c r="F41">
        <f ca="1">COUNTIF(Planning_Prod!B:B,Tableau1[[#This Row],[Trigramme]])</f>
        <v>0</v>
      </c>
    </row>
    <row r="42" spans="1:6">
      <c r="A42" t="s">
        <v>112</v>
      </c>
      <c r="B42" t="s">
        <v>113</v>
      </c>
      <c r="C42" t="s">
        <v>114</v>
      </c>
      <c r="D42" s="2" t="s">
        <v>43</v>
      </c>
      <c r="E42" t="s">
        <v>128</v>
      </c>
      <c r="F42">
        <f ca="1">COUNTIF(Planning_Prod!B:B,Tableau1[[#This Row],[Trigramme]])</f>
        <v>0</v>
      </c>
    </row>
    <row r="43" spans="1:6">
      <c r="A43" t="s">
        <v>115</v>
      </c>
      <c r="B43" t="s">
        <v>116</v>
      </c>
      <c r="C43" t="s">
        <v>117</v>
      </c>
      <c r="D43" s="2" t="s">
        <v>43</v>
      </c>
      <c r="E43" t="s">
        <v>128</v>
      </c>
      <c r="F43">
        <f ca="1">COUNTIF(Planning_Prod!B:B,Tableau1[[#This Row],[Trigramme]])</f>
        <v>0</v>
      </c>
    </row>
    <row r="44" spans="1:6">
      <c r="A44" t="s">
        <v>118</v>
      </c>
      <c r="B44" t="s">
        <v>119</v>
      </c>
      <c r="C44" t="s">
        <v>120</v>
      </c>
      <c r="D44" s="2" t="s">
        <v>43</v>
      </c>
      <c r="E44" t="s">
        <v>128</v>
      </c>
      <c r="F44">
        <f ca="1">COUNTIF(Planning_Prod!B:B,Tableau1[[#This Row],[Trigramme]])</f>
        <v>0</v>
      </c>
    </row>
    <row r="45" spans="1:6">
      <c r="A45" t="s">
        <v>121</v>
      </c>
      <c r="B45" t="s">
        <v>87</v>
      </c>
      <c r="C45" t="s">
        <v>122</v>
      </c>
      <c r="D45" s="2" t="s">
        <v>43</v>
      </c>
      <c r="E45" t="s">
        <v>128</v>
      </c>
      <c r="F45">
        <f ca="1">COUNTIF(Planning_Prod!B:B,Tableau1[[#This Row],[Trigramme]])</f>
        <v>0</v>
      </c>
    </row>
    <row r="46" spans="1:6">
      <c r="A46" t="s">
        <v>87</v>
      </c>
      <c r="B46" t="s">
        <v>123</v>
      </c>
      <c r="C46" t="s">
        <v>124</v>
      </c>
      <c r="D46" s="2" t="s">
        <v>43</v>
      </c>
      <c r="E46" t="s">
        <v>128</v>
      </c>
      <c r="F46">
        <f ca="1">COUNTIF(Planning_Prod!B:B,Tableau1[[#This Row],[Trigramme]])</f>
        <v>0</v>
      </c>
    </row>
  </sheetData>
  <mergeCells count="1">
    <mergeCell ref="H4:I4"/>
  </mergeCell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Introduction</vt:lpstr>
      <vt:lpstr>Dashboard</vt:lpstr>
      <vt:lpstr>Planning_Prod</vt:lpstr>
      <vt:lpstr>Planning_Projet</vt:lpstr>
      <vt:lpstr>Planning</vt:lpstr>
      <vt:lpstr>Data</vt:lpstr>
      <vt:lpstr>Debut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Gameiro Nicolas</dc:creator>
  <cp:lastModifiedBy>Gameiro Nicolas</cp:lastModifiedBy>
  <cp:lastPrinted>2019-03-06T17:37:29Z</cp:lastPrinted>
  <dcterms:created xsi:type="dcterms:W3CDTF">2019-01-22T12:42:27Z</dcterms:created>
  <dcterms:modified xsi:type="dcterms:W3CDTF">2019-03-06T17:49:55Z</dcterms:modified>
</cp:coreProperties>
</file>