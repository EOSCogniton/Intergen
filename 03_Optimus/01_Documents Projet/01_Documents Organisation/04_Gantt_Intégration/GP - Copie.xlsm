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esktop\"/>
    </mc:Choice>
  </mc:AlternateContent>
  <xr:revisionPtr revIDLastSave="0" documentId="13_ncr:1_{708E7102-115E-4A67-BBF6-2E9DFCA804D6}" xr6:coauthVersionLast="36" xr6:coauthVersionMax="36" xr10:uidLastSave="{00000000-0000-0000-0000-000000000000}"/>
  <bookViews>
    <workbookView xWindow="0" yWindow="0" windowWidth="25560" windowHeight="12440" activeTab="2" xr2:uid="{00000000-000D-0000-FFFF-FFFF00000000}"/>
  </bookViews>
  <sheets>
    <sheet name="Introduction" sheetId="7" r:id="rId1"/>
    <sheet name="Dashboard" sheetId="9" r:id="rId2"/>
    <sheet name="Planning_Prod" sheetId="8" r:id="rId3"/>
    <sheet name="Planning" sheetId="11" r:id="rId4"/>
    <sheet name="Data" sheetId="1" r:id="rId5"/>
  </sheets>
  <externalReferences>
    <externalReference r:id="rId6"/>
  </externalReferences>
  <definedNames>
    <definedName name="_xlnm._FilterDatabase" localSheetId="4" hidden="1">Data!$A$1:$D$46</definedName>
    <definedName name="Debut">Planning!$I$1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8" l="1"/>
  <c r="C165" i="8"/>
  <c r="C167" i="8"/>
  <c r="C163" i="8"/>
  <c r="C164" i="8"/>
  <c r="C168" i="8" l="1"/>
  <c r="F2" i="1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I2" i="1" l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J22" i="1" l="1"/>
  <c r="I22" i="1"/>
  <c r="H22" i="1"/>
  <c r="J18" i="1"/>
  <c r="I18" i="1"/>
  <c r="H18" i="1"/>
  <c r="J14" i="1"/>
  <c r="I14" i="1"/>
  <c r="H14" i="1"/>
  <c r="H10" i="1"/>
  <c r="J10" i="1"/>
  <c r="I10" i="1"/>
  <c r="J25" i="1"/>
  <c r="I25" i="1"/>
  <c r="H25" i="1"/>
  <c r="J21" i="1"/>
  <c r="I21" i="1"/>
  <c r="H21" i="1"/>
  <c r="J13" i="1"/>
  <c r="I13" i="1"/>
  <c r="H13" i="1"/>
  <c r="J24" i="1"/>
  <c r="I24" i="1"/>
  <c r="H24" i="1"/>
  <c r="J20" i="1"/>
  <c r="I20" i="1"/>
  <c r="H20" i="1"/>
  <c r="J16" i="1"/>
  <c r="I16" i="1"/>
  <c r="H16" i="1"/>
  <c r="J12" i="1"/>
  <c r="I12" i="1"/>
  <c r="H12" i="1"/>
  <c r="J17" i="1"/>
  <c r="I17" i="1"/>
  <c r="H17" i="1"/>
  <c r="J23" i="1"/>
  <c r="I23" i="1"/>
  <c r="H23" i="1"/>
  <c r="J19" i="1"/>
  <c r="I19" i="1"/>
  <c r="H19" i="1"/>
  <c r="J15" i="1"/>
  <c r="I15" i="1"/>
  <c r="H15" i="1"/>
  <c r="J11" i="1"/>
  <c r="I11" i="1"/>
  <c r="H11" i="1"/>
  <c r="I5" i="1"/>
  <c r="I6" i="1"/>
  <c r="I7" i="1"/>
  <c r="I8" i="1" l="1"/>
</calcChain>
</file>

<file path=xl/sharedStrings.xml><?xml version="1.0" encoding="utf-8"?>
<sst xmlns="http://schemas.openxmlformats.org/spreadsheetml/2006/main" count="750" uniqueCount="363">
  <si>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</si>
  <si>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</si>
  <si>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</si>
  <si>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</si>
  <si>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</si>
  <si>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</si>
  <si>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</si>
  <si>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</si>
  <si>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</si>
  <si>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</si>
  <si>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>Pierre Alexis</t>
  </si>
  <si>
    <t>Corpechot</t>
  </si>
  <si>
    <t>PCT</t>
  </si>
  <si>
    <t xml:space="preserve">Bob </t>
  </si>
  <si>
    <t>Auboin</t>
  </si>
  <si>
    <t>BAT</t>
  </si>
  <si>
    <t>Mathieu</t>
  </si>
  <si>
    <t>Pinay</t>
  </si>
  <si>
    <t>MPY</t>
  </si>
  <si>
    <t xml:space="preserve">Batiste </t>
  </si>
  <si>
    <t>Vidal</t>
  </si>
  <si>
    <t>BVL</t>
  </si>
  <si>
    <t>Robin</t>
  </si>
  <si>
    <t>Clamens</t>
  </si>
  <si>
    <t>RCS</t>
  </si>
  <si>
    <t xml:space="preserve">Paco </t>
  </si>
  <si>
    <t>Tanchon</t>
  </si>
  <si>
    <t>PTN</t>
  </si>
  <si>
    <t>LDN</t>
  </si>
  <si>
    <t>Ludovic</t>
  </si>
  <si>
    <t>Beguin</t>
  </si>
  <si>
    <t>Josselin</t>
  </si>
  <si>
    <t>Kiefel</t>
  </si>
  <si>
    <t>JKL</t>
  </si>
  <si>
    <t>Yohan</t>
  </si>
  <si>
    <t>Reguiai</t>
  </si>
  <si>
    <t>YRI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</si>
  <si>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</si>
  <si>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</si>
  <si>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</si>
  <si>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</si>
  <si>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</si>
  <si>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</si>
  <si>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</si>
  <si>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</si>
  <si>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</si>
  <si>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</si>
  <si>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</si>
  <si>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</si>
  <si>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</si>
  <si>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</si>
  <si>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</si>
  <si>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</si>
  <si>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</si>
  <si>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</si>
  <si>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</si>
  <si>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</si>
  <si>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Touzé</t>
  </si>
  <si>
    <t>GTE</t>
  </si>
  <si>
    <t>GTI</t>
  </si>
  <si>
    <t>BRT</t>
  </si>
  <si>
    <t>AMS</t>
  </si>
  <si>
    <t>Guillaume</t>
  </si>
  <si>
    <t>Tsilieski</t>
  </si>
  <si>
    <t>Brice</t>
  </si>
  <si>
    <t>Roblot</t>
  </si>
  <si>
    <t>Antoine</t>
  </si>
  <si>
    <t>Maros</t>
  </si>
  <si>
    <t>Victor</t>
  </si>
  <si>
    <t>Hugo</t>
  </si>
  <si>
    <t>VDO</t>
  </si>
  <si>
    <t>Paul</t>
  </si>
  <si>
    <t>Charcaluk</t>
  </si>
  <si>
    <t>PCK</t>
  </si>
  <si>
    <t xml:space="preserve">Effectifs </t>
  </si>
  <si>
    <t>Pierre Emmanuel</t>
  </si>
  <si>
    <t>Ariaux</t>
  </si>
  <si>
    <t>Delort</t>
  </si>
  <si>
    <t>Aimery</t>
  </si>
  <si>
    <t>Sauliere</t>
  </si>
  <si>
    <t>Idriss</t>
  </si>
  <si>
    <t>Gouhaga</t>
  </si>
  <si>
    <t>Ghassen</t>
  </si>
  <si>
    <t>Camille</t>
  </si>
  <si>
    <t>Simon</t>
  </si>
  <si>
    <t>Come</t>
  </si>
  <si>
    <t>Archinard</t>
  </si>
  <si>
    <t>Martin</t>
  </si>
  <si>
    <t>Kasinsky</t>
  </si>
  <si>
    <t>MKI</t>
  </si>
  <si>
    <t>CAD</t>
  </si>
  <si>
    <t>CSN</t>
  </si>
  <si>
    <t>G</t>
  </si>
  <si>
    <t>IGH</t>
  </si>
  <si>
    <t>ASE</t>
  </si>
  <si>
    <t>ADT</t>
  </si>
  <si>
    <t>PAX</t>
  </si>
  <si>
    <t xml:space="preserve">Mathieu </t>
  </si>
  <si>
    <t>Jacquet</t>
  </si>
  <si>
    <t>MJT</t>
  </si>
  <si>
    <t>Erwan</t>
  </si>
  <si>
    <t>Benkara</t>
  </si>
  <si>
    <t>EBA</t>
  </si>
  <si>
    <t>Pierre guillaume</t>
  </si>
  <si>
    <t>Thomas</t>
  </si>
  <si>
    <t>Mattei</t>
  </si>
  <si>
    <t>Calixthe</t>
  </si>
  <si>
    <t>EDP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</si>
  <si>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</si>
  <si>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</si>
  <si>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</si>
  <si>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</si>
  <si>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</si>
  <si>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t xml:space="preserve">Arthur </t>
  </si>
  <si>
    <t>Rodriguez</t>
  </si>
  <si>
    <t>ARZ</t>
  </si>
  <si>
    <t>Corentin</t>
  </si>
  <si>
    <t>Lepais</t>
  </si>
  <si>
    <t>CLS</t>
  </si>
  <si>
    <t>Bruno</t>
  </si>
  <si>
    <t>Morera</t>
  </si>
  <si>
    <t>BMA</t>
  </si>
  <si>
    <t xml:space="preserve">Romain </t>
  </si>
  <si>
    <t>RMN</t>
  </si>
  <si>
    <t>Gomez</t>
  </si>
  <si>
    <t>MGZ</t>
  </si>
  <si>
    <t>Département</t>
  </si>
  <si>
    <t>Total</t>
  </si>
  <si>
    <t>De Longcamp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</si>
  <si>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</si>
  <si>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</si>
  <si>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</si>
  <si>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</si>
  <si>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</si>
  <si>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</si>
  <si>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</si>
  <si>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</si>
  <si>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</si>
  <si>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Clement</t>
  </si>
  <si>
    <t>Emerique</t>
  </si>
  <si>
    <t>CEE</t>
  </si>
  <si>
    <t>Advisor</t>
  </si>
  <si>
    <t>Management</t>
  </si>
  <si>
    <t>Elain</t>
  </si>
  <si>
    <t>AEN</t>
  </si>
  <si>
    <t>Trigramme</t>
  </si>
  <si>
    <t>Début</t>
  </si>
  <si>
    <t>Respo</t>
  </si>
  <si>
    <t>Etat</t>
  </si>
  <si>
    <t>Nb tache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</si>
  <si>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</si>
  <si>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</si>
  <si>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</si>
  <si>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</si>
  <si>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</si>
  <si>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</si>
  <si>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>Liste_ressources</t>
  </si>
  <si>
    <t xml:space="preserve">Vous pouvez lister l'ensemble de vos ressources humaines </t>
  </si>
  <si>
    <t>v0.1</t>
  </si>
  <si>
    <t xml:space="preserve">Date </t>
  </si>
  <si>
    <t>Représentation de donner sous forme d'un tableau de bord avec des graphiques</t>
  </si>
  <si>
    <t>Planning</t>
  </si>
  <si>
    <t>Feuille sous forme de gantt avec les listes des taches leur responsable et durée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</si>
  <si>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</si>
  <si>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</si>
  <si>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</si>
  <si>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</si>
  <si>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</si>
  <si>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</si>
  <si>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</si>
  <si>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</si>
  <si>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</si>
  <si>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</si>
  <si>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</si>
  <si>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</si>
  <si>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</si>
  <si>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</si>
  <si>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</si>
  <si>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Préparer les igs et MEP de la 1er vague (1,5 mm)</t>
  </si>
  <si>
    <t>Terminée</t>
  </si>
  <si>
    <t>Production de la 1er vague</t>
  </si>
  <si>
    <t>Production de la 2er vague</t>
  </si>
  <si>
    <t>A faire</t>
  </si>
  <si>
    <t>Préparer les igs et MEP de la 3e vague (S355)</t>
  </si>
  <si>
    <t>Production de la 3e vague</t>
  </si>
  <si>
    <t>Préparer les igs et MEP de la 4e vague (2017A)</t>
  </si>
  <si>
    <t>Production de la 4e vague</t>
  </si>
  <si>
    <t>Boisard</t>
  </si>
  <si>
    <t xml:space="preserve">Commander les brutes alu 7075 T6 </t>
  </si>
  <si>
    <t>Envoyer les premieres pièces</t>
  </si>
  <si>
    <t>Production pièces soudés sur le châssis (direction &amp; moteur)</t>
  </si>
  <si>
    <t>En cours</t>
  </si>
  <si>
    <t>Reception des brutes</t>
  </si>
  <si>
    <t>Envoyer des pièces aluminium 7075 T6</t>
  </si>
  <si>
    <t>Production du PE</t>
  </si>
  <si>
    <t>Production du Moyeu</t>
  </si>
  <si>
    <t>Production du Porte Moyeu</t>
  </si>
  <si>
    <t>La Mache Productique</t>
  </si>
  <si>
    <t>Préparer les igs et MEP de la 1er vague (entretoises)</t>
  </si>
  <si>
    <t>Préparer les igs et MEP de la 2er vague</t>
  </si>
  <si>
    <t>Alpentech</t>
  </si>
  <si>
    <t>Faire les mises en plan</t>
  </si>
  <si>
    <t>Contacter AlpenTech</t>
  </si>
  <si>
    <t>Commander les brutes</t>
  </si>
  <si>
    <t>Production</t>
  </si>
  <si>
    <t>La Gir</t>
  </si>
  <si>
    <t>Contacter Flash Cintrage</t>
  </si>
  <si>
    <t>Préparer fichiers pour Flash Cintrage</t>
  </si>
  <si>
    <t>Amener les tubes chez Flash Cintrage</t>
  </si>
  <si>
    <t>Cintrage des tubes (2 jours)</t>
  </si>
  <si>
    <t>Récupérer des arceaux</t>
  </si>
  <si>
    <t>Préparer les fichiers pour Noel Metal</t>
  </si>
  <si>
    <t>Amener les tubes chez Noel Metal</t>
  </si>
  <si>
    <t>Découpe des tubes</t>
  </si>
  <si>
    <t>Récupérer les tubes chez Noel Metal</t>
  </si>
  <si>
    <t xml:space="preserve">Réaliser un devis chez A2M (test pièces) </t>
  </si>
  <si>
    <t>Amener les échantillons chez A2M</t>
  </si>
  <si>
    <t>Récupérer les échantillons chez A2M</t>
  </si>
  <si>
    <t>Préparer fichiers pour Vernay</t>
  </si>
  <si>
    <t>Soudure du chassis</t>
  </si>
  <si>
    <t>Soudure de l'avant de la structure tubulaire</t>
  </si>
  <si>
    <t>Soudure de l'arriere de la structure tubulaire</t>
  </si>
  <si>
    <t>Réalisation des gabarits</t>
  </si>
  <si>
    <t>Soudure des chapes</t>
  </si>
  <si>
    <t>Soudure des premières chapes sans gabarits</t>
  </si>
  <si>
    <t>Reprise des chapes à la meuleuse</t>
  </si>
  <si>
    <t>Récupérer le châssis pour échappement</t>
  </si>
  <si>
    <t>Gabarits</t>
  </si>
  <si>
    <t>Réalisation des gabarits de triangles</t>
  </si>
  <si>
    <t>Réalisation des gabarits de direction</t>
  </si>
  <si>
    <t>Faire les mises en plan des gabarits</t>
  </si>
  <si>
    <t>ECL</t>
  </si>
  <si>
    <t>Contacter B.Houx pour usinage Porte Couronne</t>
  </si>
  <si>
    <t>Usinage Porte couronne</t>
  </si>
  <si>
    <t>PSEP</t>
  </si>
  <si>
    <t>Reprendre contact avec PSEP</t>
  </si>
  <si>
    <t>Fixer la couleur et la date pour amener le châssis</t>
  </si>
  <si>
    <t>Amener le châssis</t>
  </si>
  <si>
    <t>Peinture sur châssis</t>
  </si>
  <si>
    <t>Récupérer le châssis peint</t>
  </si>
  <si>
    <t>Bery Inox</t>
  </si>
  <si>
    <t>Contacter Bery Inox</t>
  </si>
  <si>
    <t xml:space="preserve">Demander la commande des brutes </t>
  </si>
  <si>
    <t>Fixer une date pour amener le moteur</t>
  </si>
  <si>
    <t xml:space="preserve">Préparer les documents nécessaires </t>
  </si>
  <si>
    <t>Amener le moteur</t>
  </si>
  <si>
    <t>Soudure de l'échappement hors châssis</t>
  </si>
  <si>
    <t>Soudure de l'échappement sur châssis</t>
  </si>
  <si>
    <t>Direction Projet</t>
  </si>
  <si>
    <t>Plannifier présentation Brice chez Boisard</t>
  </si>
  <si>
    <t xml:space="preserve">Affection des responsable fournisseurs </t>
  </si>
  <si>
    <t xml:space="preserve">Plannifier TOP Organe et moteur </t>
  </si>
  <si>
    <t>Envoyer le mail TOP Organe</t>
  </si>
  <si>
    <t>TOP Organe</t>
  </si>
  <si>
    <t>Bloquée</t>
  </si>
  <si>
    <t>En retard</t>
  </si>
  <si>
    <t>Data1</t>
  </si>
  <si>
    <t>Data2</t>
  </si>
  <si>
    <t>Data3</t>
  </si>
  <si>
    <t>v1.2</t>
  </si>
  <si>
    <t xml:space="preserve">Date : </t>
  </si>
  <si>
    <t>Commande</t>
  </si>
  <si>
    <t>Prévoir paiement pour compétitions</t>
  </si>
  <si>
    <t>Commander chez SFK</t>
  </si>
  <si>
    <t>Faire liste des commandes chez SFK</t>
  </si>
  <si>
    <t>Lister les raideur nécessaires</t>
  </si>
  <si>
    <t>Commander des amortisseurs et ressorts Ohlins</t>
  </si>
  <si>
    <t>Lister commandes Faiseau electroniquer</t>
  </si>
  <si>
    <t>Commander chez RS</t>
  </si>
  <si>
    <t>Commander chez Mouser</t>
  </si>
  <si>
    <t>Commander Reverchon</t>
  </si>
  <si>
    <t>Commander des axes de transmission</t>
  </si>
  <si>
    <t>Tableau  de Bord : Gestion de Projet EPSA</t>
  </si>
  <si>
    <t>Fin</t>
  </si>
  <si>
    <t>Commander circuit essence</t>
  </si>
  <si>
    <t>Commande Bron</t>
  </si>
  <si>
    <t>Commande Meuleuse et Durand Servie divers</t>
  </si>
  <si>
    <t>Commande carrosserie</t>
  </si>
  <si>
    <t>Commande Mouser</t>
  </si>
  <si>
    <t>jours restants</t>
  </si>
  <si>
    <t>Découper les gabarits Fablab</t>
  </si>
  <si>
    <t>Préparer le diapo TOP Organe</t>
  </si>
  <si>
    <t>Réserver salle quizz compétition</t>
  </si>
  <si>
    <t>S'inscrire sur l'ensemble des sites FS</t>
  </si>
  <si>
    <t>Prévoir équipement (caméra,micro) quizz compétition</t>
  </si>
  <si>
    <t xml:space="preserve">Inscription FS ATA </t>
  </si>
  <si>
    <t xml:space="preserve">Prévenir Béatrice en avance du paiement </t>
  </si>
  <si>
    <t>Paiement du FS ATA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</si>
  <si>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</si>
  <si>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</si>
  <si>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</si>
  <si>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</si>
  <si>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</si>
  <si>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</si>
  <si>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</si>
  <si>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</si>
  <si>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</si>
  <si>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</si>
  <si>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</si>
  <si>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</si>
  <si>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</si>
  <si>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</si>
  <si>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</si>
  <si>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</si>
  <si>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</si>
  <si>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</si>
  <si>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</si>
  <si>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</si>
  <si>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</si>
  <si>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</si>
  <si>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</si>
  <si>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Plannifier soudure des chapes</t>
  </si>
  <si>
    <t>v0.8</t>
  </si>
  <si>
    <t xml:space="preserve">Essais traction </t>
  </si>
  <si>
    <t>Réserve séance et machine de TP IDM</t>
  </si>
  <si>
    <t>Préparer les pièces et outils nécesssaire pour le montage</t>
  </si>
  <si>
    <t>Préparer les igs et MEP de la 2er vague (Chapes LAS &amp; S700)</t>
  </si>
  <si>
    <t>Production chapes suspensions arrières</t>
  </si>
  <si>
    <t>Réalisation des essais 1 (rotules et collage alu-alu)</t>
  </si>
  <si>
    <t>Réalisation des essais 2 (collage alu-carbone)</t>
  </si>
  <si>
    <t>Commander Maxxess</t>
  </si>
  <si>
    <t>Commander la carrosserie Centrale</t>
  </si>
  <si>
    <t>Commander la carrosserie Bron</t>
  </si>
  <si>
    <t>Réaliser le gabarits chapes Portes excentriques</t>
  </si>
  <si>
    <t>Réaliser gabarits chapes carrosserie</t>
  </si>
  <si>
    <t>Réaliser gabarits chapes elec</t>
  </si>
  <si>
    <t>Réaliser gabarits chapes pédalier</t>
  </si>
  <si>
    <t>BDE</t>
  </si>
  <si>
    <t>Association</t>
  </si>
  <si>
    <t>Soirée remerciement</t>
  </si>
  <si>
    <t>EPSAlten</t>
  </si>
  <si>
    <t>Video d'intégration</t>
  </si>
  <si>
    <t>Réparation du git Intergen</t>
  </si>
  <si>
    <t>Définition du Roll Out</t>
  </si>
  <si>
    <t>Plannification du roll out</t>
  </si>
  <si>
    <t>Inviter Debouck au FS</t>
  </si>
  <si>
    <t>Paiement du FSN</t>
  </si>
  <si>
    <t>Imprimer les deadlines des compétitions &amp; ajouter au Gantt</t>
  </si>
  <si>
    <t>Introduction :</t>
  </si>
  <si>
    <t>L'objectif de cette feuille est de ...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</si>
  <si>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</si>
  <si>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 Gameiro</t>
  </si>
  <si>
    <t>nicolas.gameiro@ecl17.ec-lyon.fr</t>
  </si>
  <si>
    <t xml:space="preserve">Plannifier la cartographie à Chambery </t>
  </si>
  <si>
    <t>Recontacter Prismadd</t>
  </si>
  <si>
    <t>Partenariat Nexter Group</t>
  </si>
  <si>
    <t>Commande des textiles Asso</t>
  </si>
  <si>
    <t>Crise Incendie Boisard</t>
  </si>
  <si>
    <t>Lister l'ensemble des entreprises alternatives à Boisard</t>
  </si>
  <si>
    <t>Préparer un mail de demande de partenariat</t>
  </si>
  <si>
    <t>Affecter les entreprises à des responsables</t>
  </si>
  <si>
    <t>Préparer les MEP et igs des pièces à faire</t>
  </si>
  <si>
    <t>Définir les pièces urgents</t>
  </si>
  <si>
    <t>Envoyer un mail urgent à La Mache</t>
  </si>
  <si>
    <t>Démarcher les entreprises sélectionnées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</si>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</sst>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sz val="10"/>
      <color rgb="FF00B050"/>
      <name val="Raleway"/>
      <family val="2"/>
    </font>
    <font>
      <b/>
      <sz val="10"/>
      <name val="Arial"/>
      <family val="2"/>
    </font>
    <font>
      <b/>
      <sz val="11"/>
      <color theme="0" tint="-0.499984740745262"/>
      <name val="Raleway"/>
      <family val="2"/>
    </font>
    <font>
      <b/>
      <sz val="11"/>
      <color rgb="FF00B050"/>
      <name val="Raleway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b/>
      <sz val="11"/>
      <name val="Raleway"/>
      <family val="2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</fills>
  <borders count="1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/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38" fillId="0" borderId="0" applyNumberFormat="0" applyFill="0" applyBorder="0" applyAlignment="0" applyProtection="0"/>
  </cellStyleXfs>
  <cellXfs count="471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6" borderId="19" xfId="1" applyFont="1" applyFill="1" applyBorder="1" applyAlignment="1">
      <alignment horizontal="center"/>
    </xf>
    <xf numFmtId="0" fontId="15" fillId="6" borderId="20" xfId="1" applyFont="1" applyFill="1" applyBorder="1" applyAlignment="1">
      <alignment horizontal="center"/>
    </xf>
    <xf numFmtId="0" fontId="15" fillId="7" borderId="14" xfId="1" applyFont="1" applyFill="1" applyBorder="1" applyAlignment="1">
      <alignment horizontal="center"/>
    </xf>
    <xf numFmtId="0" fontId="15" fillId="6" borderId="21" xfId="1" applyFont="1" applyFill="1" applyBorder="1" applyAlignment="1">
      <alignment horizontal="center"/>
    </xf>
    <xf numFmtId="0" fontId="12" fillId="6" borderId="22" xfId="1" applyFont="1" applyFill="1" applyBorder="1" applyAlignment="1">
      <alignment horizontal="center" vertical="center"/>
    </xf>
    <xf numFmtId="0" fontId="20" fillId="6" borderId="2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5" fillId="0" borderId="24" xfId="1" applyFont="1" applyFill="1" applyBorder="1" applyAlignment="1">
      <alignment horizontal="center"/>
    </xf>
    <xf numFmtId="0" fontId="15" fillId="0" borderId="25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15" fillId="0" borderId="27" xfId="1" applyFont="1" applyFill="1" applyBorder="1" applyAlignment="1">
      <alignment horizontal="center"/>
    </xf>
    <xf numFmtId="0" fontId="15" fillId="0" borderId="28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9" borderId="25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10" borderId="25" xfId="1" applyFont="1" applyFill="1" applyBorder="1" applyAlignment="1">
      <alignment horizontal="center"/>
    </xf>
    <xf numFmtId="0" fontId="15" fillId="10" borderId="28" xfId="1" applyFont="1" applyFill="1" applyBorder="1" applyAlignment="1">
      <alignment horizontal="center"/>
    </xf>
    <xf numFmtId="0" fontId="15" fillId="10" borderId="27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11" borderId="27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22" fillId="0" borderId="35" xfId="1" applyFont="1" applyBorder="1" applyAlignment="1">
      <alignment horizontal="left" vertical="center"/>
    </xf>
    <xf numFmtId="0" fontId="23" fillId="0" borderId="36" xfId="1" applyFont="1" applyBorder="1" applyAlignment="1">
      <alignment horizontal="center" vertical="center"/>
    </xf>
    <xf numFmtId="0" fontId="20" fillId="12" borderId="1" xfId="1" applyFont="1" applyFill="1" applyBorder="1" applyAlignment="1">
      <alignment horizontal="center" vertical="center"/>
    </xf>
    <xf numFmtId="0" fontId="15" fillId="13" borderId="37" xfId="1" applyFont="1" applyFill="1" applyBorder="1" applyAlignment="1">
      <alignment horizontal="center"/>
    </xf>
    <xf numFmtId="0" fontId="15" fillId="13" borderId="38" xfId="1" applyFont="1" applyFill="1" applyBorder="1" applyAlignment="1">
      <alignment horizontal="center"/>
    </xf>
    <xf numFmtId="0" fontId="15" fillId="13" borderId="39" xfId="1" applyFont="1" applyFill="1" applyBorder="1" applyAlignment="1">
      <alignment horizontal="center"/>
    </xf>
    <xf numFmtId="0" fontId="15" fillId="13" borderId="40" xfId="1" applyFont="1" applyFill="1" applyBorder="1" applyAlignment="1">
      <alignment horizontal="center"/>
    </xf>
    <xf numFmtId="0" fontId="15" fillId="0" borderId="38" xfId="1" applyFont="1" applyFill="1" applyBorder="1" applyAlignment="1">
      <alignment horizontal="center"/>
    </xf>
    <xf numFmtId="0" fontId="15" fillId="0" borderId="41" xfId="1" applyFont="1" applyFill="1" applyBorder="1" applyAlignment="1">
      <alignment horizontal="center"/>
    </xf>
    <xf numFmtId="0" fontId="15" fillId="0" borderId="40" xfId="1" applyFont="1" applyFill="1" applyBorder="1" applyAlignment="1">
      <alignment horizontal="center"/>
    </xf>
    <xf numFmtId="0" fontId="15" fillId="8" borderId="38" xfId="1" applyFont="1" applyFill="1" applyBorder="1" applyAlignment="1">
      <alignment horizontal="center"/>
    </xf>
    <xf numFmtId="0" fontId="15" fillId="8" borderId="41" xfId="1" applyFont="1" applyFill="1" applyBorder="1" applyAlignment="1">
      <alignment horizontal="center"/>
    </xf>
    <xf numFmtId="0" fontId="15" fillId="8" borderId="40" xfId="1" applyFont="1" applyFill="1" applyBorder="1" applyAlignment="1">
      <alignment horizontal="center"/>
    </xf>
    <xf numFmtId="0" fontId="15" fillId="8" borderId="42" xfId="1" applyFont="1" applyFill="1" applyBorder="1" applyAlignment="1">
      <alignment horizontal="center"/>
    </xf>
    <xf numFmtId="0" fontId="15" fillId="8" borderId="43" xfId="1" applyFont="1" applyFill="1" applyBorder="1" applyAlignment="1">
      <alignment horizontal="center"/>
    </xf>
    <xf numFmtId="0" fontId="15" fillId="8" borderId="39" xfId="1" applyFont="1" applyFill="1" applyBorder="1" applyAlignment="1">
      <alignment horizontal="center"/>
    </xf>
    <xf numFmtId="0" fontId="15" fillId="0" borderId="39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9" borderId="38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5" fillId="10" borderId="41" xfId="1" applyFont="1" applyFill="1" applyBorder="1" applyAlignment="1">
      <alignment horizontal="center"/>
    </xf>
    <xf numFmtId="0" fontId="15" fillId="10" borderId="40" xfId="1" applyFont="1" applyFill="1" applyBorder="1" applyAlignment="1">
      <alignment horizontal="center"/>
    </xf>
    <xf numFmtId="0" fontId="15" fillId="0" borderId="45" xfId="1" applyFont="1" applyFill="1" applyBorder="1" applyAlignment="1">
      <alignment horizontal="center"/>
    </xf>
    <xf numFmtId="0" fontId="15" fillId="11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22" fillId="0" borderId="47" xfId="1" applyFont="1" applyBorder="1" applyAlignment="1">
      <alignment horizontal="left" vertical="center"/>
    </xf>
    <xf numFmtId="0" fontId="23" fillId="0" borderId="48" xfId="1" applyFont="1" applyBorder="1" applyAlignment="1">
      <alignment horizontal="center" vertical="center"/>
    </xf>
    <xf numFmtId="0" fontId="20" fillId="12" borderId="49" xfId="1" applyFont="1" applyFill="1" applyBorder="1" applyAlignment="1">
      <alignment horizontal="center" vertical="center"/>
    </xf>
    <xf numFmtId="0" fontId="15" fillId="0" borderId="43" xfId="1" applyFont="1" applyFill="1" applyBorder="1" applyAlignment="1">
      <alignment horizontal="center"/>
    </xf>
    <xf numFmtId="0" fontId="15" fillId="13" borderId="41" xfId="1" applyFont="1" applyFill="1" applyBorder="1" applyAlignment="1">
      <alignment horizontal="center"/>
    </xf>
    <xf numFmtId="0" fontId="15" fillId="14" borderId="38" xfId="1" applyFont="1" applyFill="1" applyBorder="1" applyAlignment="1">
      <alignment horizontal="center"/>
    </xf>
    <xf numFmtId="0" fontId="20" fillId="15" borderId="50" xfId="1" applyFont="1" applyFill="1" applyBorder="1" applyAlignment="1">
      <alignment horizontal="center" vertical="center"/>
    </xf>
    <xf numFmtId="0" fontId="15" fillId="0" borderId="51" xfId="1" applyFont="1" applyFill="1" applyBorder="1" applyAlignment="1">
      <alignment horizontal="center"/>
    </xf>
    <xf numFmtId="0" fontId="15" fillId="0" borderId="52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0" borderId="55" xfId="1" applyFont="1" applyFill="1" applyBorder="1" applyAlignment="1">
      <alignment horizontal="center"/>
    </xf>
    <xf numFmtId="0" fontId="15" fillId="8" borderId="52" xfId="1" applyFont="1" applyFill="1" applyBorder="1" applyAlignment="1">
      <alignment horizontal="center"/>
    </xf>
    <xf numFmtId="0" fontId="15" fillId="8" borderId="55" xfId="1" applyFont="1" applyFill="1" applyBorder="1" applyAlignment="1">
      <alignment horizontal="center"/>
    </xf>
    <xf numFmtId="0" fontId="15" fillId="8" borderId="54" xfId="1" applyFont="1" applyFill="1" applyBorder="1" applyAlignment="1">
      <alignment horizontal="center"/>
    </xf>
    <xf numFmtId="0" fontId="15" fillId="8" borderId="56" xfId="1" applyFont="1" applyFill="1" applyBorder="1" applyAlignment="1">
      <alignment horizontal="center"/>
    </xf>
    <xf numFmtId="0" fontId="15" fillId="8" borderId="51" xfId="1" applyFont="1" applyFill="1" applyBorder="1" applyAlignment="1">
      <alignment horizontal="center"/>
    </xf>
    <xf numFmtId="0" fontId="15" fillId="8" borderId="53" xfId="1" applyFont="1" applyFill="1" applyBorder="1" applyAlignment="1">
      <alignment horizontal="center"/>
    </xf>
    <xf numFmtId="0" fontId="15" fillId="13" borderId="54" xfId="1" applyFont="1" applyFill="1" applyBorder="1" applyAlignment="1">
      <alignment horizontal="center"/>
    </xf>
    <xf numFmtId="0" fontId="15" fillId="13" borderId="52" xfId="1" applyFont="1" applyFill="1" applyBorder="1" applyAlignment="1">
      <alignment horizontal="center"/>
    </xf>
    <xf numFmtId="0" fontId="15" fillId="13" borderId="55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9" borderId="52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10" borderId="52" xfId="1" applyFont="1" applyFill="1" applyBorder="1" applyAlignment="1">
      <alignment horizontal="center"/>
    </xf>
    <xf numFmtId="0" fontId="15" fillId="10" borderId="55" xfId="1" applyFont="1" applyFill="1" applyBorder="1" applyAlignment="1">
      <alignment horizontal="center"/>
    </xf>
    <xf numFmtId="0" fontId="15" fillId="10" borderId="54" xfId="1" applyFont="1" applyFill="1" applyBorder="1" applyAlignment="1">
      <alignment horizontal="center"/>
    </xf>
    <xf numFmtId="0" fontId="15" fillId="0" borderId="59" xfId="1" applyFont="1" applyFill="1" applyBorder="1" applyAlignment="1">
      <alignment horizontal="center"/>
    </xf>
    <xf numFmtId="0" fontId="15" fillId="11" borderId="54" xfId="1" applyFont="1" applyFill="1" applyBorder="1" applyAlignment="1">
      <alignment horizontal="center"/>
    </xf>
    <xf numFmtId="0" fontId="15" fillId="0" borderId="60" xfId="1" applyFont="1" applyFill="1" applyBorder="1" applyAlignment="1">
      <alignment horizontal="center"/>
    </xf>
    <xf numFmtId="0" fontId="20" fillId="12" borderId="50" xfId="1" applyFont="1" applyFill="1" applyBorder="1" applyAlignment="1">
      <alignment horizontal="center" vertical="center"/>
    </xf>
    <xf numFmtId="0" fontId="15" fillId="0" borderId="61" xfId="1" applyFont="1" applyFill="1" applyBorder="1" applyAlignment="1">
      <alignment horizontal="center"/>
    </xf>
    <xf numFmtId="0" fontId="15" fillId="0" borderId="62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0" borderId="64" xfId="1" applyFont="1" applyFill="1" applyBorder="1" applyAlignment="1">
      <alignment horizontal="center"/>
    </xf>
    <xf numFmtId="0" fontId="15" fillId="0" borderId="65" xfId="1" applyFont="1" applyFill="1" applyBorder="1" applyAlignment="1">
      <alignment horizontal="center"/>
    </xf>
    <xf numFmtId="0" fontId="15" fillId="8" borderId="62" xfId="1" applyFont="1" applyFill="1" applyBorder="1" applyAlignment="1">
      <alignment horizontal="center"/>
    </xf>
    <xf numFmtId="0" fontId="15" fillId="8" borderId="65" xfId="1" applyFont="1" applyFill="1" applyBorder="1" applyAlignment="1">
      <alignment horizontal="center"/>
    </xf>
    <xf numFmtId="0" fontId="15" fillId="8" borderId="64" xfId="1" applyFont="1" applyFill="1" applyBorder="1" applyAlignment="1">
      <alignment horizontal="center"/>
    </xf>
    <xf numFmtId="0" fontId="15" fillId="8" borderId="66" xfId="1" applyFont="1" applyFill="1" applyBorder="1" applyAlignment="1">
      <alignment horizontal="center"/>
    </xf>
    <xf numFmtId="0" fontId="15" fillId="8" borderId="61" xfId="1" applyFont="1" applyFill="1" applyBorder="1" applyAlignment="1">
      <alignment horizontal="center"/>
    </xf>
    <xf numFmtId="0" fontId="15" fillId="8" borderId="63" xfId="1" applyFont="1" applyFill="1" applyBorder="1" applyAlignment="1">
      <alignment horizontal="center"/>
    </xf>
    <xf numFmtId="0" fontId="24" fillId="0" borderId="64" xfId="1" applyFont="1" applyFill="1" applyBorder="1" applyAlignment="1">
      <alignment horizontal="center"/>
    </xf>
    <xf numFmtId="0" fontId="24" fillId="0" borderId="62" xfId="1" applyFont="1" applyFill="1" applyBorder="1" applyAlignment="1">
      <alignment horizontal="center"/>
    </xf>
    <xf numFmtId="0" fontId="24" fillId="0" borderId="65" xfId="1" applyFont="1" applyFill="1" applyBorder="1" applyAlignment="1">
      <alignment horizontal="center"/>
    </xf>
    <xf numFmtId="0" fontId="15" fillId="13" borderId="64" xfId="1" applyFont="1" applyFill="1" applyBorder="1" applyAlignment="1">
      <alignment horizontal="center"/>
    </xf>
    <xf numFmtId="0" fontId="15" fillId="13" borderId="62" xfId="1" applyFont="1" applyFill="1" applyBorder="1" applyAlignment="1">
      <alignment horizontal="center"/>
    </xf>
    <xf numFmtId="0" fontId="15" fillId="14" borderId="62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9" borderId="62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10" borderId="62" xfId="1" applyFont="1" applyFill="1" applyBorder="1" applyAlignment="1">
      <alignment horizontal="center"/>
    </xf>
    <xf numFmtId="0" fontId="15" fillId="10" borderId="65" xfId="1" applyFont="1" applyFill="1" applyBorder="1" applyAlignment="1">
      <alignment horizontal="center"/>
    </xf>
    <xf numFmtId="0" fontId="15" fillId="10" borderId="64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11" borderId="64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8" borderId="25" xfId="1" applyFont="1" applyFill="1" applyBorder="1" applyAlignment="1">
      <alignment horizontal="center"/>
    </xf>
    <xf numFmtId="0" fontId="15" fillId="8" borderId="28" xfId="1" applyFont="1" applyFill="1" applyBorder="1" applyAlignment="1">
      <alignment horizontal="center"/>
    </xf>
    <xf numFmtId="0" fontId="15" fillId="8" borderId="27" xfId="1" applyFont="1" applyFill="1" applyBorder="1" applyAlignment="1">
      <alignment horizontal="center"/>
    </xf>
    <xf numFmtId="0" fontId="15" fillId="8" borderId="71" xfId="1" applyFont="1" applyFill="1" applyBorder="1" applyAlignment="1">
      <alignment horizontal="center"/>
    </xf>
    <xf numFmtId="0" fontId="15" fillId="8" borderId="24" xfId="1" applyFont="1" applyFill="1" applyBorder="1" applyAlignment="1">
      <alignment horizontal="center"/>
    </xf>
    <xf numFmtId="0" fontId="15" fillId="8" borderId="26" xfId="1" applyFont="1" applyFill="1" applyBorder="1" applyAlignment="1">
      <alignment horizontal="center"/>
    </xf>
    <xf numFmtId="0" fontId="15" fillId="13" borderId="43" xfId="1" applyFont="1" applyFill="1" applyBorder="1" applyAlignment="1">
      <alignment horizontal="center"/>
    </xf>
    <xf numFmtId="0" fontId="20" fillId="16" borderId="50" xfId="1" applyFont="1" applyFill="1" applyBorder="1" applyAlignment="1">
      <alignment horizontal="center" vertical="center"/>
    </xf>
    <xf numFmtId="0" fontId="22" fillId="0" borderId="72" xfId="1" applyFont="1" applyBorder="1" applyAlignment="1">
      <alignment horizontal="left" vertical="center"/>
    </xf>
    <xf numFmtId="0" fontId="15" fillId="14" borderId="54" xfId="1" applyFont="1" applyFill="1" applyBorder="1" applyAlignment="1">
      <alignment horizontal="center"/>
    </xf>
    <xf numFmtId="0" fontId="15" fillId="13" borderId="65" xfId="1" applyFont="1" applyFill="1" applyBorder="1" applyAlignment="1">
      <alignment horizontal="center"/>
    </xf>
    <xf numFmtId="0" fontId="20" fillId="15" borderId="49" xfId="1" applyFont="1" applyFill="1" applyBorder="1" applyAlignment="1">
      <alignment horizontal="center" vertical="center"/>
    </xf>
    <xf numFmtId="0" fontId="24" fillId="17" borderId="38" xfId="1" applyFont="1" applyFill="1" applyBorder="1" applyAlignment="1">
      <alignment horizontal="center"/>
    </xf>
    <xf numFmtId="0" fontId="24" fillId="17" borderId="41" xfId="1" applyFont="1" applyFill="1" applyBorder="1" applyAlignment="1">
      <alignment horizontal="center"/>
    </xf>
    <xf numFmtId="0" fontId="24" fillId="17" borderId="40" xfId="1" applyFont="1" applyFill="1" applyBorder="1" applyAlignment="1">
      <alignment horizontal="center"/>
    </xf>
    <xf numFmtId="0" fontId="15" fillId="18" borderId="25" xfId="1" applyFont="1" applyFill="1" applyBorder="1" applyAlignment="1">
      <alignment horizontal="center"/>
    </xf>
    <xf numFmtId="0" fontId="15" fillId="18" borderId="28" xfId="1" applyFont="1" applyFill="1" applyBorder="1" applyAlignment="1">
      <alignment horizontal="center"/>
    </xf>
    <xf numFmtId="0" fontId="15" fillId="18" borderId="27" xfId="1" applyFont="1" applyFill="1" applyBorder="1" applyAlignment="1">
      <alignment horizontal="center"/>
    </xf>
    <xf numFmtId="0" fontId="25" fillId="0" borderId="48" xfId="1" applyFont="1" applyBorder="1" applyAlignment="1">
      <alignment horizontal="center" vertical="center"/>
    </xf>
    <xf numFmtId="0" fontId="15" fillId="18" borderId="38" xfId="1" applyFont="1" applyFill="1" applyBorder="1" applyAlignment="1">
      <alignment horizontal="center"/>
    </xf>
    <xf numFmtId="0" fontId="15" fillId="18" borderId="41" xfId="1" applyFont="1" applyFill="1" applyBorder="1" applyAlignment="1">
      <alignment horizontal="center"/>
    </xf>
    <xf numFmtId="0" fontId="15" fillId="18" borderId="40" xfId="1" applyFont="1" applyFill="1" applyBorder="1" applyAlignment="1">
      <alignment horizontal="center"/>
    </xf>
    <xf numFmtId="0" fontId="15" fillId="14" borderId="40" xfId="1" applyFont="1" applyFill="1" applyBorder="1" applyAlignment="1">
      <alignment horizontal="center"/>
    </xf>
    <xf numFmtId="0" fontId="22" fillId="0" borderId="73" xfId="1" applyFont="1" applyBorder="1" applyAlignment="1">
      <alignment horizontal="left" vertical="center"/>
    </xf>
    <xf numFmtId="0" fontId="15" fillId="18" borderId="52" xfId="1" applyFont="1" applyFill="1" applyBorder="1" applyAlignment="1">
      <alignment horizontal="center"/>
    </xf>
    <xf numFmtId="0" fontId="15" fillId="18" borderId="55" xfId="1" applyFont="1" applyFill="1" applyBorder="1" applyAlignment="1">
      <alignment horizontal="center"/>
    </xf>
    <xf numFmtId="0" fontId="15" fillId="18" borderId="54" xfId="1" applyFont="1" applyFill="1" applyBorder="1" applyAlignment="1">
      <alignment horizontal="center"/>
    </xf>
    <xf numFmtId="0" fontId="15" fillId="10" borderId="74" xfId="1" applyFont="1" applyFill="1" applyBorder="1" applyAlignment="1">
      <alignment horizontal="center"/>
    </xf>
    <xf numFmtId="0" fontId="15" fillId="10" borderId="75" xfId="1" applyFont="1" applyFill="1" applyBorder="1" applyAlignment="1">
      <alignment horizontal="center"/>
    </xf>
    <xf numFmtId="0" fontId="15" fillId="10" borderId="76" xfId="1" applyFont="1" applyFill="1" applyBorder="1" applyAlignment="1">
      <alignment horizontal="center"/>
    </xf>
    <xf numFmtId="0" fontId="15" fillId="10" borderId="77" xfId="1" applyFont="1" applyFill="1" applyBorder="1" applyAlignment="1">
      <alignment horizontal="center"/>
    </xf>
    <xf numFmtId="0" fontId="15" fillId="10" borderId="78" xfId="1" applyFont="1" applyFill="1" applyBorder="1" applyAlignment="1">
      <alignment horizontal="center"/>
    </xf>
    <xf numFmtId="0" fontId="15" fillId="13" borderId="79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0" borderId="80" xfId="1" applyFont="1" applyFill="1" applyBorder="1" applyAlignment="1">
      <alignment horizontal="center"/>
    </xf>
    <xf numFmtId="0" fontId="15" fillId="0" borderId="76" xfId="1" applyFont="1" applyFill="1" applyBorder="1" applyAlignment="1">
      <alignment horizontal="center"/>
    </xf>
    <xf numFmtId="0" fontId="15" fillId="0" borderId="75" xfId="1" applyFont="1" applyFill="1" applyBorder="1" applyAlignment="1">
      <alignment horizontal="center"/>
    </xf>
    <xf numFmtId="0" fontId="15" fillId="8" borderId="74" xfId="1" applyFont="1" applyFill="1" applyBorder="1" applyAlignment="1">
      <alignment horizontal="center"/>
    </xf>
    <xf numFmtId="0" fontId="15" fillId="8" borderId="75" xfId="1" applyFont="1" applyFill="1" applyBorder="1" applyAlignment="1">
      <alignment horizontal="center"/>
    </xf>
    <xf numFmtId="0" fontId="15" fillId="8" borderId="76" xfId="1" applyFont="1" applyFill="1" applyBorder="1" applyAlignment="1">
      <alignment horizontal="center"/>
    </xf>
    <xf numFmtId="0" fontId="15" fillId="8" borderId="81" xfId="1" applyFont="1" applyFill="1" applyBorder="1" applyAlignment="1">
      <alignment horizontal="center"/>
    </xf>
    <xf numFmtId="0" fontId="15" fillId="8" borderId="79" xfId="1" applyFont="1" applyFill="1" applyBorder="1" applyAlignment="1">
      <alignment horizontal="center"/>
    </xf>
    <xf numFmtId="0" fontId="15" fillId="8" borderId="80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9" borderId="74" xfId="1" applyFont="1" applyFill="1" applyBorder="1" applyAlignment="1">
      <alignment horizontal="center"/>
    </xf>
    <xf numFmtId="0" fontId="15" fillId="0" borderId="78" xfId="1" applyFont="1" applyFill="1" applyBorder="1" applyAlignment="1">
      <alignment horizontal="center"/>
    </xf>
    <xf numFmtId="0" fontId="15" fillId="18" borderId="74" xfId="1" applyFont="1" applyFill="1" applyBorder="1" applyAlignment="1">
      <alignment horizontal="center"/>
    </xf>
    <xf numFmtId="0" fontId="15" fillId="18" borderId="75" xfId="1" applyFont="1" applyFill="1" applyBorder="1" applyAlignment="1">
      <alignment horizontal="center"/>
    </xf>
    <xf numFmtId="0" fontId="15" fillId="18" borderId="76" xfId="1" applyFont="1" applyFill="1" applyBorder="1" applyAlignment="1">
      <alignment horizontal="center"/>
    </xf>
    <xf numFmtId="0" fontId="15" fillId="11" borderId="76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79" xfId="1" applyFont="1" applyFill="1" applyBorder="1" applyAlignment="1">
      <alignment horizontal="center"/>
    </xf>
    <xf numFmtId="0" fontId="15" fillId="13" borderId="74" xfId="1" applyFont="1" applyFill="1" applyBorder="1" applyAlignment="1">
      <alignment horizontal="center"/>
    </xf>
    <xf numFmtId="0" fontId="15" fillId="10" borderId="45" xfId="1" applyFont="1" applyFill="1" applyBorder="1" applyAlignment="1">
      <alignment horizontal="center"/>
    </xf>
    <xf numFmtId="0" fontId="15" fillId="10" borderId="37" xfId="1" applyFont="1" applyFill="1" applyBorder="1" applyAlignment="1">
      <alignment horizontal="center"/>
    </xf>
    <xf numFmtId="0" fontId="22" fillId="0" borderId="84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3" fillId="0" borderId="85" xfId="1" applyFont="1" applyBorder="1" applyAlignment="1">
      <alignment horizontal="center" vertical="center"/>
    </xf>
    <xf numFmtId="0" fontId="15" fillId="13" borderId="86" xfId="1" applyFont="1" applyFill="1" applyBorder="1" applyAlignment="1">
      <alignment horizontal="center"/>
    </xf>
    <xf numFmtId="0" fontId="15" fillId="13" borderId="87" xfId="1" applyFont="1" applyFill="1" applyBorder="1" applyAlignment="1">
      <alignment horizontal="center"/>
    </xf>
    <xf numFmtId="0" fontId="15" fillId="0" borderId="87" xfId="1" applyFont="1" applyFill="1" applyBorder="1" applyAlignment="1">
      <alignment horizontal="center"/>
    </xf>
    <xf numFmtId="0" fontId="15" fillId="0" borderId="88" xfId="1" applyFont="1" applyFill="1" applyBorder="1" applyAlignment="1">
      <alignment horizontal="center"/>
    </xf>
    <xf numFmtId="0" fontId="15" fillId="0" borderId="89" xfId="1" applyFont="1" applyFill="1" applyBorder="1" applyAlignment="1">
      <alignment horizontal="center"/>
    </xf>
    <xf numFmtId="0" fontId="15" fillId="0" borderId="90" xfId="1" applyFont="1" applyFill="1" applyBorder="1" applyAlignment="1">
      <alignment horizontal="center"/>
    </xf>
    <xf numFmtId="0" fontId="15" fillId="8" borderId="87" xfId="1" applyFont="1" applyFill="1" applyBorder="1" applyAlignment="1">
      <alignment horizontal="center"/>
    </xf>
    <xf numFmtId="0" fontId="15" fillId="8" borderId="90" xfId="1" applyFont="1" applyFill="1" applyBorder="1" applyAlignment="1">
      <alignment horizontal="center"/>
    </xf>
    <xf numFmtId="0" fontId="15" fillId="8" borderId="89" xfId="1" applyFont="1" applyFill="1" applyBorder="1" applyAlignment="1">
      <alignment horizontal="center"/>
    </xf>
    <xf numFmtId="0" fontId="15" fillId="8" borderId="91" xfId="1" applyFont="1" applyFill="1" applyBorder="1" applyAlignment="1">
      <alignment horizontal="center"/>
    </xf>
    <xf numFmtId="0" fontId="15" fillId="8" borderId="86" xfId="1" applyFont="1" applyFill="1" applyBorder="1" applyAlignment="1">
      <alignment horizontal="center"/>
    </xf>
    <xf numFmtId="0" fontId="15" fillId="8" borderId="88" xfId="1" applyFont="1" applyFill="1" applyBorder="1" applyAlignment="1">
      <alignment horizontal="center"/>
    </xf>
    <xf numFmtId="0" fontId="15" fillId="0" borderId="92" xfId="1" applyFont="1" applyFill="1" applyBorder="1" applyAlignment="1">
      <alignment horizontal="center"/>
    </xf>
    <xf numFmtId="0" fontId="15" fillId="9" borderId="87" xfId="1" applyFont="1" applyFill="1" applyBorder="1" applyAlignment="1">
      <alignment horizontal="center"/>
    </xf>
    <xf numFmtId="0" fontId="15" fillId="0" borderId="93" xfId="1" applyFont="1" applyFill="1" applyBorder="1" applyAlignment="1">
      <alignment horizontal="center"/>
    </xf>
    <xf numFmtId="0" fontId="15" fillId="18" borderId="87" xfId="1" applyFont="1" applyFill="1" applyBorder="1" applyAlignment="1">
      <alignment horizontal="center"/>
    </xf>
    <xf numFmtId="0" fontId="15" fillId="18" borderId="90" xfId="1" applyFont="1" applyFill="1" applyBorder="1" applyAlignment="1">
      <alignment horizontal="center"/>
    </xf>
    <xf numFmtId="0" fontId="15" fillId="18" borderId="89" xfId="1" applyFont="1" applyFill="1" applyBorder="1" applyAlignment="1">
      <alignment horizontal="center"/>
    </xf>
    <xf numFmtId="0" fontId="15" fillId="10" borderId="87" xfId="1" applyFont="1" applyFill="1" applyBorder="1" applyAlignment="1">
      <alignment horizontal="center"/>
    </xf>
    <xf numFmtId="0" fontId="15" fillId="10" borderId="90" xfId="1" applyFont="1" applyFill="1" applyBorder="1" applyAlignment="1">
      <alignment horizontal="center"/>
    </xf>
    <xf numFmtId="0" fontId="15" fillId="11" borderId="89" xfId="1" applyFont="1" applyFill="1" applyBorder="1" applyAlignment="1">
      <alignment horizontal="center"/>
    </xf>
    <xf numFmtId="0" fontId="15" fillId="0" borderId="94" xfId="1" applyFont="1" applyFill="1" applyBorder="1" applyAlignment="1">
      <alignment horizontal="center"/>
    </xf>
    <xf numFmtId="0" fontId="15" fillId="0" borderId="86" xfId="1" applyFont="1" applyFill="1" applyBorder="1" applyAlignment="1">
      <alignment horizontal="center"/>
    </xf>
    <xf numFmtId="0" fontId="15" fillId="13" borderId="88" xfId="1" applyFont="1" applyFill="1" applyBorder="1" applyAlignment="1">
      <alignment horizontal="center"/>
    </xf>
    <xf numFmtId="0" fontId="15" fillId="13" borderId="89" xfId="1" applyFont="1" applyFill="1" applyBorder="1" applyAlignment="1">
      <alignment horizontal="center"/>
    </xf>
    <xf numFmtId="0" fontId="15" fillId="13" borderId="90" xfId="1" applyFont="1" applyFill="1" applyBorder="1" applyAlignment="1">
      <alignment horizontal="center"/>
    </xf>
    <xf numFmtId="0" fontId="15" fillId="14" borderId="87" xfId="1" applyFont="1" applyFill="1" applyBorder="1" applyAlignment="1">
      <alignment horizontal="center"/>
    </xf>
    <xf numFmtId="0" fontId="15" fillId="14" borderId="86" xfId="1" applyFont="1" applyFill="1" applyBorder="1" applyAlignment="1">
      <alignment horizontal="center"/>
    </xf>
    <xf numFmtId="0" fontId="15" fillId="13" borderId="93" xfId="1" applyFont="1" applyFill="1" applyBorder="1" applyAlignment="1">
      <alignment horizontal="center"/>
    </xf>
    <xf numFmtId="0" fontId="22" fillId="0" borderId="11" xfId="1" applyFont="1" applyBorder="1" applyAlignment="1">
      <alignment horizontal="left" vertical="center"/>
    </xf>
    <xf numFmtId="0" fontId="15" fillId="17" borderId="87" xfId="1" applyFont="1" applyFill="1" applyBorder="1" applyAlignment="1">
      <alignment horizontal="center"/>
    </xf>
    <xf numFmtId="0" fontId="15" fillId="3" borderId="87" xfId="1" applyFont="1" applyFill="1" applyBorder="1" applyAlignment="1">
      <alignment horizontal="center"/>
    </xf>
    <xf numFmtId="0" fontId="15" fillId="13" borderId="92" xfId="1" applyFont="1" applyFill="1" applyBorder="1" applyAlignment="1">
      <alignment horizontal="center"/>
    </xf>
    <xf numFmtId="0" fontId="15" fillId="3" borderId="90" xfId="1" applyFont="1" applyFill="1" applyBorder="1" applyAlignment="1">
      <alignment horizontal="center"/>
    </xf>
    <xf numFmtId="0" fontId="15" fillId="3" borderId="93" xfId="1" applyFont="1" applyFill="1" applyBorder="1" applyAlignment="1">
      <alignment horizontal="center"/>
    </xf>
    <xf numFmtId="0" fontId="15" fillId="18" borderId="93" xfId="1" applyFont="1" applyFill="1" applyBorder="1" applyAlignment="1">
      <alignment horizontal="center"/>
    </xf>
    <xf numFmtId="0" fontId="15" fillId="10" borderId="88" xfId="1" applyFont="1" applyFill="1" applyBorder="1" applyAlignment="1">
      <alignment horizontal="center"/>
    </xf>
    <xf numFmtId="0" fontId="15" fillId="13" borderId="76" xfId="1" applyFont="1" applyFill="1" applyBorder="1" applyAlignment="1">
      <alignment horizontal="center"/>
    </xf>
    <xf numFmtId="0" fontId="15" fillId="13" borderId="77" xfId="1" applyFont="1" applyFill="1" applyBorder="1" applyAlignment="1">
      <alignment horizontal="center"/>
    </xf>
    <xf numFmtId="0" fontId="15" fillId="13" borderId="78" xfId="1" applyFont="1" applyFill="1" applyBorder="1" applyAlignment="1">
      <alignment horizontal="center"/>
    </xf>
    <xf numFmtId="0" fontId="15" fillId="13" borderId="75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6" fillId="0" borderId="1" xfId="1" applyFont="1" applyBorder="1"/>
    <xf numFmtId="0" fontId="25" fillId="0" borderId="1" xfId="1" applyFont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0" fillId="16" borderId="1" xfId="1" applyFont="1" applyFill="1" applyBorder="1" applyAlignment="1">
      <alignment horizontal="center" vertical="center"/>
    </xf>
    <xf numFmtId="0" fontId="15" fillId="13" borderId="68" xfId="1" applyFont="1" applyFill="1" applyBorder="1" applyAlignment="1">
      <alignment horizontal="center"/>
    </xf>
    <xf numFmtId="0" fontId="15" fillId="18" borderId="64" xfId="1" applyFont="1" applyFill="1" applyBorder="1" applyAlignment="1">
      <alignment horizontal="center"/>
    </xf>
    <xf numFmtId="0" fontId="15" fillId="18" borderId="62" xfId="1" applyFont="1" applyFill="1" applyBorder="1" applyAlignment="1">
      <alignment horizontal="center"/>
    </xf>
    <xf numFmtId="0" fontId="15" fillId="18" borderId="65" xfId="1" applyFont="1" applyFill="1" applyBorder="1" applyAlignment="1">
      <alignment horizontal="center"/>
    </xf>
    <xf numFmtId="0" fontId="15" fillId="0" borderId="77" xfId="1" applyFont="1" applyFill="1" applyBorder="1" applyAlignment="1">
      <alignment horizontal="center"/>
    </xf>
    <xf numFmtId="0" fontId="12" fillId="6" borderId="11" xfId="1" applyFont="1" applyFill="1" applyBorder="1" applyAlignment="1">
      <alignment horizontal="center" vertical="center"/>
    </xf>
    <xf numFmtId="0" fontId="20" fillId="6" borderId="95" xfId="1" applyFont="1" applyFill="1" applyBorder="1" applyAlignment="1">
      <alignment horizontal="center" vertical="center"/>
    </xf>
    <xf numFmtId="0" fontId="23" fillId="0" borderId="96" xfId="1" applyFont="1" applyBorder="1" applyAlignment="1">
      <alignment horizontal="center" vertical="center"/>
    </xf>
    <xf numFmtId="0" fontId="20" fillId="12" borderId="97" xfId="1" applyFont="1" applyFill="1" applyBorder="1" applyAlignment="1">
      <alignment horizontal="center" vertical="center"/>
    </xf>
    <xf numFmtId="0" fontId="23" fillId="0" borderId="66" xfId="1" applyFont="1" applyBorder="1" applyAlignment="1">
      <alignment horizontal="center" vertical="center"/>
    </xf>
    <xf numFmtId="0" fontId="22" fillId="0" borderId="99" xfId="1" applyFont="1" applyBorder="1" applyAlignment="1">
      <alignment horizontal="left" vertical="center"/>
    </xf>
    <xf numFmtId="0" fontId="15" fillId="13" borderId="80" xfId="1" applyFont="1" applyFill="1" applyBorder="1" applyAlignment="1">
      <alignment horizontal="center"/>
    </xf>
    <xf numFmtId="0" fontId="20" fillId="12" borderId="100" xfId="1" applyFont="1" applyFill="1" applyBorder="1" applyAlignment="1">
      <alignment horizontal="center" vertical="center"/>
    </xf>
    <xf numFmtId="0" fontId="20" fillId="12" borderId="101" xfId="1" applyFont="1" applyFill="1" applyBorder="1" applyAlignment="1">
      <alignment horizontal="center" vertical="center"/>
    </xf>
    <xf numFmtId="0" fontId="15" fillId="0" borderId="102" xfId="1" applyFont="1" applyFill="1" applyBorder="1" applyAlignment="1">
      <alignment horizontal="center"/>
    </xf>
    <xf numFmtId="0" fontId="15" fillId="0" borderId="103" xfId="1" applyFont="1" applyFill="1" applyBorder="1" applyAlignment="1">
      <alignment horizontal="center"/>
    </xf>
    <xf numFmtId="0" fontId="15" fillId="0" borderId="104" xfId="1" applyFont="1" applyFill="1" applyBorder="1" applyAlignment="1">
      <alignment horizontal="center"/>
    </xf>
    <xf numFmtId="0" fontId="15" fillId="0" borderId="105" xfId="1" applyFont="1" applyFill="1" applyBorder="1" applyAlignment="1">
      <alignment horizontal="center"/>
    </xf>
    <xf numFmtId="0" fontId="15" fillId="0" borderId="106" xfId="1" applyFont="1" applyFill="1" applyBorder="1" applyAlignment="1">
      <alignment horizontal="center"/>
    </xf>
    <xf numFmtId="0" fontId="15" fillId="8" borderId="103" xfId="1" applyFont="1" applyFill="1" applyBorder="1" applyAlignment="1">
      <alignment horizontal="center"/>
    </xf>
    <xf numFmtId="0" fontId="15" fillId="8" borderId="106" xfId="1" applyFont="1" applyFill="1" applyBorder="1" applyAlignment="1">
      <alignment horizontal="center"/>
    </xf>
    <xf numFmtId="0" fontId="15" fillId="8" borderId="105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0" fontId="15" fillId="8" borderId="108" xfId="1" applyFont="1" applyFill="1" applyBorder="1" applyAlignment="1">
      <alignment horizontal="center"/>
    </xf>
    <xf numFmtId="0" fontId="15" fillId="8" borderId="104" xfId="1" applyFont="1" applyFill="1" applyBorder="1" applyAlignment="1">
      <alignment horizontal="center"/>
    </xf>
    <xf numFmtId="0" fontId="15" fillId="13" borderId="103" xfId="1" applyFont="1" applyFill="1" applyBorder="1" applyAlignment="1">
      <alignment horizontal="center"/>
    </xf>
    <xf numFmtId="0" fontId="15" fillId="13" borderId="106" xfId="1" applyFont="1" applyFill="1" applyBorder="1" applyAlignment="1">
      <alignment horizontal="center"/>
    </xf>
    <xf numFmtId="0" fontId="15" fillId="13" borderId="105" xfId="1" applyFont="1" applyFill="1" applyBorder="1" applyAlignment="1">
      <alignment horizontal="center"/>
    </xf>
    <xf numFmtId="0" fontId="20" fillId="12" borderId="109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center"/>
    </xf>
    <xf numFmtId="0" fontId="15" fillId="0" borderId="110" xfId="1" applyFont="1" applyFill="1" applyBorder="1" applyAlignment="1">
      <alignment horizontal="center"/>
    </xf>
    <xf numFmtId="0" fontId="27" fillId="14" borderId="62" xfId="1" applyFont="1" applyFill="1" applyBorder="1" applyAlignment="1">
      <alignment horizontal="center"/>
    </xf>
    <xf numFmtId="0" fontId="15" fillId="0" borderId="112" xfId="1" applyFont="1" applyFill="1" applyBorder="1" applyAlignment="1">
      <alignment horizont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13" borderId="113" xfId="1" applyFont="1" applyFill="1" applyBorder="1" applyAlignment="1">
      <alignment horizontal="center"/>
    </xf>
    <xf numFmtId="0" fontId="15" fillId="13" borderId="116" xfId="1" applyFont="1" applyFill="1" applyBorder="1" applyAlignment="1">
      <alignment horizontal="center"/>
    </xf>
    <xf numFmtId="0" fontId="15" fillId="13" borderId="115" xfId="1" applyFont="1" applyFill="1" applyBorder="1" applyAlignment="1">
      <alignment horizontal="center"/>
    </xf>
    <xf numFmtId="0" fontId="15" fillId="13" borderId="117" xfId="1" applyFont="1" applyFill="1" applyBorder="1" applyAlignment="1">
      <alignment horizontal="center"/>
    </xf>
    <xf numFmtId="0" fontId="20" fillId="15" borderId="118" xfId="1" applyFont="1" applyFill="1" applyBorder="1" applyAlignment="1">
      <alignment horizontal="center" vertical="center"/>
    </xf>
    <xf numFmtId="0" fontId="15" fillId="0" borderId="119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21" xfId="1" applyFont="1" applyFill="1" applyBorder="1" applyAlignment="1">
      <alignment horizontal="center"/>
    </xf>
    <xf numFmtId="0" fontId="15" fillId="0" borderId="122" xfId="1" applyFont="1" applyFill="1" applyBorder="1" applyAlignment="1">
      <alignment horizontal="center"/>
    </xf>
    <xf numFmtId="0" fontId="15" fillId="0" borderId="123" xfId="1" applyFont="1" applyFill="1" applyBorder="1" applyAlignment="1">
      <alignment horizontal="center"/>
    </xf>
    <xf numFmtId="0" fontId="15" fillId="0" borderId="124" xfId="1" applyFont="1" applyFill="1" applyBorder="1" applyAlignment="1">
      <alignment horizontal="center"/>
    </xf>
    <xf numFmtId="0" fontId="20" fillId="15" borderId="125" xfId="1" applyFont="1" applyFill="1" applyBorder="1" applyAlignment="1">
      <alignment horizontal="center" vertical="center"/>
    </xf>
    <xf numFmtId="0" fontId="15" fillId="0" borderId="126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0" borderId="128" xfId="1" applyFont="1" applyFill="1" applyBorder="1" applyAlignment="1">
      <alignment horizontal="center"/>
    </xf>
    <xf numFmtId="0" fontId="15" fillId="0" borderId="129" xfId="1" applyFont="1" applyFill="1" applyBorder="1" applyAlignment="1">
      <alignment horizontal="center"/>
    </xf>
    <xf numFmtId="0" fontId="15" fillId="0" borderId="130" xfId="1" applyFont="1" applyFill="1" applyBorder="1" applyAlignment="1">
      <alignment horizontal="center"/>
    </xf>
    <xf numFmtId="0" fontId="15" fillId="9" borderId="127" xfId="1" applyFont="1" applyFill="1" applyBorder="1" applyAlignment="1">
      <alignment horizontal="center"/>
    </xf>
    <xf numFmtId="0" fontId="15" fillId="18" borderId="131" xfId="1" applyFont="1" applyFill="1" applyBorder="1" applyAlignment="1">
      <alignment horizontal="center"/>
    </xf>
    <xf numFmtId="0" fontId="15" fillId="18" borderId="132" xfId="1" applyFont="1" applyFill="1" applyBorder="1" applyAlignment="1">
      <alignment horizontal="center"/>
    </xf>
    <xf numFmtId="0" fontId="15" fillId="18" borderId="133" xfId="1" applyFont="1" applyFill="1" applyBorder="1" applyAlignment="1">
      <alignment horizontal="center"/>
    </xf>
    <xf numFmtId="0" fontId="15" fillId="17" borderId="122" xfId="1" applyFont="1" applyFill="1" applyBorder="1" applyAlignment="1">
      <alignment horizontal="center"/>
    </xf>
    <xf numFmtId="0" fontId="15" fillId="17" borderId="120" xfId="1" applyFont="1" applyFill="1" applyBorder="1" applyAlignment="1">
      <alignment horizontal="center"/>
    </xf>
    <xf numFmtId="0" fontId="15" fillId="17" borderId="115" xfId="1" applyFont="1" applyFill="1" applyBorder="1" applyAlignment="1">
      <alignment horizontal="center"/>
    </xf>
    <xf numFmtId="0" fontId="15" fillId="17" borderId="113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22" fillId="0" borderId="0" xfId="1" applyFont="1" applyBorder="1" applyAlignment="1">
      <alignment horizontal="left" vertical="center"/>
    </xf>
    <xf numFmtId="0" fontId="15" fillId="6" borderId="0" xfId="1" applyFont="1" applyFill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6" borderId="109" xfId="1" applyFont="1" applyFill="1" applyBorder="1" applyAlignment="1">
      <alignment horizontal="center" vertical="center"/>
    </xf>
    <xf numFmtId="0" fontId="20" fillId="19" borderId="118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center"/>
    </xf>
    <xf numFmtId="0" fontId="15" fillId="14" borderId="113" xfId="1" applyFont="1" applyFill="1" applyBorder="1" applyAlignment="1">
      <alignment horizontal="center"/>
    </xf>
    <xf numFmtId="0" fontId="19" fillId="0" borderId="0" xfId="1" applyFont="1" applyAlignment="1"/>
    <xf numFmtId="14" fontId="0" fillId="0" borderId="0" xfId="0" applyNumberFormat="1"/>
    <xf numFmtId="0" fontId="20" fillId="6" borderId="12" xfId="1" applyFont="1" applyFill="1" applyBorder="1" applyAlignment="1">
      <alignment horizontal="center" vertical="center"/>
    </xf>
    <xf numFmtId="0" fontId="20" fillId="12" borderId="0" xfId="1" applyFont="1" applyFill="1" applyBorder="1" applyAlignment="1">
      <alignment horizontal="center" vertical="center"/>
    </xf>
    <xf numFmtId="0" fontId="20" fillId="16" borderId="0" xfId="1" applyFont="1" applyFill="1" applyBorder="1" applyAlignment="1">
      <alignment horizontal="center" vertical="center"/>
    </xf>
    <xf numFmtId="0" fontId="20" fillId="12" borderId="134" xfId="1" applyFont="1" applyFill="1" applyBorder="1" applyAlignment="1">
      <alignment horizontal="center" vertical="center"/>
    </xf>
    <xf numFmtId="0" fontId="20" fillId="12" borderId="135" xfId="1" applyFont="1" applyFill="1" applyBorder="1" applyAlignment="1">
      <alignment horizontal="center" vertical="center"/>
    </xf>
    <xf numFmtId="0" fontId="12" fillId="6" borderId="139" xfId="1" applyFont="1" applyFill="1" applyBorder="1" applyAlignment="1">
      <alignment horizontal="center" vertical="center"/>
    </xf>
    <xf numFmtId="0" fontId="22" fillId="0" borderId="140" xfId="1" applyFont="1" applyBorder="1" applyAlignment="1">
      <alignment horizontal="left" vertical="center"/>
    </xf>
    <xf numFmtId="0" fontId="22" fillId="0" borderId="141" xfId="1" applyFont="1" applyBorder="1" applyAlignment="1">
      <alignment horizontal="left" vertical="center"/>
    </xf>
    <xf numFmtId="0" fontId="22" fillId="0" borderId="142" xfId="1" applyFont="1" applyBorder="1" applyAlignment="1">
      <alignment horizontal="left" vertical="center"/>
    </xf>
    <xf numFmtId="0" fontId="20" fillId="6" borderId="143" xfId="1" applyFont="1" applyFill="1" applyBorder="1" applyAlignment="1">
      <alignment horizontal="center" vertical="center"/>
    </xf>
    <xf numFmtId="0" fontId="20" fillId="12" borderId="144" xfId="1" applyFont="1" applyFill="1" applyBorder="1" applyAlignment="1">
      <alignment horizontal="center" vertical="center"/>
    </xf>
    <xf numFmtId="0" fontId="20" fillId="16" borderId="99" xfId="1" applyFont="1" applyFill="1" applyBorder="1" applyAlignment="1">
      <alignment horizontal="center" vertical="center"/>
    </xf>
    <xf numFmtId="0" fontId="20" fillId="15" borderId="145" xfId="1" applyFont="1" applyFill="1" applyBorder="1" applyAlignment="1">
      <alignment horizontal="center" vertical="center"/>
    </xf>
    <xf numFmtId="0" fontId="20" fillId="15" borderId="146" xfId="1" applyFont="1" applyFill="1" applyBorder="1" applyAlignment="1">
      <alignment horizontal="center" vertical="center"/>
    </xf>
    <xf numFmtId="0" fontId="20" fillId="15" borderId="147" xfId="1" applyFont="1" applyFill="1" applyBorder="1" applyAlignment="1">
      <alignment horizontal="center" vertical="center"/>
    </xf>
    <xf numFmtId="0" fontId="20" fillId="6" borderId="66" xfId="1" applyFont="1" applyFill="1" applyBorder="1" applyAlignment="1">
      <alignment horizontal="center" vertical="center"/>
    </xf>
    <xf numFmtId="0" fontId="23" fillId="0" borderId="148" xfId="1" applyFont="1" applyBorder="1" applyAlignment="1">
      <alignment horizontal="center" vertical="center"/>
    </xf>
    <xf numFmtId="0" fontId="20" fillId="6" borderId="149" xfId="1" applyFont="1" applyFill="1" applyBorder="1" applyAlignment="1">
      <alignment horizontal="center" vertical="center"/>
    </xf>
    <xf numFmtId="0" fontId="23" fillId="0" borderId="137" xfId="1" applyFont="1" applyBorder="1" applyAlignment="1">
      <alignment horizontal="center" vertical="center"/>
    </xf>
    <xf numFmtId="0" fontId="20" fillId="6" borderId="150" xfId="1" applyFont="1" applyFill="1" applyBorder="1" applyAlignment="1">
      <alignment horizontal="center" vertical="center"/>
    </xf>
    <xf numFmtId="0" fontId="20" fillId="6" borderId="137" xfId="1" applyFont="1" applyFill="1" applyBorder="1" applyAlignment="1">
      <alignment horizontal="center" vertical="center"/>
    </xf>
    <xf numFmtId="0" fontId="23" fillId="0" borderId="136" xfId="1" applyFont="1" applyBorder="1" applyAlignment="1">
      <alignment horizontal="center" vertical="center"/>
    </xf>
    <xf numFmtId="0" fontId="23" fillId="0" borderId="138" xfId="1" applyFont="1" applyBorder="1" applyAlignment="1">
      <alignment horizontal="center" vertical="center"/>
    </xf>
    <xf numFmtId="0" fontId="25" fillId="0" borderId="136" xfId="1" applyFont="1" applyBorder="1" applyAlignment="1">
      <alignment horizontal="left" vertical="center"/>
    </xf>
    <xf numFmtId="0" fontId="25" fillId="0" borderId="137" xfId="1" applyFont="1" applyBorder="1" applyAlignment="1">
      <alignment horizontal="left" vertical="center"/>
    </xf>
    <xf numFmtId="0" fontId="30" fillId="0" borderId="137" xfId="1" applyFont="1" applyBorder="1" applyAlignment="1">
      <alignment horizontal="left" vertical="center"/>
    </xf>
    <xf numFmtId="0" fontId="23" fillId="0" borderId="137" xfId="1" applyFont="1" applyBorder="1" applyAlignment="1">
      <alignment horizontal="left" vertical="center"/>
    </xf>
    <xf numFmtId="0" fontId="29" fillId="0" borderId="137" xfId="1" applyFont="1" applyBorder="1" applyAlignment="1">
      <alignment horizontal="left" vertical="center"/>
    </xf>
    <xf numFmtId="0" fontId="29" fillId="0" borderId="138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31" fillId="3" borderId="0" xfId="1" applyNumberFormat="1" applyFont="1" applyFill="1" applyAlignment="1">
      <alignment horizontal="center"/>
    </xf>
    <xf numFmtId="1" fontId="32" fillId="3" borderId="0" xfId="1" applyNumberFormat="1" applyFont="1" applyFill="1" applyAlignment="1">
      <alignment horizontal="left" vertical="center"/>
    </xf>
    <xf numFmtId="0" fontId="15" fillId="14" borderId="64" xfId="1" applyFont="1" applyFill="1" applyBorder="1" applyAlignment="1">
      <alignment horizontal="center"/>
    </xf>
    <xf numFmtId="0" fontId="15" fillId="17" borderId="54" xfId="1" applyFont="1" applyFill="1" applyBorder="1" applyAlignment="1">
      <alignment horizontal="center"/>
    </xf>
    <xf numFmtId="0" fontId="15" fillId="17" borderId="52" xfId="1" applyFont="1" applyFill="1" applyBorder="1" applyAlignment="1">
      <alignment horizontal="center"/>
    </xf>
    <xf numFmtId="0" fontId="15" fillId="17" borderId="55" xfId="1" applyFont="1" applyFill="1" applyBorder="1" applyAlignment="1">
      <alignment horizontal="center"/>
    </xf>
    <xf numFmtId="0" fontId="15" fillId="17" borderId="64" xfId="1" applyFont="1" applyFill="1" applyBorder="1" applyAlignment="1">
      <alignment horizontal="center"/>
    </xf>
    <xf numFmtId="0" fontId="15" fillId="17" borderId="62" xfId="1" applyFont="1" applyFill="1" applyBorder="1" applyAlignment="1">
      <alignment horizontal="center"/>
    </xf>
    <xf numFmtId="0" fontId="15" fillId="17" borderId="63" xfId="1" applyFont="1" applyFill="1" applyBorder="1" applyAlignment="1">
      <alignment horizontal="center"/>
    </xf>
    <xf numFmtId="0" fontId="15" fillId="14" borderId="67" xfId="1" applyFont="1" applyFill="1" applyBorder="1" applyAlignment="1">
      <alignment horizontal="center"/>
    </xf>
    <xf numFmtId="0" fontId="24" fillId="13" borderId="64" xfId="1" applyFont="1" applyFill="1" applyBorder="1" applyAlignment="1">
      <alignment horizontal="center"/>
    </xf>
    <xf numFmtId="0" fontId="24" fillId="13" borderId="62" xfId="1" applyFont="1" applyFill="1" applyBorder="1" applyAlignment="1">
      <alignment horizontal="center"/>
    </xf>
    <xf numFmtId="0" fontId="24" fillId="13" borderId="65" xfId="1" applyFont="1" applyFill="1" applyBorder="1" applyAlignment="1">
      <alignment horizontal="center"/>
    </xf>
    <xf numFmtId="0" fontId="15" fillId="17" borderId="53" xfId="1" applyFont="1" applyFill="1" applyBorder="1" applyAlignment="1">
      <alignment horizontal="center"/>
    </xf>
    <xf numFmtId="0" fontId="15" fillId="17" borderId="57" xfId="1" applyFont="1" applyFill="1" applyBorder="1" applyAlignment="1">
      <alignment horizontal="center"/>
    </xf>
    <xf numFmtId="0" fontId="23" fillId="0" borderId="151" xfId="1" applyFont="1" applyBorder="1" applyAlignment="1">
      <alignment horizontal="center" vertical="center"/>
    </xf>
    <xf numFmtId="0" fontId="20" fillId="12" borderId="152" xfId="1" applyFont="1" applyFill="1" applyBorder="1" applyAlignment="1">
      <alignment horizontal="center" vertical="center"/>
    </xf>
    <xf numFmtId="0" fontId="24" fillId="0" borderId="115" xfId="1" applyFont="1" applyFill="1" applyBorder="1" applyAlignment="1">
      <alignment horizontal="center"/>
    </xf>
    <xf numFmtId="0" fontId="24" fillId="0" borderId="113" xfId="1" applyFont="1" applyFill="1" applyBorder="1" applyAlignment="1">
      <alignment horizontal="center"/>
    </xf>
    <xf numFmtId="0" fontId="24" fillId="0" borderId="117" xfId="1" applyFont="1" applyFill="1" applyBorder="1" applyAlignment="1">
      <alignment horizontal="center"/>
    </xf>
    <xf numFmtId="0" fontId="24" fillId="0" borderId="76" xfId="1" applyFont="1" applyFill="1" applyBorder="1" applyAlignment="1">
      <alignment horizontal="center"/>
    </xf>
    <xf numFmtId="0" fontId="24" fillId="0" borderId="74" xfId="1" applyFont="1" applyFill="1" applyBorder="1" applyAlignment="1">
      <alignment horizontal="center"/>
    </xf>
    <xf numFmtId="0" fontId="24" fillId="0" borderId="82" xfId="1" applyFont="1" applyFill="1" applyBorder="1" applyAlignment="1">
      <alignment horizontal="center"/>
    </xf>
    <xf numFmtId="0" fontId="24" fillId="0" borderId="75" xfId="1" applyFont="1" applyFill="1" applyBorder="1" applyAlignment="1">
      <alignment horizontal="center"/>
    </xf>
    <xf numFmtId="0" fontId="24" fillId="0" borderId="116" xfId="1" applyFont="1" applyFill="1" applyBorder="1" applyAlignment="1">
      <alignment horizontal="center"/>
    </xf>
    <xf numFmtId="0" fontId="24" fillId="13" borderId="74" xfId="1" applyFont="1" applyFill="1" applyBorder="1" applyAlignment="1">
      <alignment horizontal="center"/>
    </xf>
    <xf numFmtId="0" fontId="24" fillId="13" borderId="80" xfId="1" applyFont="1" applyFill="1" applyBorder="1" applyAlignment="1">
      <alignment horizontal="center"/>
    </xf>
    <xf numFmtId="0" fontId="24" fillId="13" borderId="82" xfId="1" applyFont="1" applyFill="1" applyBorder="1" applyAlignment="1">
      <alignment horizontal="center"/>
    </xf>
    <xf numFmtId="0" fontId="24" fillId="13" borderId="75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5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6" fillId="0" borderId="0" xfId="0" applyNumberFormat="1" applyFont="1" applyFill="1" applyAlignment="1">
      <alignment horizontal="center" vertical="center"/>
    </xf>
    <xf numFmtId="0" fontId="36" fillId="22" borderId="0" xfId="0" applyFont="1" applyFill="1" applyAlignment="1">
      <alignment horizontal="centerContinuous" vertical="center"/>
    </xf>
    <xf numFmtId="0" fontId="36" fillId="0" borderId="0" xfId="0" applyFont="1" applyFill="1" applyAlignment="1">
      <alignment horizontal="center" vertical="center"/>
    </xf>
    <xf numFmtId="14" fontId="36" fillId="0" borderId="0" xfId="0" applyNumberFormat="1" applyFont="1" applyFill="1" applyAlignment="1">
      <alignment horizontal="center" vertical="center"/>
    </xf>
    <xf numFmtId="0" fontId="20" fillId="19" borderId="111" xfId="1" applyFont="1" applyFill="1" applyBorder="1" applyAlignment="1">
      <alignment horizontal="center" vertical="center"/>
    </xf>
    <xf numFmtId="0" fontId="20" fillId="6" borderId="0" xfId="1" applyFont="1" applyFill="1" applyBorder="1" applyAlignment="1">
      <alignment horizontal="center" vertical="center"/>
    </xf>
    <xf numFmtId="0" fontId="15" fillId="13" borderId="82" xfId="1" applyFont="1" applyFill="1" applyBorder="1" applyAlignment="1">
      <alignment horizontal="center"/>
    </xf>
    <xf numFmtId="0" fontId="24" fillId="13" borderId="76" xfId="1" applyFont="1" applyFill="1" applyBorder="1" applyAlignment="1">
      <alignment horizontal="center"/>
    </xf>
    <xf numFmtId="0" fontId="24" fillId="13" borderId="115" xfId="1" applyFont="1" applyFill="1" applyBorder="1" applyAlignment="1">
      <alignment horizontal="center"/>
    </xf>
    <xf numFmtId="0" fontId="24" fillId="13" borderId="113" xfId="1" applyFont="1" applyFill="1" applyBorder="1" applyAlignment="1">
      <alignment horizontal="center"/>
    </xf>
    <xf numFmtId="0" fontId="24" fillId="13" borderId="116" xfId="1" applyFont="1" applyFill="1" applyBorder="1" applyAlignment="1">
      <alignment horizontal="center"/>
    </xf>
    <xf numFmtId="0" fontId="24" fillId="13" borderId="117" xfId="1" applyFont="1" applyFill="1" applyBorder="1" applyAlignment="1">
      <alignment horizontal="center"/>
    </xf>
    <xf numFmtId="0" fontId="20" fillId="20" borderId="153" xfId="1" applyFont="1" applyFill="1" applyBorder="1" applyAlignment="1">
      <alignment horizontal="center" vertical="center"/>
    </xf>
    <xf numFmtId="0" fontId="16" fillId="0" borderId="136" xfId="1" applyFont="1" applyFill="1" applyBorder="1" applyAlignment="1"/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20" fillId="19" borderId="50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left" vertical="center"/>
    </xf>
    <xf numFmtId="0" fontId="15" fillId="14" borderId="88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/>
    </xf>
    <xf numFmtId="0" fontId="20" fillId="12" borderId="145" xfId="1" applyFont="1" applyFill="1" applyBorder="1" applyAlignment="1">
      <alignment horizontal="center" vertical="center"/>
    </xf>
    <xf numFmtId="0" fontId="15" fillId="13" borderId="67" xfId="1" applyFont="1" applyFill="1" applyBorder="1" applyAlignment="1">
      <alignment horizontal="center"/>
    </xf>
    <xf numFmtId="0" fontId="15" fillId="13" borderId="63" xfId="1" applyFont="1" applyFill="1" applyBorder="1" applyAlignment="1">
      <alignment horizontal="center"/>
    </xf>
    <xf numFmtId="0" fontId="20" fillId="16" borderId="144" xfId="1" applyFont="1" applyFill="1" applyBorder="1" applyAlignment="1">
      <alignment horizontal="center" vertical="center"/>
    </xf>
    <xf numFmtId="0" fontId="22" fillId="0" borderId="155" xfId="1" applyFont="1" applyBorder="1" applyAlignment="1">
      <alignment horizontal="left" vertical="center"/>
    </xf>
    <xf numFmtId="0" fontId="15" fillId="0" borderId="157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0" borderId="159" xfId="1" applyFont="1" applyFill="1" applyBorder="1" applyAlignment="1">
      <alignment horizontal="center"/>
    </xf>
    <xf numFmtId="0" fontId="15" fillId="0" borderId="160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8" borderId="158" xfId="1" applyFont="1" applyFill="1" applyBorder="1" applyAlignment="1">
      <alignment horizontal="center"/>
    </xf>
    <xf numFmtId="0" fontId="15" fillId="8" borderId="161" xfId="1" applyFont="1" applyFill="1" applyBorder="1" applyAlignment="1">
      <alignment horizontal="center"/>
    </xf>
    <xf numFmtId="0" fontId="15" fillId="8" borderId="160" xfId="1" applyFont="1" applyFill="1" applyBorder="1" applyAlignment="1">
      <alignment horizontal="center"/>
    </xf>
    <xf numFmtId="0" fontId="15" fillId="8" borderId="162" xfId="1" applyFont="1" applyFill="1" applyBorder="1" applyAlignment="1">
      <alignment horizontal="center"/>
    </xf>
    <xf numFmtId="0" fontId="15" fillId="8" borderId="163" xfId="1" applyFont="1" applyFill="1" applyBorder="1" applyAlignment="1">
      <alignment horizontal="center"/>
    </xf>
    <xf numFmtId="0" fontId="15" fillId="8" borderId="159" xfId="1" applyFont="1" applyFill="1" applyBorder="1" applyAlignment="1">
      <alignment horizontal="center"/>
    </xf>
    <xf numFmtId="0" fontId="15" fillId="0" borderId="164" xfId="1" applyFont="1" applyFill="1" applyBorder="1" applyAlignment="1">
      <alignment horizontal="center"/>
    </xf>
    <xf numFmtId="0" fontId="15" fillId="9" borderId="158" xfId="1" applyFont="1" applyFill="1" applyBorder="1" applyAlignment="1">
      <alignment horizontal="center"/>
    </xf>
    <xf numFmtId="0" fontId="15" fillId="18" borderId="158" xfId="1" applyFont="1" applyFill="1" applyBorder="1" applyAlignment="1">
      <alignment horizontal="center"/>
    </xf>
    <xf numFmtId="0" fontId="15" fillId="18" borderId="161" xfId="1" applyFont="1" applyFill="1" applyBorder="1" applyAlignment="1">
      <alignment horizontal="center"/>
    </xf>
    <xf numFmtId="0" fontId="15" fillId="18" borderId="160" xfId="1" applyFont="1" applyFill="1" applyBorder="1" applyAlignment="1">
      <alignment horizontal="center"/>
    </xf>
    <xf numFmtId="0" fontId="15" fillId="0" borderId="165" xfId="1" applyFont="1" applyFill="1" applyBorder="1" applyAlignment="1">
      <alignment horizontal="center"/>
    </xf>
    <xf numFmtId="0" fontId="15" fillId="11" borderId="160" xfId="1" applyFont="1" applyFill="1" applyBorder="1" applyAlignment="1">
      <alignment horizontal="center"/>
    </xf>
    <xf numFmtId="0" fontId="15" fillId="0" borderId="166" xfId="1" applyFont="1" applyFill="1" applyBorder="1" applyAlignment="1">
      <alignment horizontal="center"/>
    </xf>
    <xf numFmtId="0" fontId="16" fillId="0" borderId="134" xfId="1" applyFont="1" applyBorder="1" applyAlignment="1"/>
    <xf numFmtId="0" fontId="20" fillId="16" borderId="156" xfId="1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39" fillId="0" borderId="0" xfId="1" applyFont="1" applyBorder="1" applyAlignment="1">
      <alignment horizontal="left" vertical="center"/>
    </xf>
    <xf numFmtId="0" fontId="24" fillId="17" borderId="64" xfId="1" applyFont="1" applyFill="1" applyBorder="1" applyAlignment="1">
      <alignment horizontal="center"/>
    </xf>
    <xf numFmtId="0" fontId="24" fillId="17" borderId="62" xfId="1" applyFont="1" applyFill="1" applyBorder="1" applyAlignment="1">
      <alignment horizontal="center"/>
    </xf>
    <xf numFmtId="0" fontId="24" fillId="17" borderId="63" xfId="1" applyFont="1" applyFill="1" applyBorder="1" applyAlignment="1">
      <alignment horizontal="center"/>
    </xf>
    <xf numFmtId="0" fontId="24" fillId="17" borderId="67" xfId="1" applyFont="1" applyFill="1" applyBorder="1" applyAlignment="1">
      <alignment horizontal="center"/>
    </xf>
    <xf numFmtId="0" fontId="24" fillId="17" borderId="65" xfId="1" applyFont="1" applyFill="1" applyBorder="1" applyAlignment="1">
      <alignment horizontal="center"/>
    </xf>
    <xf numFmtId="0" fontId="20" fillId="12" borderId="98" xfId="1" applyFont="1" applyFill="1" applyBorder="1" applyAlignment="1">
      <alignment horizontal="center" vertical="center"/>
    </xf>
    <xf numFmtId="0" fontId="15" fillId="14" borderId="78" xfId="1" applyFont="1" applyFill="1" applyBorder="1" applyAlignment="1">
      <alignment horizontal="center"/>
    </xf>
    <xf numFmtId="0" fontId="15" fillId="14" borderId="157" xfId="1" applyFont="1" applyFill="1" applyBorder="1" applyAlignment="1">
      <alignment horizontal="center"/>
    </xf>
    <xf numFmtId="0" fontId="15" fillId="13" borderId="158" xfId="1" applyFont="1" applyFill="1" applyBorder="1" applyAlignment="1">
      <alignment horizontal="center"/>
    </xf>
    <xf numFmtId="0" fontId="25" fillId="0" borderId="137" xfId="1" applyFont="1" applyBorder="1" applyAlignment="1">
      <alignment horizontal="center" vertical="center"/>
    </xf>
    <xf numFmtId="0" fontId="37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8" fillId="0" borderId="0" xfId="2" applyAlignment="1">
      <alignment wrapText="1"/>
    </xf>
    <xf numFmtId="0" fontId="33" fillId="21" borderId="0" xfId="0" applyFont="1" applyFill="1" applyBorder="1" applyAlignment="1">
      <alignment horizontal="center" vertical="center"/>
    </xf>
    <xf numFmtId="0" fontId="33" fillId="21" borderId="154" xfId="0" applyFont="1" applyFill="1" applyBorder="1" applyAlignment="1">
      <alignment horizontal="center" vertical="center"/>
    </xf>
    <xf numFmtId="49" fontId="18" fillId="5" borderId="4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vertical="center"/>
    </xf>
    <xf numFmtId="0" fontId="18" fillId="5" borderId="6" xfId="1" applyFont="1" applyFill="1" applyBorder="1" applyAlignment="1">
      <alignment vertical="center"/>
    </xf>
    <xf numFmtId="49" fontId="18" fillId="5" borderId="7" xfId="1" applyNumberFormat="1" applyFont="1" applyFill="1" applyBorder="1" applyAlignment="1">
      <alignment horizontal="center" vertical="center"/>
    </xf>
    <xf numFmtId="0" fontId="18" fillId="5" borderId="8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49" fontId="18" fillId="5" borderId="5" xfId="1" applyNumberFormat="1" applyFont="1" applyFill="1" applyBorder="1" applyAlignment="1">
      <alignment horizontal="center" vertical="center"/>
    </xf>
    <xf numFmtId="0" fontId="18" fillId="5" borderId="10" xfId="1" applyFont="1" applyFill="1" applyBorder="1" applyAlignment="1">
      <alignment vertical="center"/>
    </xf>
    <xf numFmtId="0" fontId="21" fillId="8" borderId="26" xfId="1" applyFont="1" applyFill="1" applyBorder="1" applyAlignment="1">
      <alignment horizontal="center"/>
    </xf>
    <xf numFmtId="0" fontId="21" fillId="8" borderId="29" xfId="1" applyFont="1" applyFill="1" applyBorder="1" applyAlignment="1">
      <alignment horizontal="center"/>
    </xf>
    <xf numFmtId="0" fontId="21" fillId="8" borderId="30" xfId="1" applyFont="1" applyFill="1" applyBorder="1" applyAlignment="1">
      <alignment horizont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1" xfId="1" applyFont="1" applyFill="1" applyBorder="1"/>
    <xf numFmtId="0" fontId="18" fillId="5" borderId="3" xfId="1" applyFont="1" applyFill="1" applyBorder="1" applyAlignment="1">
      <alignment horizontal="center" vertical="center"/>
    </xf>
    <xf numFmtId="0" fontId="19" fillId="5" borderId="12" xfId="1" applyFont="1" applyFill="1" applyBorder="1"/>
    <xf numFmtId="0" fontId="34" fillId="8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00000000-0005-0000-0000-000002000000}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taches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725803079924747"/>
          <c:y val="0.12793307086614172"/>
          <c:w val="0.82969812401768361"/>
          <c:h val="0.812523918381170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Data!$H$9</c:f>
              <c:strCache>
                <c:ptCount val="1"/>
                <c:pt idx="0">
                  <c:v>Data1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Data!$H$10:$H$25</c:f>
              <c:numCache>
                <c:formatCode>General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4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#N/A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9-4D63-AE6B-8B5354D227AB}"/>
            </c:ext>
          </c:extLst>
        </c:ser>
        <c:ser>
          <c:idx val="1"/>
          <c:order val="1"/>
          <c:tx>
            <c:strRef>
              <c:f>Data!$I$9</c:f>
              <c:strCache>
                <c:ptCount val="1"/>
                <c:pt idx="0">
                  <c:v>Data2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Data!$I$10:$I$25</c:f>
              <c:numCache>
                <c:formatCode>General</c:formatCode>
                <c:ptCount val="16"/>
                <c:pt idx="0">
                  <c:v>#N/A</c:v>
                </c:pt>
                <c:pt idx="1">
                  <c:v>13</c:v>
                </c:pt>
                <c:pt idx="2">
                  <c:v>10</c:v>
                </c:pt>
                <c:pt idx="3">
                  <c:v>15</c:v>
                </c:pt>
                <c:pt idx="4">
                  <c:v>#N/A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9-4D63-AE6B-8B5354D227AB}"/>
            </c:ext>
          </c:extLst>
        </c:ser>
        <c:ser>
          <c:idx val="2"/>
          <c:order val="2"/>
          <c:tx>
            <c:strRef>
              <c:f>Data!$J$9</c:f>
              <c:strCache>
                <c:ptCount val="1"/>
                <c:pt idx="0">
                  <c:v>Data3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Data!$J$10:$J$25</c:f>
              <c:numCache>
                <c:formatCode>General</c:formatCode>
                <c:ptCount val="16"/>
                <c:pt idx="0">
                  <c:v>23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21</c:v>
                </c:pt>
                <c:pt idx="9">
                  <c:v>#N/A</c:v>
                </c:pt>
                <c:pt idx="10">
                  <c:v>25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9-4D63-AE6B-8B5354D227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585793680"/>
        <c:axId val="-1585788240"/>
      </c:barChart>
      <c:catAx>
        <c:axId val="-158579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taches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9-44C8-B410-725915EEB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Planning_Prod!$B$163:$B$167</c15:sqref>
                  </c15:fullRef>
                </c:ext>
              </c:extLst>
              <c:f>Planning_Prod!$B$163:$B$166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Bloquée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Planning_Prod!$C$163:$C$167</c15:sqref>
                  </c15:fullRef>
                </c:ext>
              </c:extLst>
              <c:f>Planning_Prod!$C$163:$C$166</c:f>
              <c:numCache>
                <c:formatCode>General</c:formatCode>
                <c:ptCount val="4"/>
                <c:pt idx="0">
                  <c:v>30</c:v>
                </c:pt>
                <c:pt idx="1">
                  <c:v>30</c:v>
                </c:pt>
                <c:pt idx="2">
                  <c:v>69</c:v>
                </c:pt>
                <c:pt idx="3">
                  <c:v>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120650</xdr:rowOff>
    </xdr:from>
    <xdr:to>
      <xdr:col>16</xdr:col>
      <xdr:colOff>0</xdr:colOff>
      <xdr:row>28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698500</xdr:colOff>
      <xdr:row>2</xdr:row>
      <xdr:rowOff>152400</xdr:rowOff>
    </xdr:from>
    <xdr:to>
      <xdr:col>8</xdr:col>
      <xdr:colOff>501650</xdr:colOff>
      <xdr:row>21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62000" y="2043112"/>
          <a:ext cx="1397000" cy="787400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5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69</a:t>
            </a:fld>
            <a:endParaRPr lang="fr-FR" sz="4800" b="1"/>
          </a:p>
        </xdr:txBody>
      </xdr:sp>
      <xdr:sp macro="" textlink="Planning_Prod!B165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62000" y="2949575"/>
          <a:ext cx="1397000" cy="787400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3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30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3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62000" y="3856038"/>
          <a:ext cx="1397000" cy="787400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4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30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4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711200</xdr:colOff>
      <xdr:row>21</xdr:row>
      <xdr:rowOff>146050</xdr:rowOff>
    </xdr:from>
    <xdr:to>
      <xdr:col>8</xdr:col>
      <xdr:colOff>488950</xdr:colOff>
      <xdr:row>28</xdr:row>
      <xdr:rowOff>50800</xdr:rowOff>
    </xdr:to>
    <xdr:sp macro="" textlink="Data!I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235200" y="4387850"/>
          <a:ext cx="4349750" cy="11938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12/02/2019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08050"/>
          <a:ext cx="1397000" cy="996950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8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136</a:t>
            </a:fld>
            <a:endParaRPr lang="fr-FR" sz="8800" b="1"/>
          </a:p>
        </xdr:txBody>
      </xdr:sp>
      <xdr:sp macro="" textlink="Planning_Prod!B168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62000" y="4749800"/>
          <a:ext cx="1397000" cy="806450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6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7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Prod!B166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74</xdr:col>
      <xdr:colOff>205314</xdr:colOff>
      <xdr:row>8</xdr:row>
      <xdr:rowOff>7759</xdr:rowOff>
    </xdr:from>
    <xdr:to>
      <xdr:col>75</xdr:col>
      <xdr:colOff>184150</xdr:colOff>
      <xdr:row>158</xdr:row>
      <xdr:rowOff>165100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483164" y="2071509"/>
          <a:ext cx="188386" cy="2391269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[1]!CreerGant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meiro%20Nicolas/AppData/Local/Packages/Microsoft.MicrosoftEdge_8wekyb3d8bbwe/TempState/Downloads/Gant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Gantt (1)"/>
    </sheetNames>
    <definedNames>
      <definedName name="CreerGantt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11" dataDxfId="10">
  <autoFilter ref="A1:G12" xr:uid="{00000000-0009-0000-0100-000003000000}"/>
  <tableColumns count="7">
    <tableColumn id="1" xr3:uid="{00000000-0010-0000-0000-000001000000}" name="Numéro" dataDxfId="9"/>
    <tableColumn id="2" xr3:uid="{00000000-0010-0000-0000-000002000000}" name="Nom" dataDxfId="8"/>
    <tableColumn id="3" xr3:uid="{00000000-0010-0000-0000-000003000000}" name="Durée" dataDxfId="7"/>
    <tableColumn id="4" xr3:uid="{00000000-0010-0000-0000-000004000000}" name="Prédecesseur" dataDxfId="6"/>
    <tableColumn id="5" xr3:uid="{00000000-0010-0000-0000-000005000000}" name="Retard" dataDxfId="5"/>
    <tableColumn id="6" xr3:uid="{00000000-0010-0000-0000-000006000000}" name="Début" dataDxfId="4"/>
    <tableColumn id="7" xr3:uid="{00000000-0010-0000-0000-000007000000}" name="Fin" dataDxfId="3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6" totalsRowShown="0" headerRowDxfId="2">
  <autoFilter ref="A1:F46" xr:uid="{00000000-0009-0000-0100-000001000000}"/>
  <tableColumns count="6">
    <tableColumn id="1" xr3:uid="{00000000-0010-0000-0100-000001000000}" name="Prénom"/>
    <tableColumn id="2" xr3:uid="{00000000-0010-0000-0100-000002000000}" name="Nom"/>
    <tableColumn id="3" xr3:uid="{00000000-0010-0000-0100-000003000000}" name="Trigramme"/>
    <tableColumn id="4" xr3:uid="{00000000-0010-0000-0100-000004000000}" name="Année" dataDxfId="1"/>
    <tableColumn id="5" xr3:uid="{00000000-0010-0000-0100-000005000000}" name="Département"/>
    <tableColumn id="6" xr3:uid="{00000000-0010-0000-0100-000006000000}" name="Nb tache" dataDxfId="0">
      <calculatedColumnFormula>COUNTIF(Planning_Prod!B:B,Tableau1[[#This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1"/>
  <sheetViews>
    <sheetView showGridLines="0" view="pageLayout" zoomScaleNormal="100" workbookViewId="0">
      <selection activeCell="B25" sqref="B25"/>
    </sheetView>
  </sheetViews>
  <sheetFormatPr baseColWidth="10" defaultRowHeight="14" x14ac:dyDescent="0.3"/>
  <cols>
    <col min="1" max="1" width="19.6328125" style="13" customWidth="1"/>
    <col min="2" max="2" width="46.1796875" style="13" customWidth="1"/>
    <col min="3" max="3" width="9.36328125" style="13" customWidth="1"/>
    <col min="4" max="4" width="11.54296875" style="13" bestFit="1" customWidth="1"/>
    <col min="5" max="16384" width="10.90625" style="13"/>
  </cols>
  <sheetData>
    <row r="1" spans="1:4" x14ac:dyDescent="0.3">
      <c r="A1" s="431" t="s">
        <v>338</v>
      </c>
    </row>
    <row r="2" spans="1:4" ht="15.5" customHeight="1" x14ac:dyDescent="0.3">
      <c r="A2" s="445" t="s">
        <v>339</v>
      </c>
      <c r="B2" s="445"/>
      <c r="C2" s="445"/>
      <c r="D2" s="445"/>
    </row>
    <row r="3" spans="1:4" ht="28" customHeight="1" x14ac:dyDescent="0.3">
      <c r="A3" s="443" t="s">
        <v>150</v>
      </c>
      <c r="B3" s="443"/>
      <c r="C3" s="443"/>
      <c r="D3" s="443"/>
    </row>
    <row r="4" spans="1:4" x14ac:dyDescent="0.3">
      <c r="A4" s="12"/>
    </row>
    <row r="5" spans="1:4" x14ac:dyDescent="0.3">
      <c r="A5" s="14" t="s">
        <v>153</v>
      </c>
      <c r="B5" s="14" t="s">
        <v>154</v>
      </c>
      <c r="C5" s="14" t="s">
        <v>155</v>
      </c>
      <c r="D5" s="14" t="s">
        <v>159</v>
      </c>
    </row>
    <row r="6" spans="1:4" ht="28" x14ac:dyDescent="0.3">
      <c r="A6" s="11" t="s">
        <v>156</v>
      </c>
      <c r="B6" s="11" t="s">
        <v>157</v>
      </c>
      <c r="C6" s="11" t="s">
        <v>158</v>
      </c>
      <c r="D6" s="15">
        <v>43488</v>
      </c>
    </row>
    <row r="7" spans="1:4" ht="28" x14ac:dyDescent="0.3">
      <c r="A7" s="11" t="s">
        <v>161</v>
      </c>
      <c r="B7" s="11" t="s">
        <v>162</v>
      </c>
      <c r="C7" s="11" t="s">
        <v>259</v>
      </c>
      <c r="D7" s="15">
        <v>43496</v>
      </c>
    </row>
    <row r="8" spans="1:4" x14ac:dyDescent="0.3">
      <c r="A8" s="16"/>
      <c r="B8" s="16"/>
      <c r="C8" s="16"/>
      <c r="D8" s="16"/>
    </row>
    <row r="9" spans="1:4" x14ac:dyDescent="0.3">
      <c r="A9" s="444" t="s">
        <v>151</v>
      </c>
      <c r="B9" s="444"/>
      <c r="C9" s="444"/>
      <c r="D9" s="444"/>
    </row>
    <row r="10" spans="1:4" x14ac:dyDescent="0.3">
      <c r="A10" s="12"/>
    </row>
    <row r="11" spans="1:4" x14ac:dyDescent="0.3">
      <c r="A11" s="14" t="s">
        <v>153</v>
      </c>
      <c r="B11" s="14" t="s">
        <v>154</v>
      </c>
      <c r="C11" s="14" t="s">
        <v>155</v>
      </c>
      <c r="D11" s="14" t="s">
        <v>159</v>
      </c>
    </row>
    <row r="12" spans="1:4" ht="28" x14ac:dyDescent="0.3">
      <c r="A12" s="11" t="s">
        <v>152</v>
      </c>
      <c r="B12" s="11" t="s">
        <v>160</v>
      </c>
      <c r="C12" s="11" t="s">
        <v>312</v>
      </c>
      <c r="D12" s="15">
        <v>43496</v>
      </c>
    </row>
    <row r="13" spans="1:4" x14ac:dyDescent="0.3">
      <c r="A13" s="11"/>
      <c r="B13" s="11"/>
      <c r="C13" s="11"/>
      <c r="D13" s="11"/>
    </row>
    <row r="15" spans="1:4" ht="56" x14ac:dyDescent="0.3">
      <c r="A15" s="13" t="s">
        <v>163</v>
      </c>
    </row>
    <row r="17" spans="1:2" ht="42" x14ac:dyDescent="0.3">
      <c r="A17" s="13" t="s">
        <v>164</v>
      </c>
    </row>
    <row r="19" spans="1:2" x14ac:dyDescent="0.3">
      <c r="A19" s="13" t="s">
        <v>340</v>
      </c>
    </row>
    <row r="20" spans="1:2" x14ac:dyDescent="0.3">
      <c r="A20" s="446" t="s">
        <v>341</v>
      </c>
      <c r="B20" s="446"/>
    </row>
    <row r="21" spans="1:2" ht="17.5" customHeight="1" x14ac:dyDescent="0.35">
      <c r="A21" s="447" t="s">
        <v>342</v>
      </c>
      <c r="B21" s="447"/>
    </row>
  </sheetData>
  <mergeCells count="5">
    <mergeCell ref="A3:D3"/>
    <mergeCell ref="A9:D9"/>
    <mergeCell ref="A2:D2"/>
    <mergeCell ref="A20:B20"/>
    <mergeCell ref="A21:B21"/>
  </mergeCells>
  <hyperlinks>
    <hyperlink ref="A21" r:id="rId1" xr:uid="{00000000-0004-0000-0000-000000000000}"/>
  </hyperlinks>
  <pageMargins left="0.7" right="0.7" top="0.75" bottom="0.75" header="0.3" footer="0.3"/>
  <pageSetup paperSize="9" orientation="portrait" r:id="rId2"/>
  <headerFooter>
    <oddHeader xml:space="preserve">&amp;C&amp;"Raleway,Gras"&amp;KFF0000Fonctionnement de l'excel gestion de projet EPSA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P2"/>
  <sheetViews>
    <sheetView showGridLines="0" zoomScaleNormal="100" workbookViewId="0">
      <selection activeCell="M33" sqref="M33"/>
    </sheetView>
  </sheetViews>
  <sheetFormatPr baseColWidth="10" defaultRowHeight="14.5" x14ac:dyDescent="0.35"/>
  <cols>
    <col min="16" max="16" width="24.90625" customWidth="1"/>
  </cols>
  <sheetData>
    <row r="2" spans="2:16" ht="44" x14ac:dyDescent="0.35">
      <c r="B2" s="448" t="s">
        <v>272</v>
      </c>
      <c r="C2" s="448"/>
      <c r="D2" s="448"/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9"/>
    </row>
  </sheetData>
  <mergeCells count="1">
    <mergeCell ref="B2:P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FD182"/>
  <sheetViews>
    <sheetView showGridLines="0" tabSelected="1" zoomScale="60" zoomScaleNormal="60" workbookViewId="0">
      <pane xSplit="3" ySplit="8" topLeftCell="AO18" activePane="bottomRight" state="frozen"/>
      <selection pane="topRight" activeCell="D1" sqref="D1"/>
      <selection pane="bottomLeft" activeCell="A9" sqref="A9"/>
      <selection pane="bottomRight" activeCell="AS1" sqref="AS1"/>
    </sheetView>
  </sheetViews>
  <sheetFormatPr baseColWidth="10" defaultRowHeight="13" outlineLevelRow="1" x14ac:dyDescent="0.3"/>
  <cols>
    <col min="1" max="1" width="59.6328125" style="19" customWidth="1"/>
    <col min="2" max="2" width="15.08984375" style="19" bestFit="1" customWidth="1"/>
    <col min="3" max="3" width="13.36328125" style="19" customWidth="1"/>
    <col min="4" max="33" width="3" style="19" hidden="1" customWidth="1"/>
    <col min="34" max="34" width="2.7265625" style="19" hidden="1" customWidth="1"/>
    <col min="35" max="39" width="3" style="19" hidden="1" customWidth="1"/>
    <col min="40" max="40" width="1.81640625" style="19" hidden="1" customWidth="1"/>
    <col min="41" max="123" width="3" style="19" customWidth="1"/>
    <col min="124" max="16384" width="10.90625" style="19"/>
  </cols>
  <sheetData>
    <row r="1" spans="1:123" ht="21" customHeight="1" x14ac:dyDescent="0.3">
      <c r="A1" s="461" t="s">
        <v>165</v>
      </c>
      <c r="B1" s="461"/>
      <c r="C1" s="462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</row>
    <row r="2" spans="1:123" ht="21" customHeight="1" x14ac:dyDescent="0.3">
      <c r="A2" s="463" t="s">
        <v>166</v>
      </c>
      <c r="B2" s="463"/>
      <c r="C2" s="464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1:123" ht="21" customHeight="1" x14ac:dyDescent="0.3">
      <c r="A3" s="341" t="s">
        <v>167</v>
      </c>
      <c r="B3" s="343">
        <v>43435</v>
      </c>
      <c r="C3" s="342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1:123" ht="21" customHeight="1" x14ac:dyDescent="0.3">
      <c r="A4" s="20" t="s">
        <v>168</v>
      </c>
      <c r="B4" s="345">
        <f ca="1">_xlfn.DAYS(B5,TODAY())</f>
        <v>33</v>
      </c>
      <c r="C4" s="21" t="s">
        <v>279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</row>
    <row r="5" spans="1:123" ht="21" customHeight="1" x14ac:dyDescent="0.3">
      <c r="A5" s="341" t="s">
        <v>169</v>
      </c>
      <c r="B5" s="343">
        <v>43541</v>
      </c>
      <c r="C5" s="342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</row>
    <row r="6" spans="1:123" ht="21" customHeight="1" thickBot="1" x14ac:dyDescent="0.4">
      <c r="A6" s="20" t="s">
        <v>170</v>
      </c>
      <c r="B6" s="344">
        <f ca="1">TODAY()</f>
        <v>43508</v>
      </c>
      <c r="C6" s="22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</row>
    <row r="7" spans="1:123" ht="23" customHeight="1" x14ac:dyDescent="0.3">
      <c r="A7" s="465" t="s">
        <v>171</v>
      </c>
      <c r="B7" s="467" t="s">
        <v>147</v>
      </c>
      <c r="C7" s="467" t="s">
        <v>148</v>
      </c>
      <c r="D7" s="450" t="s">
        <v>172</v>
      </c>
      <c r="E7" s="451"/>
      <c r="F7" s="451"/>
      <c r="G7" s="451"/>
      <c r="H7" s="451"/>
      <c r="I7" s="451"/>
      <c r="J7" s="451"/>
      <c r="K7" s="451"/>
      <c r="L7" s="451"/>
      <c r="M7" s="451"/>
      <c r="N7" s="451"/>
      <c r="O7" s="451"/>
      <c r="P7" s="451"/>
      <c r="Q7" s="451"/>
      <c r="R7" s="451"/>
      <c r="S7" s="451"/>
      <c r="T7" s="451"/>
      <c r="U7" s="451"/>
      <c r="V7" s="451"/>
      <c r="W7" s="451"/>
      <c r="X7" s="451"/>
      <c r="Y7" s="451"/>
      <c r="Z7" s="451"/>
      <c r="AA7" s="451"/>
      <c r="AB7" s="451"/>
      <c r="AC7" s="451"/>
      <c r="AD7" s="451"/>
      <c r="AE7" s="451"/>
      <c r="AF7" s="451"/>
      <c r="AG7" s="451"/>
      <c r="AH7" s="452"/>
      <c r="AI7" s="450" t="s">
        <v>173</v>
      </c>
      <c r="AJ7" s="451"/>
      <c r="AK7" s="451"/>
      <c r="AL7" s="451"/>
      <c r="AM7" s="451"/>
      <c r="AN7" s="451"/>
      <c r="AO7" s="451"/>
      <c r="AP7" s="451"/>
      <c r="AQ7" s="451"/>
      <c r="AR7" s="451"/>
      <c r="AS7" s="451"/>
      <c r="AT7" s="451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51"/>
      <c r="BI7" s="451"/>
      <c r="BJ7" s="451"/>
      <c r="BK7" s="451"/>
      <c r="BL7" s="451"/>
      <c r="BM7" s="451"/>
      <c r="BN7" s="453" t="s">
        <v>174</v>
      </c>
      <c r="BO7" s="454"/>
      <c r="BP7" s="454"/>
      <c r="BQ7" s="454"/>
      <c r="BR7" s="454"/>
      <c r="BS7" s="454"/>
      <c r="BT7" s="454"/>
      <c r="BU7" s="454"/>
      <c r="BV7" s="454"/>
      <c r="BW7" s="454"/>
      <c r="BX7" s="454"/>
      <c r="BY7" s="454"/>
      <c r="BZ7" s="454"/>
      <c r="CA7" s="454"/>
      <c r="CB7" s="454"/>
      <c r="CC7" s="454"/>
      <c r="CD7" s="454"/>
      <c r="CE7" s="454"/>
      <c r="CF7" s="454"/>
      <c r="CG7" s="454"/>
      <c r="CH7" s="454"/>
      <c r="CI7" s="454"/>
      <c r="CJ7" s="454"/>
      <c r="CK7" s="454"/>
      <c r="CL7" s="454"/>
      <c r="CM7" s="454"/>
      <c r="CN7" s="454"/>
      <c r="CO7" s="455"/>
      <c r="CP7" s="456" t="s">
        <v>175</v>
      </c>
      <c r="CQ7" s="451"/>
      <c r="CR7" s="451"/>
      <c r="CS7" s="451"/>
      <c r="CT7" s="451"/>
      <c r="CU7" s="451"/>
      <c r="CV7" s="451"/>
      <c r="CW7" s="451"/>
      <c r="CX7" s="451"/>
      <c r="CY7" s="451"/>
      <c r="CZ7" s="451"/>
      <c r="DA7" s="451"/>
      <c r="DB7" s="451"/>
      <c r="DC7" s="451"/>
      <c r="DD7" s="451"/>
      <c r="DE7" s="451"/>
      <c r="DF7" s="451"/>
      <c r="DG7" s="451"/>
      <c r="DH7" s="451"/>
      <c r="DI7" s="451"/>
      <c r="DJ7" s="451"/>
      <c r="DK7" s="451"/>
      <c r="DL7" s="451"/>
      <c r="DM7" s="451"/>
      <c r="DN7" s="451"/>
      <c r="DO7" s="451"/>
      <c r="DP7" s="451"/>
      <c r="DQ7" s="451"/>
      <c r="DR7" s="451"/>
      <c r="DS7" s="457"/>
    </row>
    <row r="8" spans="1:123" ht="13.5" thickBot="1" x14ac:dyDescent="0.35">
      <c r="A8" s="466"/>
      <c r="B8" s="468"/>
      <c r="C8" s="468"/>
      <c r="D8" s="23">
        <v>1</v>
      </c>
      <c r="E8" s="24">
        <v>2</v>
      </c>
      <c r="F8" s="24">
        <v>3</v>
      </c>
      <c r="G8" s="24">
        <v>4</v>
      </c>
      <c r="H8" s="24">
        <v>5</v>
      </c>
      <c r="I8" s="24">
        <v>6</v>
      </c>
      <c r="J8" s="24">
        <v>7</v>
      </c>
      <c r="K8" s="24">
        <v>8</v>
      </c>
      <c r="L8" s="24">
        <v>9</v>
      </c>
      <c r="M8" s="24">
        <v>10</v>
      </c>
      <c r="N8" s="24">
        <v>11</v>
      </c>
      <c r="O8" s="24">
        <v>12</v>
      </c>
      <c r="P8" s="24">
        <v>13</v>
      </c>
      <c r="Q8" s="24">
        <v>14</v>
      </c>
      <c r="R8" s="24">
        <v>15</v>
      </c>
      <c r="S8" s="24">
        <v>16</v>
      </c>
      <c r="T8" s="24">
        <v>17</v>
      </c>
      <c r="U8" s="24">
        <v>18</v>
      </c>
      <c r="V8" s="24">
        <v>19</v>
      </c>
      <c r="W8" s="24">
        <v>20</v>
      </c>
      <c r="X8" s="24">
        <v>21</v>
      </c>
      <c r="Y8" s="24">
        <v>22</v>
      </c>
      <c r="Z8" s="24">
        <v>23</v>
      </c>
      <c r="AA8" s="24">
        <v>24</v>
      </c>
      <c r="AB8" s="24">
        <v>25</v>
      </c>
      <c r="AC8" s="24">
        <v>26</v>
      </c>
      <c r="AD8" s="24">
        <v>27</v>
      </c>
      <c r="AE8" s="24">
        <v>28</v>
      </c>
      <c r="AF8" s="24">
        <v>29</v>
      </c>
      <c r="AG8" s="24">
        <v>30</v>
      </c>
      <c r="AH8" s="25">
        <v>31</v>
      </c>
      <c r="AI8" s="23">
        <v>1</v>
      </c>
      <c r="AJ8" s="24">
        <v>2</v>
      </c>
      <c r="AK8" s="24">
        <v>3</v>
      </c>
      <c r="AL8" s="24">
        <v>4</v>
      </c>
      <c r="AM8" s="24">
        <v>5</v>
      </c>
      <c r="AN8" s="24">
        <v>6</v>
      </c>
      <c r="AO8" s="24">
        <v>7</v>
      </c>
      <c r="AP8" s="24">
        <v>8</v>
      </c>
      <c r="AQ8" s="24">
        <v>9</v>
      </c>
      <c r="AR8" s="24">
        <v>10</v>
      </c>
      <c r="AS8" s="24">
        <v>11</v>
      </c>
      <c r="AT8" s="24">
        <v>12</v>
      </c>
      <c r="AU8" s="24">
        <v>13</v>
      </c>
      <c r="AV8" s="24">
        <v>14</v>
      </c>
      <c r="AW8" s="24">
        <v>15</v>
      </c>
      <c r="AX8" s="24">
        <v>16</v>
      </c>
      <c r="AY8" s="24">
        <v>17</v>
      </c>
      <c r="AZ8" s="24">
        <v>18</v>
      </c>
      <c r="BA8" s="24">
        <v>19</v>
      </c>
      <c r="BB8" s="24">
        <v>20</v>
      </c>
      <c r="BC8" s="24">
        <v>21</v>
      </c>
      <c r="BD8" s="24">
        <v>22</v>
      </c>
      <c r="BE8" s="24">
        <v>23</v>
      </c>
      <c r="BF8" s="24">
        <v>24</v>
      </c>
      <c r="BG8" s="24">
        <v>25</v>
      </c>
      <c r="BH8" s="24">
        <v>26</v>
      </c>
      <c r="BI8" s="24">
        <v>27</v>
      </c>
      <c r="BJ8" s="24">
        <v>28</v>
      </c>
      <c r="BK8" s="24">
        <v>29</v>
      </c>
      <c r="BL8" s="24">
        <v>30</v>
      </c>
      <c r="BM8" s="26">
        <v>31</v>
      </c>
      <c r="BN8" s="27">
        <v>1</v>
      </c>
      <c r="BO8" s="24">
        <v>2</v>
      </c>
      <c r="BP8" s="24">
        <v>3</v>
      </c>
      <c r="BQ8" s="24">
        <v>4</v>
      </c>
      <c r="BR8" s="24">
        <v>5</v>
      </c>
      <c r="BS8" s="24">
        <v>6</v>
      </c>
      <c r="BT8" s="24">
        <v>7</v>
      </c>
      <c r="BU8" s="24">
        <v>8</v>
      </c>
      <c r="BV8" s="24">
        <v>9</v>
      </c>
      <c r="BW8" s="24">
        <v>10</v>
      </c>
      <c r="BX8" s="24">
        <v>11</v>
      </c>
      <c r="BY8" s="24">
        <v>12</v>
      </c>
      <c r="BZ8" s="24">
        <v>13</v>
      </c>
      <c r="CA8" s="24">
        <v>14</v>
      </c>
      <c r="CB8" s="24">
        <v>15</v>
      </c>
      <c r="CC8" s="24">
        <v>16</v>
      </c>
      <c r="CD8" s="28">
        <v>17</v>
      </c>
      <c r="CE8" s="29">
        <v>18</v>
      </c>
      <c r="CF8" s="24">
        <v>19</v>
      </c>
      <c r="CG8" s="24">
        <v>20</v>
      </c>
      <c r="CH8" s="24">
        <v>21</v>
      </c>
      <c r="CI8" s="24">
        <v>22</v>
      </c>
      <c r="CJ8" s="24">
        <v>23</v>
      </c>
      <c r="CK8" s="24">
        <v>24</v>
      </c>
      <c r="CL8" s="24">
        <v>25</v>
      </c>
      <c r="CM8" s="24">
        <v>26</v>
      </c>
      <c r="CN8" s="24">
        <v>27</v>
      </c>
      <c r="CO8" s="30">
        <v>28</v>
      </c>
      <c r="CP8" s="29">
        <v>1</v>
      </c>
      <c r="CQ8" s="24">
        <v>2</v>
      </c>
      <c r="CR8" s="24">
        <v>3</v>
      </c>
      <c r="CS8" s="24">
        <v>4</v>
      </c>
      <c r="CT8" s="24">
        <v>5</v>
      </c>
      <c r="CU8" s="24">
        <v>6</v>
      </c>
      <c r="CV8" s="24">
        <v>7</v>
      </c>
      <c r="CW8" s="31">
        <v>8</v>
      </c>
      <c r="CX8" s="24">
        <v>9</v>
      </c>
      <c r="CY8" s="24">
        <v>10</v>
      </c>
      <c r="CZ8" s="24">
        <v>11</v>
      </c>
      <c r="DA8" s="24">
        <v>12</v>
      </c>
      <c r="DB8" s="24">
        <v>13</v>
      </c>
      <c r="DC8" s="24">
        <v>14</v>
      </c>
      <c r="DD8" s="24">
        <v>15</v>
      </c>
      <c r="DE8" s="24">
        <v>16</v>
      </c>
      <c r="DF8" s="24">
        <v>17</v>
      </c>
      <c r="DG8" s="24">
        <v>18</v>
      </c>
      <c r="DH8" s="24">
        <v>19</v>
      </c>
      <c r="DI8" s="24">
        <v>20</v>
      </c>
      <c r="DJ8" s="24">
        <v>21</v>
      </c>
      <c r="DK8" s="24">
        <v>22</v>
      </c>
      <c r="DL8" s="24">
        <v>23</v>
      </c>
      <c r="DM8" s="24">
        <v>24</v>
      </c>
      <c r="DN8" s="24">
        <v>25</v>
      </c>
      <c r="DO8" s="24">
        <v>26</v>
      </c>
      <c r="DP8" s="24">
        <v>27</v>
      </c>
      <c r="DQ8" s="24">
        <v>28</v>
      </c>
      <c r="DR8" s="24">
        <v>29</v>
      </c>
      <c r="DS8" s="32">
        <v>30</v>
      </c>
    </row>
    <row r="9" spans="1:123" ht="14" x14ac:dyDescent="0.3">
      <c r="A9" s="33" t="s">
        <v>176</v>
      </c>
      <c r="B9" s="34"/>
      <c r="C9" s="35"/>
      <c r="D9" s="36"/>
      <c r="E9" s="37"/>
      <c r="F9" s="37"/>
      <c r="G9" s="37"/>
      <c r="H9" s="37"/>
      <c r="I9" s="37"/>
      <c r="J9" s="37"/>
      <c r="K9" s="37"/>
      <c r="L9" s="38"/>
      <c r="M9" s="39"/>
      <c r="N9" s="37"/>
      <c r="O9" s="37"/>
      <c r="P9" s="37"/>
      <c r="Q9" s="37"/>
      <c r="R9" s="37"/>
      <c r="S9" s="40"/>
      <c r="T9" s="39"/>
      <c r="U9" s="37"/>
      <c r="V9" s="37"/>
      <c r="W9" s="37"/>
      <c r="X9" s="37"/>
      <c r="Y9" s="458" t="s">
        <v>177</v>
      </c>
      <c r="Z9" s="459"/>
      <c r="AA9" s="459"/>
      <c r="AB9" s="459"/>
      <c r="AC9" s="459"/>
      <c r="AD9" s="459"/>
      <c r="AE9" s="459"/>
      <c r="AF9" s="459"/>
      <c r="AG9" s="459"/>
      <c r="AH9" s="459"/>
      <c r="AI9" s="459"/>
      <c r="AJ9" s="459"/>
      <c r="AK9" s="459"/>
      <c r="AL9" s="459"/>
      <c r="AM9" s="459"/>
      <c r="AN9" s="460"/>
      <c r="AO9" s="39"/>
      <c r="AP9" s="37"/>
      <c r="AQ9" s="37"/>
      <c r="AR9" s="37"/>
      <c r="AS9" s="37"/>
      <c r="AT9" s="37"/>
      <c r="AU9" s="40"/>
      <c r="AV9" s="39"/>
      <c r="AW9" s="37"/>
      <c r="AX9" s="37"/>
      <c r="AY9" s="37"/>
      <c r="AZ9" s="37"/>
      <c r="BA9" s="37"/>
      <c r="BB9" s="40"/>
      <c r="BC9" s="39"/>
      <c r="BD9" s="37"/>
      <c r="BE9" s="37"/>
      <c r="BF9" s="37"/>
      <c r="BG9" s="37"/>
      <c r="BH9" s="37"/>
      <c r="BI9" s="40"/>
      <c r="BJ9" s="39"/>
      <c r="BK9" s="37"/>
      <c r="BL9" s="37"/>
      <c r="BM9" s="38"/>
      <c r="BN9" s="41"/>
      <c r="BO9" s="37"/>
      <c r="BP9" s="40"/>
      <c r="BQ9" s="39"/>
      <c r="BR9" s="42"/>
      <c r="BS9" s="37"/>
      <c r="BT9" s="37"/>
      <c r="BU9" s="37"/>
      <c r="BV9" s="37"/>
      <c r="BW9" s="40"/>
      <c r="BX9" s="43"/>
      <c r="BY9" s="37"/>
      <c r="BZ9" s="37"/>
      <c r="CA9" s="37"/>
      <c r="CB9" s="37"/>
      <c r="CC9" s="44"/>
      <c r="CD9" s="45"/>
      <c r="CE9" s="46"/>
      <c r="CF9" s="44"/>
      <c r="CG9" s="44"/>
      <c r="CH9" s="44"/>
      <c r="CI9" s="44"/>
      <c r="CJ9" s="44"/>
      <c r="CK9" s="45"/>
      <c r="CL9" s="39"/>
      <c r="CM9" s="37"/>
      <c r="CN9" s="37"/>
      <c r="CO9" s="47"/>
      <c r="CP9" s="43"/>
      <c r="CQ9" s="37"/>
      <c r="CR9" s="40"/>
      <c r="CS9" s="39"/>
      <c r="CT9" s="37"/>
      <c r="CU9" s="37"/>
      <c r="CV9" s="37"/>
      <c r="CW9" s="37"/>
      <c r="CX9" s="40"/>
      <c r="CY9" s="39"/>
      <c r="CZ9" s="37"/>
      <c r="DA9" s="37"/>
      <c r="DB9" s="37"/>
      <c r="DC9" s="37"/>
      <c r="DD9" s="37"/>
      <c r="DE9" s="40"/>
      <c r="DF9" s="48"/>
      <c r="DG9" s="37"/>
      <c r="DH9" s="37"/>
      <c r="DI9" s="37"/>
      <c r="DJ9" s="37"/>
      <c r="DK9" s="37"/>
      <c r="DL9" s="40"/>
      <c r="DM9" s="43"/>
      <c r="DN9" s="37"/>
      <c r="DO9" s="37"/>
      <c r="DP9" s="37"/>
      <c r="DQ9" s="37"/>
      <c r="DR9" s="37"/>
      <c r="DS9" s="49"/>
    </row>
    <row r="10" spans="1:123" ht="14" outlineLevel="1" x14ac:dyDescent="0.3">
      <c r="A10" s="50" t="s">
        <v>178</v>
      </c>
      <c r="B10" s="51" t="s">
        <v>140</v>
      </c>
      <c r="C10" s="52" t="s">
        <v>179</v>
      </c>
      <c r="D10" s="53"/>
      <c r="E10" s="54"/>
      <c r="F10" s="54"/>
      <c r="G10" s="54"/>
      <c r="H10" s="54"/>
      <c r="I10" s="54"/>
      <c r="J10" s="54"/>
      <c r="K10" s="54"/>
      <c r="L10" s="55"/>
      <c r="M10" s="56"/>
      <c r="N10" s="57"/>
      <c r="O10" s="57"/>
      <c r="P10" s="57"/>
      <c r="Q10" s="57"/>
      <c r="R10" s="57"/>
      <c r="S10" s="58"/>
      <c r="T10" s="59"/>
      <c r="U10" s="57"/>
      <c r="V10" s="57"/>
      <c r="W10" s="57"/>
      <c r="X10" s="57"/>
      <c r="Y10" s="60"/>
      <c r="Z10" s="61"/>
      <c r="AA10" s="62"/>
      <c r="AB10" s="60"/>
      <c r="AC10" s="60"/>
      <c r="AD10" s="60"/>
      <c r="AE10" s="60"/>
      <c r="AF10" s="60"/>
      <c r="AG10" s="61"/>
      <c r="AH10" s="63"/>
      <c r="AI10" s="64"/>
      <c r="AJ10" s="60"/>
      <c r="AK10" s="60"/>
      <c r="AL10" s="60"/>
      <c r="AM10" s="60"/>
      <c r="AN10" s="65"/>
      <c r="AO10" s="59"/>
      <c r="AP10" s="57"/>
      <c r="AQ10" s="57"/>
      <c r="AR10" s="57"/>
      <c r="AS10" s="57"/>
      <c r="AT10" s="57"/>
      <c r="AU10" s="58"/>
      <c r="AV10" s="59"/>
      <c r="AW10" s="57"/>
      <c r="AX10" s="57"/>
      <c r="AY10" s="57"/>
      <c r="AZ10" s="57"/>
      <c r="BA10" s="57"/>
      <c r="BB10" s="58"/>
      <c r="BC10" s="59"/>
      <c r="BD10" s="57"/>
      <c r="BE10" s="57"/>
      <c r="BF10" s="57"/>
      <c r="BG10" s="57"/>
      <c r="BH10" s="57"/>
      <c r="BI10" s="58"/>
      <c r="BJ10" s="59"/>
      <c r="BK10" s="57"/>
      <c r="BL10" s="57"/>
      <c r="BM10" s="66"/>
      <c r="BN10" s="67"/>
      <c r="BO10" s="57"/>
      <c r="BP10" s="58"/>
      <c r="BQ10" s="59"/>
      <c r="BR10" s="68"/>
      <c r="BS10" s="57"/>
      <c r="BT10" s="57"/>
      <c r="BU10" s="57"/>
      <c r="BV10" s="57"/>
      <c r="BW10" s="58"/>
      <c r="BX10" s="69"/>
      <c r="BY10" s="57"/>
      <c r="BZ10" s="57"/>
      <c r="CA10" s="57"/>
      <c r="CB10" s="57"/>
      <c r="CC10" s="70"/>
      <c r="CD10" s="71"/>
      <c r="CE10" s="72"/>
      <c r="CF10" s="70"/>
      <c r="CG10" s="70"/>
      <c r="CH10" s="70"/>
      <c r="CI10" s="70"/>
      <c r="CJ10" s="70"/>
      <c r="CK10" s="71"/>
      <c r="CL10" s="59"/>
      <c r="CM10" s="57"/>
      <c r="CN10" s="57"/>
      <c r="CO10" s="73"/>
      <c r="CP10" s="69"/>
      <c r="CQ10" s="57"/>
      <c r="CR10" s="58"/>
      <c r="CS10" s="59"/>
      <c r="CT10" s="57"/>
      <c r="CU10" s="57"/>
      <c r="CV10" s="57"/>
      <c r="CW10" s="57"/>
      <c r="CX10" s="58"/>
      <c r="CY10" s="59"/>
      <c r="CZ10" s="57"/>
      <c r="DA10" s="57"/>
      <c r="DB10" s="57"/>
      <c r="DC10" s="57"/>
      <c r="DD10" s="57"/>
      <c r="DE10" s="58"/>
      <c r="DF10" s="74"/>
      <c r="DG10" s="57"/>
      <c r="DH10" s="57"/>
      <c r="DI10" s="57"/>
      <c r="DJ10" s="57"/>
      <c r="DK10" s="57"/>
      <c r="DL10" s="58"/>
      <c r="DM10" s="69"/>
      <c r="DN10" s="57"/>
      <c r="DO10" s="57"/>
      <c r="DP10" s="57"/>
      <c r="DQ10" s="57"/>
      <c r="DR10" s="57"/>
      <c r="DS10" s="75"/>
    </row>
    <row r="11" spans="1:123" ht="14" outlineLevel="1" x14ac:dyDescent="0.3">
      <c r="A11" s="76" t="s">
        <v>180</v>
      </c>
      <c r="B11" s="77" t="s">
        <v>140</v>
      </c>
      <c r="C11" s="78" t="s">
        <v>179</v>
      </c>
      <c r="D11" s="79"/>
      <c r="E11" s="57"/>
      <c r="F11" s="57"/>
      <c r="G11" s="57"/>
      <c r="H11" s="57"/>
      <c r="I11" s="57"/>
      <c r="J11" s="57"/>
      <c r="K11" s="57"/>
      <c r="L11" s="66"/>
      <c r="M11" s="59"/>
      <c r="N11" s="54"/>
      <c r="O11" s="54"/>
      <c r="P11" s="54"/>
      <c r="Q11" s="54"/>
      <c r="R11" s="54"/>
      <c r="S11" s="80"/>
      <c r="T11" s="56"/>
      <c r="U11" s="81"/>
      <c r="V11" s="54"/>
      <c r="W11" s="54"/>
      <c r="X11" s="54"/>
      <c r="Y11" s="60"/>
      <c r="Z11" s="61"/>
      <c r="AA11" s="62"/>
      <c r="AB11" s="60"/>
      <c r="AC11" s="60"/>
      <c r="AD11" s="60"/>
      <c r="AE11" s="60"/>
      <c r="AF11" s="60"/>
      <c r="AG11" s="61"/>
      <c r="AH11" s="63"/>
      <c r="AI11" s="64"/>
      <c r="AJ11" s="60"/>
      <c r="AK11" s="60"/>
      <c r="AL11" s="60"/>
      <c r="AM11" s="60"/>
      <c r="AN11" s="65"/>
      <c r="AO11" s="59"/>
      <c r="AP11" s="57"/>
      <c r="AQ11" s="57"/>
      <c r="AR11" s="57"/>
      <c r="AS11" s="57"/>
      <c r="AT11" s="57"/>
      <c r="AU11" s="58"/>
      <c r="AV11" s="59"/>
      <c r="AW11" s="57"/>
      <c r="AX11" s="57"/>
      <c r="AY11" s="57"/>
      <c r="AZ11" s="57"/>
      <c r="BA11" s="57"/>
      <c r="BB11" s="58"/>
      <c r="BC11" s="59"/>
      <c r="BD11" s="57"/>
      <c r="BE11" s="57"/>
      <c r="BF11" s="57"/>
      <c r="BG11" s="57"/>
      <c r="BH11" s="57"/>
      <c r="BI11" s="58"/>
      <c r="BJ11" s="59"/>
      <c r="BK11" s="57"/>
      <c r="BL11" s="57"/>
      <c r="BM11" s="66"/>
      <c r="BN11" s="67"/>
      <c r="BO11" s="57"/>
      <c r="BP11" s="58"/>
      <c r="BQ11" s="59"/>
      <c r="BR11" s="68"/>
      <c r="BS11" s="57"/>
      <c r="BT11" s="57"/>
      <c r="BU11" s="57"/>
      <c r="BV11" s="57"/>
      <c r="BW11" s="58"/>
      <c r="BX11" s="69"/>
      <c r="BY11" s="57"/>
      <c r="BZ11" s="57"/>
      <c r="CA11" s="57"/>
      <c r="CB11" s="57"/>
      <c r="CC11" s="70"/>
      <c r="CD11" s="71"/>
      <c r="CE11" s="72"/>
      <c r="CF11" s="70"/>
      <c r="CG11" s="70"/>
      <c r="CH11" s="70"/>
      <c r="CI11" s="70"/>
      <c r="CJ11" s="70"/>
      <c r="CK11" s="71"/>
      <c r="CL11" s="59"/>
      <c r="CM11" s="57"/>
      <c r="CN11" s="57"/>
      <c r="CO11" s="73"/>
      <c r="CP11" s="69"/>
      <c r="CQ11" s="57"/>
      <c r="CR11" s="58"/>
      <c r="CS11" s="59"/>
      <c r="CT11" s="57"/>
      <c r="CU11" s="57"/>
      <c r="CV11" s="57"/>
      <c r="CW11" s="57"/>
      <c r="CX11" s="58"/>
      <c r="CY11" s="59"/>
      <c r="CZ11" s="57"/>
      <c r="DA11" s="57"/>
      <c r="DB11" s="57"/>
      <c r="DC11" s="57"/>
      <c r="DD11" s="57"/>
      <c r="DE11" s="58"/>
      <c r="DF11" s="74"/>
      <c r="DG11" s="57"/>
      <c r="DH11" s="57"/>
      <c r="DI11" s="57"/>
      <c r="DJ11" s="57"/>
      <c r="DK11" s="57"/>
      <c r="DL11" s="58"/>
      <c r="DM11" s="69"/>
      <c r="DN11" s="57"/>
      <c r="DO11" s="57"/>
      <c r="DP11" s="57"/>
      <c r="DQ11" s="57"/>
      <c r="DR11" s="57"/>
      <c r="DS11" s="75"/>
    </row>
    <row r="12" spans="1:123" ht="14" outlineLevel="1" x14ac:dyDescent="0.3">
      <c r="A12" s="50" t="s">
        <v>316</v>
      </c>
      <c r="B12" s="77" t="s">
        <v>140</v>
      </c>
      <c r="C12" s="78" t="s">
        <v>179</v>
      </c>
      <c r="D12" s="79"/>
      <c r="E12" s="57"/>
      <c r="F12" s="57"/>
      <c r="G12" s="57"/>
      <c r="H12" s="57"/>
      <c r="I12" s="57"/>
      <c r="J12" s="57"/>
      <c r="K12" s="57"/>
      <c r="L12" s="66"/>
      <c r="M12" s="59"/>
      <c r="N12" s="54"/>
      <c r="O12" s="54"/>
      <c r="P12" s="54"/>
      <c r="Q12" s="54"/>
      <c r="R12" s="54"/>
      <c r="S12" s="80"/>
      <c r="T12" s="56"/>
      <c r="U12" s="54"/>
      <c r="V12" s="54"/>
      <c r="W12" s="57"/>
      <c r="X12" s="57"/>
      <c r="Y12" s="60"/>
      <c r="Z12" s="61"/>
      <c r="AA12" s="62"/>
      <c r="AB12" s="60"/>
      <c r="AC12" s="60"/>
      <c r="AD12" s="60"/>
      <c r="AE12" s="60"/>
      <c r="AF12" s="60"/>
      <c r="AG12" s="61"/>
      <c r="AH12" s="63"/>
      <c r="AI12" s="64"/>
      <c r="AJ12" s="60"/>
      <c r="AK12" s="60"/>
      <c r="AL12" s="60"/>
      <c r="AM12" s="60"/>
      <c r="AN12" s="65"/>
      <c r="AO12" s="59"/>
      <c r="AP12" s="57"/>
      <c r="AQ12" s="57"/>
      <c r="AR12" s="57"/>
      <c r="AS12" s="57"/>
      <c r="AT12" s="57"/>
      <c r="AU12" s="58"/>
      <c r="AV12" s="59"/>
      <c r="AW12" s="57"/>
      <c r="AX12" s="57"/>
      <c r="AY12" s="57"/>
      <c r="AZ12" s="57"/>
      <c r="BA12" s="57"/>
      <c r="BB12" s="58"/>
      <c r="BC12" s="59"/>
      <c r="BD12" s="57"/>
      <c r="BE12" s="57"/>
      <c r="BF12" s="57"/>
      <c r="BG12" s="57"/>
      <c r="BH12" s="57"/>
      <c r="BI12" s="58"/>
      <c r="BJ12" s="59"/>
      <c r="BK12" s="57"/>
      <c r="BL12" s="57"/>
      <c r="BM12" s="66"/>
      <c r="BN12" s="67"/>
      <c r="BO12" s="57"/>
      <c r="BP12" s="58"/>
      <c r="BQ12" s="59"/>
      <c r="BR12" s="68"/>
      <c r="BS12" s="57"/>
      <c r="BT12" s="57"/>
      <c r="BU12" s="57"/>
      <c r="BV12" s="57"/>
      <c r="BW12" s="58"/>
      <c r="BX12" s="69"/>
      <c r="BY12" s="57"/>
      <c r="BZ12" s="57"/>
      <c r="CA12" s="57"/>
      <c r="CB12" s="57"/>
      <c r="CC12" s="70"/>
      <c r="CD12" s="71"/>
      <c r="CE12" s="72"/>
      <c r="CF12" s="70"/>
      <c r="CG12" s="70"/>
      <c r="CH12" s="70"/>
      <c r="CI12" s="70"/>
      <c r="CJ12" s="70"/>
      <c r="CK12" s="71"/>
      <c r="CL12" s="59"/>
      <c r="CM12" s="57"/>
      <c r="CN12" s="57"/>
      <c r="CO12" s="73"/>
      <c r="CP12" s="69"/>
      <c r="CQ12" s="57"/>
      <c r="CR12" s="58"/>
      <c r="CS12" s="59"/>
      <c r="CT12" s="57"/>
      <c r="CU12" s="57"/>
      <c r="CV12" s="57"/>
      <c r="CW12" s="57"/>
      <c r="CX12" s="58"/>
      <c r="CY12" s="59"/>
      <c r="CZ12" s="57"/>
      <c r="DA12" s="57"/>
      <c r="DB12" s="57"/>
      <c r="DC12" s="57"/>
      <c r="DD12" s="57"/>
      <c r="DE12" s="58"/>
      <c r="DF12" s="74"/>
      <c r="DG12" s="57"/>
      <c r="DH12" s="57"/>
      <c r="DI12" s="57"/>
      <c r="DJ12" s="57"/>
      <c r="DK12" s="57"/>
      <c r="DL12" s="58"/>
      <c r="DM12" s="69"/>
      <c r="DN12" s="57"/>
      <c r="DO12" s="57"/>
      <c r="DP12" s="57"/>
      <c r="DQ12" s="57"/>
      <c r="DR12" s="57"/>
      <c r="DS12" s="75"/>
    </row>
    <row r="13" spans="1:123" ht="14.5" outlineLevel="1" thickBot="1" x14ac:dyDescent="0.35">
      <c r="A13" s="76" t="s">
        <v>181</v>
      </c>
      <c r="B13" s="77" t="s">
        <v>140</v>
      </c>
      <c r="C13" s="401" t="s">
        <v>254</v>
      </c>
      <c r="D13" s="83"/>
      <c r="E13" s="84"/>
      <c r="F13" s="84"/>
      <c r="G13" s="84"/>
      <c r="H13" s="84"/>
      <c r="I13" s="84"/>
      <c r="J13" s="84"/>
      <c r="K13" s="84"/>
      <c r="L13" s="85"/>
      <c r="M13" s="86"/>
      <c r="N13" s="84"/>
      <c r="O13" s="84"/>
      <c r="P13" s="84"/>
      <c r="Q13" s="84"/>
      <c r="R13" s="84"/>
      <c r="S13" s="87"/>
      <c r="T13" s="86"/>
      <c r="U13" s="84"/>
      <c r="V13" s="84"/>
      <c r="W13" s="84"/>
      <c r="X13" s="84"/>
      <c r="Y13" s="88"/>
      <c r="Z13" s="89"/>
      <c r="AA13" s="90"/>
      <c r="AB13" s="88"/>
      <c r="AC13" s="88"/>
      <c r="AD13" s="88"/>
      <c r="AE13" s="88"/>
      <c r="AF13" s="88"/>
      <c r="AG13" s="89"/>
      <c r="AH13" s="91"/>
      <c r="AI13" s="92"/>
      <c r="AJ13" s="88"/>
      <c r="AK13" s="88"/>
      <c r="AL13" s="88"/>
      <c r="AM13" s="88"/>
      <c r="AN13" s="93"/>
      <c r="AO13" s="347"/>
      <c r="AP13" s="348"/>
      <c r="AQ13" s="348"/>
      <c r="AR13" s="348"/>
      <c r="AS13" s="348"/>
      <c r="AT13" s="348"/>
      <c r="AU13" s="349"/>
      <c r="AV13" s="347"/>
      <c r="AW13" s="348"/>
      <c r="AX13" s="348"/>
      <c r="AY13" s="348"/>
      <c r="AZ13" s="348"/>
      <c r="BA13" s="348"/>
      <c r="BB13" s="349"/>
      <c r="BC13" s="347"/>
      <c r="BD13" s="348"/>
      <c r="BE13" s="348"/>
      <c r="BF13" s="348"/>
      <c r="BG13" s="348"/>
      <c r="BH13" s="347"/>
      <c r="BI13" s="347"/>
      <c r="BJ13" s="347"/>
      <c r="BK13" s="348"/>
      <c r="BL13" s="348"/>
      <c r="BM13" s="348"/>
      <c r="BN13" s="348"/>
      <c r="BO13" s="348"/>
      <c r="BP13" s="348"/>
      <c r="BQ13" s="348"/>
      <c r="BR13" s="95"/>
      <c r="BS13" s="84"/>
      <c r="BT13" s="84"/>
      <c r="BU13" s="84"/>
      <c r="BV13" s="84"/>
      <c r="BW13" s="87"/>
      <c r="BX13" s="99"/>
      <c r="BY13" s="84"/>
      <c r="BZ13" s="84"/>
      <c r="CA13" s="84"/>
      <c r="CB13" s="84"/>
      <c r="CC13" s="100"/>
      <c r="CD13" s="101"/>
      <c r="CE13" s="102"/>
      <c r="CF13" s="100"/>
      <c r="CG13" s="100"/>
      <c r="CH13" s="100"/>
      <c r="CI13" s="100"/>
      <c r="CJ13" s="100"/>
      <c r="CK13" s="101"/>
      <c r="CL13" s="86"/>
      <c r="CM13" s="84"/>
      <c r="CN13" s="84"/>
      <c r="CO13" s="103"/>
      <c r="CP13" s="99"/>
      <c r="CQ13" s="84"/>
      <c r="CR13" s="87"/>
      <c r="CS13" s="86"/>
      <c r="CT13" s="84"/>
      <c r="CU13" s="84"/>
      <c r="CV13" s="84"/>
      <c r="CW13" s="84"/>
      <c r="CX13" s="87"/>
      <c r="CY13" s="86"/>
      <c r="CZ13" s="84"/>
      <c r="DA13" s="84"/>
      <c r="DB13" s="84"/>
      <c r="DC13" s="84"/>
      <c r="DD13" s="84"/>
      <c r="DE13" s="87"/>
      <c r="DF13" s="104"/>
      <c r="DG13" s="84"/>
      <c r="DH13" s="84"/>
      <c r="DI13" s="84"/>
      <c r="DJ13" s="84"/>
      <c r="DK13" s="84"/>
      <c r="DL13" s="87"/>
      <c r="DM13" s="99"/>
      <c r="DN13" s="84"/>
      <c r="DO13" s="84"/>
      <c r="DP13" s="84"/>
      <c r="DQ13" s="84"/>
      <c r="DR13" s="84"/>
      <c r="DS13" s="105"/>
    </row>
    <row r="14" spans="1:123" ht="14" outlineLevel="1" x14ac:dyDescent="0.3">
      <c r="A14" s="50" t="s">
        <v>183</v>
      </c>
      <c r="B14" s="77" t="s">
        <v>140</v>
      </c>
      <c r="C14" s="106" t="s">
        <v>179</v>
      </c>
      <c r="D14" s="107"/>
      <c r="E14" s="108"/>
      <c r="F14" s="108"/>
      <c r="G14" s="108"/>
      <c r="H14" s="108"/>
      <c r="I14" s="108"/>
      <c r="J14" s="108"/>
      <c r="K14" s="108"/>
      <c r="L14" s="109"/>
      <c r="M14" s="110"/>
      <c r="N14" s="108"/>
      <c r="O14" s="108"/>
      <c r="P14" s="108"/>
      <c r="Q14" s="108"/>
      <c r="R14" s="108"/>
      <c r="S14" s="111"/>
      <c r="T14" s="110"/>
      <c r="U14" s="108"/>
      <c r="V14" s="108"/>
      <c r="W14" s="108"/>
      <c r="X14" s="108"/>
      <c r="Y14" s="112"/>
      <c r="Z14" s="113"/>
      <c r="AA14" s="114"/>
      <c r="AB14" s="112"/>
      <c r="AC14" s="112"/>
      <c r="AD14" s="112"/>
      <c r="AE14" s="112"/>
      <c r="AF14" s="112"/>
      <c r="AG14" s="113"/>
      <c r="AH14" s="115"/>
      <c r="AI14" s="116"/>
      <c r="AJ14" s="112"/>
      <c r="AK14" s="112"/>
      <c r="AL14" s="112"/>
      <c r="AM14" s="112"/>
      <c r="AN14" s="117"/>
      <c r="AO14" s="118"/>
      <c r="AP14" s="119"/>
      <c r="AQ14" s="119"/>
      <c r="AR14" s="119"/>
      <c r="AS14" s="119"/>
      <c r="AT14" s="119"/>
      <c r="AU14" s="120"/>
      <c r="AV14" s="121"/>
      <c r="AW14" s="122"/>
      <c r="AX14" s="122"/>
      <c r="AY14" s="122"/>
      <c r="AZ14" s="123"/>
      <c r="BA14" s="108"/>
      <c r="BB14" s="111"/>
      <c r="BC14" s="110"/>
      <c r="BD14" s="108"/>
      <c r="BE14" s="108"/>
      <c r="BF14" s="108"/>
      <c r="BG14" s="108"/>
      <c r="BH14" s="108"/>
      <c r="BI14" s="111"/>
      <c r="BJ14" s="59"/>
      <c r="BK14" s="57"/>
      <c r="BL14" s="57"/>
      <c r="BM14" s="66"/>
      <c r="BN14" s="67"/>
      <c r="BO14" s="57"/>
      <c r="BP14" s="58"/>
      <c r="BQ14" s="110"/>
      <c r="BR14" s="125"/>
      <c r="BS14" s="108"/>
      <c r="BT14" s="108"/>
      <c r="BU14" s="108"/>
      <c r="BV14" s="108"/>
      <c r="BW14" s="111"/>
      <c r="BX14" s="126"/>
      <c r="BY14" s="108"/>
      <c r="BZ14" s="108"/>
      <c r="CA14" s="108"/>
      <c r="CB14" s="108"/>
      <c r="CC14" s="127"/>
      <c r="CD14" s="128"/>
      <c r="CE14" s="129"/>
      <c r="CF14" s="127"/>
      <c r="CG14" s="127"/>
      <c r="CH14" s="127"/>
      <c r="CI14" s="127"/>
      <c r="CJ14" s="127"/>
      <c r="CK14" s="128"/>
      <c r="CL14" s="110"/>
      <c r="CM14" s="108"/>
      <c r="CN14" s="108"/>
      <c r="CO14" s="130"/>
      <c r="CP14" s="126"/>
      <c r="CQ14" s="108"/>
      <c r="CR14" s="111"/>
      <c r="CS14" s="110"/>
      <c r="CT14" s="108"/>
      <c r="CU14" s="108"/>
      <c r="CV14" s="108"/>
      <c r="CW14" s="108"/>
      <c r="CX14" s="111"/>
      <c r="CY14" s="110"/>
      <c r="CZ14" s="108"/>
      <c r="DA14" s="108"/>
      <c r="DB14" s="108"/>
      <c r="DC14" s="108"/>
      <c r="DD14" s="108"/>
      <c r="DE14" s="111"/>
      <c r="DF14" s="131"/>
      <c r="DG14" s="108"/>
      <c r="DH14" s="108"/>
      <c r="DI14" s="108"/>
      <c r="DJ14" s="108"/>
      <c r="DK14" s="108"/>
      <c r="DL14" s="111"/>
      <c r="DM14" s="126"/>
      <c r="DN14" s="108"/>
      <c r="DO14" s="108"/>
      <c r="DP14" s="108"/>
      <c r="DQ14" s="108"/>
      <c r="DR14" s="108"/>
      <c r="DS14" s="132"/>
    </row>
    <row r="15" spans="1:123" ht="14.5" outlineLevel="1" thickBot="1" x14ac:dyDescent="0.35">
      <c r="A15" s="76" t="s">
        <v>184</v>
      </c>
      <c r="B15" s="77" t="s">
        <v>140</v>
      </c>
      <c r="C15" s="401" t="s">
        <v>254</v>
      </c>
      <c r="D15" s="107"/>
      <c r="E15" s="108"/>
      <c r="F15" s="108"/>
      <c r="G15" s="108"/>
      <c r="H15" s="108"/>
      <c r="I15" s="108"/>
      <c r="J15" s="108"/>
      <c r="K15" s="108"/>
      <c r="L15" s="109"/>
      <c r="M15" s="110"/>
      <c r="N15" s="108"/>
      <c r="O15" s="108"/>
      <c r="P15" s="108"/>
      <c r="Q15" s="108"/>
      <c r="R15" s="108"/>
      <c r="S15" s="111"/>
      <c r="T15" s="110"/>
      <c r="U15" s="108"/>
      <c r="V15" s="108"/>
      <c r="W15" s="108"/>
      <c r="X15" s="108"/>
      <c r="Y15" s="112"/>
      <c r="Z15" s="113"/>
      <c r="AA15" s="114"/>
      <c r="AB15" s="112"/>
      <c r="AC15" s="112"/>
      <c r="AD15" s="112"/>
      <c r="AE15" s="112"/>
      <c r="AF15" s="112"/>
      <c r="AG15" s="113"/>
      <c r="AH15" s="115"/>
      <c r="AI15" s="116"/>
      <c r="AJ15" s="112"/>
      <c r="AK15" s="112"/>
      <c r="AL15" s="112"/>
      <c r="AM15" s="112"/>
      <c r="AN15" s="117"/>
      <c r="AO15" s="118"/>
      <c r="AP15" s="119"/>
      <c r="AQ15" s="119"/>
      <c r="AR15" s="119"/>
      <c r="AS15" s="119"/>
      <c r="AT15" s="119"/>
      <c r="AU15" s="120"/>
      <c r="AV15" s="110"/>
      <c r="AW15" s="108"/>
      <c r="AX15" s="108"/>
      <c r="AY15" s="108"/>
      <c r="AZ15" s="108"/>
      <c r="BA15" s="108"/>
      <c r="BB15" s="111"/>
      <c r="BC15" s="350"/>
      <c r="BD15" s="351"/>
      <c r="BE15" s="351"/>
      <c r="BF15" s="351"/>
      <c r="BG15" s="351"/>
      <c r="BH15" s="108"/>
      <c r="BI15" s="111"/>
      <c r="BJ15" s="348"/>
      <c r="BK15" s="348"/>
      <c r="BL15" s="348"/>
      <c r="BM15" s="348"/>
      <c r="BN15" s="348"/>
      <c r="BO15" s="57"/>
      <c r="BP15" s="58"/>
      <c r="BQ15" s="348"/>
      <c r="BR15" s="122"/>
      <c r="BS15" s="108"/>
      <c r="BT15" s="108"/>
      <c r="BU15" s="108"/>
      <c r="BV15" s="108"/>
      <c r="BW15" s="111"/>
      <c r="BX15" s="126"/>
      <c r="BY15" s="108"/>
      <c r="BZ15" s="108"/>
      <c r="CA15" s="108"/>
      <c r="CB15" s="108"/>
      <c r="CC15" s="127"/>
      <c r="CD15" s="128"/>
      <c r="CE15" s="129"/>
      <c r="CF15" s="127"/>
      <c r="CG15" s="127"/>
      <c r="CH15" s="127"/>
      <c r="CI15" s="127"/>
      <c r="CJ15" s="127"/>
      <c r="CK15" s="128"/>
      <c r="CL15" s="110"/>
      <c r="CM15" s="108"/>
      <c r="CN15" s="108"/>
      <c r="CO15" s="130"/>
      <c r="CP15" s="126"/>
      <c r="CQ15" s="108"/>
      <c r="CR15" s="111"/>
      <c r="CS15" s="110"/>
      <c r="CT15" s="108"/>
      <c r="CU15" s="108"/>
      <c r="CV15" s="108"/>
      <c r="CW15" s="108"/>
      <c r="CX15" s="111"/>
      <c r="CY15" s="110"/>
      <c r="CZ15" s="108"/>
      <c r="DA15" s="108"/>
      <c r="DB15" s="108"/>
      <c r="DC15" s="108"/>
      <c r="DD15" s="108"/>
      <c r="DE15" s="111"/>
      <c r="DF15" s="131"/>
      <c r="DG15" s="108"/>
      <c r="DH15" s="108"/>
      <c r="DI15" s="108"/>
      <c r="DJ15" s="108"/>
      <c r="DK15" s="108"/>
      <c r="DL15" s="111"/>
      <c r="DM15" s="126"/>
      <c r="DN15" s="108"/>
      <c r="DO15" s="108"/>
      <c r="DP15" s="108"/>
      <c r="DQ15" s="108"/>
      <c r="DR15" s="108"/>
      <c r="DS15" s="132"/>
    </row>
    <row r="16" spans="1:123" ht="14" outlineLevel="1" x14ac:dyDescent="0.3">
      <c r="A16" s="50" t="s">
        <v>185</v>
      </c>
      <c r="B16" s="77" t="s">
        <v>140</v>
      </c>
      <c r="C16" s="140" t="s">
        <v>191</v>
      </c>
      <c r="D16" s="107"/>
      <c r="E16" s="108"/>
      <c r="F16" s="108"/>
      <c r="G16" s="108"/>
      <c r="H16" s="108"/>
      <c r="I16" s="108"/>
      <c r="J16" s="108"/>
      <c r="K16" s="108"/>
      <c r="L16" s="109"/>
      <c r="M16" s="110"/>
      <c r="N16" s="108"/>
      <c r="O16" s="108"/>
      <c r="P16" s="108"/>
      <c r="Q16" s="108"/>
      <c r="R16" s="108"/>
      <c r="S16" s="111"/>
      <c r="T16" s="110"/>
      <c r="U16" s="108"/>
      <c r="V16" s="108"/>
      <c r="W16" s="108"/>
      <c r="X16" s="108"/>
      <c r="Y16" s="112"/>
      <c r="Z16" s="113"/>
      <c r="AA16" s="114"/>
      <c r="AB16" s="112"/>
      <c r="AC16" s="112"/>
      <c r="AD16" s="112"/>
      <c r="AE16" s="112"/>
      <c r="AF16" s="112"/>
      <c r="AG16" s="113"/>
      <c r="AH16" s="115"/>
      <c r="AI16" s="116"/>
      <c r="AJ16" s="112"/>
      <c r="AK16" s="112"/>
      <c r="AL16" s="112"/>
      <c r="AM16" s="112"/>
      <c r="AN16" s="117"/>
      <c r="AO16" s="118"/>
      <c r="AP16" s="119"/>
      <c r="AQ16" s="119"/>
      <c r="AR16" s="119"/>
      <c r="AS16" s="119"/>
      <c r="AT16" s="119"/>
      <c r="AU16" s="120"/>
      <c r="AV16" s="110"/>
      <c r="AW16" s="108"/>
      <c r="AX16" s="108"/>
      <c r="AY16" s="108"/>
      <c r="AZ16" s="108"/>
      <c r="BA16" s="108"/>
      <c r="BB16" s="111"/>
      <c r="BC16" s="121"/>
      <c r="BD16" s="122"/>
      <c r="BE16" s="122"/>
      <c r="BF16" s="122"/>
      <c r="BG16" s="123"/>
      <c r="BH16" s="108"/>
      <c r="BI16" s="111"/>
      <c r="BJ16" s="59"/>
      <c r="BK16" s="57"/>
      <c r="BL16" s="57"/>
      <c r="BM16" s="66"/>
      <c r="BN16" s="67"/>
      <c r="BO16" s="57"/>
      <c r="BP16" s="58"/>
      <c r="BQ16" s="110"/>
      <c r="BR16" s="125"/>
      <c r="BS16" s="108"/>
      <c r="BT16" s="108"/>
      <c r="BU16" s="108"/>
      <c r="BV16" s="108"/>
      <c r="BW16" s="111"/>
      <c r="BX16" s="126"/>
      <c r="BY16" s="108"/>
      <c r="BZ16" s="108"/>
      <c r="CA16" s="108"/>
      <c r="CB16" s="108"/>
      <c r="CC16" s="127"/>
      <c r="CD16" s="128"/>
      <c r="CE16" s="129"/>
      <c r="CF16" s="127"/>
      <c r="CG16" s="127"/>
      <c r="CH16" s="127"/>
      <c r="CI16" s="127"/>
      <c r="CJ16" s="127"/>
      <c r="CK16" s="128"/>
      <c r="CL16" s="110"/>
      <c r="CM16" s="108"/>
      <c r="CN16" s="108"/>
      <c r="CO16" s="130"/>
      <c r="CP16" s="126"/>
      <c r="CQ16" s="108"/>
      <c r="CR16" s="111"/>
      <c r="CS16" s="110"/>
      <c r="CT16" s="108"/>
      <c r="CU16" s="108"/>
      <c r="CV16" s="108"/>
      <c r="CW16" s="108"/>
      <c r="CX16" s="111"/>
      <c r="CY16" s="110"/>
      <c r="CZ16" s="108"/>
      <c r="DA16" s="108"/>
      <c r="DB16" s="108"/>
      <c r="DC16" s="108"/>
      <c r="DD16" s="108"/>
      <c r="DE16" s="111"/>
      <c r="DF16" s="131"/>
      <c r="DG16" s="108"/>
      <c r="DH16" s="108"/>
      <c r="DI16" s="108"/>
      <c r="DJ16" s="108"/>
      <c r="DK16" s="108"/>
      <c r="DL16" s="111"/>
      <c r="DM16" s="126"/>
      <c r="DN16" s="108"/>
      <c r="DO16" s="108"/>
      <c r="DP16" s="108"/>
      <c r="DQ16" s="108"/>
      <c r="DR16" s="108"/>
      <c r="DS16" s="132"/>
    </row>
    <row r="17" spans="1:123" ht="14.5" outlineLevel="1" thickBot="1" x14ac:dyDescent="0.35">
      <c r="A17" s="76" t="s">
        <v>186</v>
      </c>
      <c r="B17" s="77" t="s">
        <v>140</v>
      </c>
      <c r="C17" s="140" t="s">
        <v>191</v>
      </c>
      <c r="D17" s="107"/>
      <c r="E17" s="108"/>
      <c r="F17" s="108"/>
      <c r="G17" s="108"/>
      <c r="H17" s="108"/>
      <c r="I17" s="108"/>
      <c r="J17" s="108"/>
      <c r="K17" s="108"/>
      <c r="L17" s="109"/>
      <c r="M17" s="110"/>
      <c r="N17" s="108"/>
      <c r="O17" s="108"/>
      <c r="P17" s="108"/>
      <c r="Q17" s="108"/>
      <c r="R17" s="108"/>
      <c r="S17" s="111"/>
      <c r="T17" s="110"/>
      <c r="U17" s="108"/>
      <c r="V17" s="108"/>
      <c r="W17" s="108"/>
      <c r="X17" s="108"/>
      <c r="Y17" s="112"/>
      <c r="Z17" s="113"/>
      <c r="AA17" s="114"/>
      <c r="AB17" s="112"/>
      <c r="AC17" s="112"/>
      <c r="AD17" s="112"/>
      <c r="AE17" s="112"/>
      <c r="AF17" s="112"/>
      <c r="AG17" s="113"/>
      <c r="AH17" s="115"/>
      <c r="AI17" s="116"/>
      <c r="AJ17" s="112"/>
      <c r="AK17" s="112"/>
      <c r="AL17" s="112"/>
      <c r="AM17" s="112"/>
      <c r="AN17" s="117"/>
      <c r="AO17" s="118"/>
      <c r="AP17" s="119"/>
      <c r="AQ17" s="119"/>
      <c r="AR17" s="119"/>
      <c r="AS17" s="119"/>
      <c r="AT17" s="119"/>
      <c r="AU17" s="120"/>
      <c r="AV17" s="110"/>
      <c r="AW17" s="108"/>
      <c r="AX17" s="108"/>
      <c r="AY17" s="108"/>
      <c r="AZ17" s="108"/>
      <c r="BA17" s="108"/>
      <c r="BB17" s="111"/>
      <c r="BC17" s="348"/>
      <c r="BD17" s="348"/>
      <c r="BE17" s="348"/>
      <c r="BF17" s="348"/>
      <c r="BG17" s="348"/>
      <c r="BH17" s="348"/>
      <c r="BI17" s="348"/>
      <c r="BJ17" s="348"/>
      <c r="BK17" s="348"/>
      <c r="BL17" s="348"/>
      <c r="BM17" s="348"/>
      <c r="BN17" s="348"/>
      <c r="BO17" s="348"/>
      <c r="BP17" s="347"/>
      <c r="BQ17" s="121"/>
      <c r="BR17" s="122"/>
      <c r="BS17" s="122"/>
      <c r="BT17" s="122"/>
      <c r="BU17" s="122"/>
      <c r="BV17" s="108"/>
      <c r="BW17" s="111"/>
      <c r="BX17" s="126"/>
      <c r="BY17" s="108"/>
      <c r="BZ17" s="108"/>
      <c r="CA17" s="108"/>
      <c r="CB17" s="108"/>
      <c r="CC17" s="127"/>
      <c r="CD17" s="128"/>
      <c r="CE17" s="129"/>
      <c r="CF17" s="127"/>
      <c r="CG17" s="127"/>
      <c r="CH17" s="127"/>
      <c r="CI17" s="127"/>
      <c r="CJ17" s="127"/>
      <c r="CK17" s="128"/>
      <c r="CL17" s="110"/>
      <c r="CM17" s="108"/>
      <c r="CN17" s="108"/>
      <c r="CO17" s="130"/>
      <c r="CP17" s="126"/>
      <c r="CQ17" s="108"/>
      <c r="CR17" s="111"/>
      <c r="CS17" s="110"/>
      <c r="CT17" s="108"/>
      <c r="CU17" s="108"/>
      <c r="CV17" s="108"/>
      <c r="CW17" s="108"/>
      <c r="CX17" s="111"/>
      <c r="CY17" s="110"/>
      <c r="CZ17" s="108"/>
      <c r="DA17" s="108"/>
      <c r="DB17" s="108"/>
      <c r="DC17" s="108"/>
      <c r="DD17" s="108"/>
      <c r="DE17" s="111"/>
      <c r="DF17" s="131"/>
      <c r="DG17" s="108"/>
      <c r="DH17" s="108"/>
      <c r="DI17" s="108"/>
      <c r="DJ17" s="108"/>
      <c r="DK17" s="108"/>
      <c r="DL17" s="111"/>
      <c r="DM17" s="126"/>
      <c r="DN17" s="108"/>
      <c r="DO17" s="108"/>
      <c r="DP17" s="108"/>
      <c r="DQ17" s="108"/>
      <c r="DR17" s="108"/>
      <c r="DS17" s="132"/>
    </row>
    <row r="18" spans="1:123" ht="14" x14ac:dyDescent="0.3">
      <c r="A18" s="33" t="s">
        <v>187</v>
      </c>
      <c r="B18" s="34"/>
      <c r="C18" s="34"/>
      <c r="D18" s="36"/>
      <c r="E18" s="37"/>
      <c r="F18" s="37"/>
      <c r="G18" s="37"/>
      <c r="H18" s="37"/>
      <c r="I18" s="37"/>
      <c r="J18" s="37"/>
      <c r="K18" s="37"/>
      <c r="L18" s="38"/>
      <c r="M18" s="39"/>
      <c r="N18" s="37"/>
      <c r="O18" s="37"/>
      <c r="P18" s="37"/>
      <c r="Q18" s="37"/>
      <c r="R18" s="37"/>
      <c r="S18" s="40"/>
      <c r="T18" s="39"/>
      <c r="U18" s="37"/>
      <c r="V18" s="37"/>
      <c r="W18" s="37"/>
      <c r="X18" s="37"/>
      <c r="Y18" s="133"/>
      <c r="Z18" s="134"/>
      <c r="AA18" s="135"/>
      <c r="AB18" s="133"/>
      <c r="AC18" s="133"/>
      <c r="AD18" s="133"/>
      <c r="AE18" s="133"/>
      <c r="AF18" s="133"/>
      <c r="AG18" s="134"/>
      <c r="AH18" s="136"/>
      <c r="AI18" s="137"/>
      <c r="AJ18" s="133"/>
      <c r="AK18" s="133"/>
      <c r="AL18" s="133"/>
      <c r="AM18" s="133"/>
      <c r="AN18" s="138"/>
      <c r="AO18" s="39"/>
      <c r="AP18" s="37"/>
      <c r="AQ18" s="37"/>
      <c r="AR18" s="37"/>
      <c r="AS18" s="37"/>
      <c r="AT18" s="37"/>
      <c r="AU18" s="40"/>
      <c r="AV18" s="39"/>
      <c r="AW18" s="37"/>
      <c r="AX18" s="37"/>
      <c r="AY18" s="37"/>
      <c r="AZ18" s="37"/>
      <c r="BA18" s="37"/>
      <c r="BB18" s="40"/>
      <c r="BC18" s="39"/>
      <c r="BD18" s="37"/>
      <c r="BE18" s="37"/>
      <c r="BF18" s="37"/>
      <c r="BG18" s="37"/>
      <c r="BH18" s="37"/>
      <c r="BI18" s="40"/>
      <c r="BJ18" s="39"/>
      <c r="BK18" s="37"/>
      <c r="BL18" s="37"/>
      <c r="BM18" s="38"/>
      <c r="BN18" s="41"/>
      <c r="BO18" s="37"/>
      <c r="BP18" s="40"/>
      <c r="BQ18" s="39"/>
      <c r="BR18" s="42"/>
      <c r="BS18" s="37"/>
      <c r="BT18" s="37"/>
      <c r="BU18" s="37"/>
      <c r="BV18" s="37"/>
      <c r="BW18" s="40"/>
      <c r="BX18" s="43"/>
      <c r="BY18" s="37"/>
      <c r="BZ18" s="37"/>
      <c r="CA18" s="37"/>
      <c r="CB18" s="37"/>
      <c r="CC18" s="44"/>
      <c r="CD18" s="45"/>
      <c r="CE18" s="46"/>
      <c r="CF18" s="44"/>
      <c r="CG18" s="44"/>
      <c r="CH18" s="44"/>
      <c r="CI18" s="44"/>
      <c r="CJ18" s="44"/>
      <c r="CK18" s="45"/>
      <c r="CL18" s="39"/>
      <c r="CM18" s="37"/>
      <c r="CN18" s="37"/>
      <c r="CO18" s="47"/>
      <c r="CP18" s="43"/>
      <c r="CQ18" s="37"/>
      <c r="CR18" s="40"/>
      <c r="CS18" s="39"/>
      <c r="CT18" s="37"/>
      <c r="CU18" s="37"/>
      <c r="CV18" s="37"/>
      <c r="CW18" s="37"/>
      <c r="CX18" s="40"/>
      <c r="CY18" s="39"/>
      <c r="CZ18" s="37"/>
      <c r="DA18" s="37"/>
      <c r="DB18" s="37"/>
      <c r="DC18" s="37"/>
      <c r="DD18" s="37"/>
      <c r="DE18" s="40"/>
      <c r="DF18" s="48"/>
      <c r="DG18" s="37"/>
      <c r="DH18" s="37"/>
      <c r="DI18" s="37"/>
      <c r="DJ18" s="37"/>
      <c r="DK18" s="37"/>
      <c r="DL18" s="40"/>
      <c r="DM18" s="43"/>
      <c r="DN18" s="37"/>
      <c r="DO18" s="37"/>
      <c r="DP18" s="37"/>
      <c r="DQ18" s="37"/>
      <c r="DR18" s="37"/>
      <c r="DS18" s="49"/>
    </row>
    <row r="19" spans="1:123" ht="14" outlineLevel="1" x14ac:dyDescent="0.3">
      <c r="A19" s="50" t="s">
        <v>188</v>
      </c>
      <c r="B19" s="77" t="s">
        <v>9</v>
      </c>
      <c r="C19" s="106" t="s">
        <v>179</v>
      </c>
      <c r="D19" s="139"/>
      <c r="E19" s="54"/>
      <c r="F19" s="54"/>
      <c r="G19" s="54"/>
      <c r="H19" s="54"/>
      <c r="I19" s="81"/>
      <c r="J19" s="54"/>
      <c r="K19" s="54"/>
      <c r="L19" s="55"/>
      <c r="M19" s="59"/>
      <c r="N19" s="57"/>
      <c r="O19" s="57"/>
      <c r="P19" s="57"/>
      <c r="Q19" s="57"/>
      <c r="R19" s="57"/>
      <c r="S19" s="58"/>
      <c r="T19" s="59"/>
      <c r="U19" s="57"/>
      <c r="V19" s="57"/>
      <c r="W19" s="57"/>
      <c r="X19" s="57"/>
      <c r="Y19" s="60"/>
      <c r="Z19" s="61"/>
      <c r="AA19" s="62"/>
      <c r="AB19" s="60"/>
      <c r="AC19" s="60"/>
      <c r="AD19" s="60"/>
      <c r="AE19" s="60"/>
      <c r="AF19" s="60"/>
      <c r="AG19" s="61"/>
      <c r="AH19" s="63"/>
      <c r="AI19" s="64"/>
      <c r="AJ19" s="60"/>
      <c r="AK19" s="60"/>
      <c r="AL19" s="60"/>
      <c r="AM19" s="60"/>
      <c r="AN19" s="65"/>
      <c r="AO19" s="59"/>
      <c r="AP19" s="57"/>
      <c r="AQ19" s="57"/>
      <c r="AR19" s="57"/>
      <c r="AS19" s="57"/>
      <c r="AT19" s="57"/>
      <c r="AU19" s="58"/>
      <c r="AV19" s="59"/>
      <c r="AW19" s="57"/>
      <c r="AX19" s="57"/>
      <c r="AY19" s="57"/>
      <c r="AZ19" s="57"/>
      <c r="BA19" s="57"/>
      <c r="BB19" s="58"/>
      <c r="BC19" s="59"/>
      <c r="BD19" s="57"/>
      <c r="BE19" s="57"/>
      <c r="BF19" s="57"/>
      <c r="BG19" s="57"/>
      <c r="BH19" s="57"/>
      <c r="BI19" s="58"/>
      <c r="BJ19" s="59"/>
      <c r="BK19" s="57"/>
      <c r="BL19" s="57"/>
      <c r="BM19" s="66"/>
      <c r="BN19" s="67"/>
      <c r="BO19" s="57"/>
      <c r="BP19" s="58"/>
      <c r="BQ19" s="59"/>
      <c r="BR19" s="68"/>
      <c r="BS19" s="57"/>
      <c r="BT19" s="57"/>
      <c r="BU19" s="57"/>
      <c r="BV19" s="57"/>
      <c r="BW19" s="58"/>
      <c r="BX19" s="69"/>
      <c r="BY19" s="57"/>
      <c r="BZ19" s="57"/>
      <c r="CA19" s="57"/>
      <c r="CB19" s="57"/>
      <c r="CC19" s="70"/>
      <c r="CD19" s="71"/>
      <c r="CE19" s="72"/>
      <c r="CF19" s="70"/>
      <c r="CG19" s="70"/>
      <c r="CH19" s="70"/>
      <c r="CI19" s="70"/>
      <c r="CJ19" s="70"/>
      <c r="CK19" s="71"/>
      <c r="CL19" s="59"/>
      <c r="CM19" s="57"/>
      <c r="CN19" s="57"/>
      <c r="CO19" s="73"/>
      <c r="CP19" s="69"/>
      <c r="CQ19" s="57"/>
      <c r="CR19" s="58"/>
      <c r="CS19" s="59"/>
      <c r="CT19" s="57"/>
      <c r="CU19" s="57"/>
      <c r="CV19" s="57"/>
      <c r="CW19" s="57"/>
      <c r="CX19" s="58"/>
      <c r="CY19" s="59"/>
      <c r="CZ19" s="57"/>
      <c r="DA19" s="57"/>
      <c r="DB19" s="57"/>
      <c r="DC19" s="57"/>
      <c r="DD19" s="57"/>
      <c r="DE19" s="58"/>
      <c r="DF19" s="74"/>
      <c r="DG19" s="57"/>
      <c r="DH19" s="57"/>
      <c r="DI19" s="57"/>
      <c r="DJ19" s="57"/>
      <c r="DK19" s="57"/>
      <c r="DL19" s="58"/>
      <c r="DM19" s="69"/>
      <c r="DN19" s="57"/>
      <c r="DO19" s="57"/>
      <c r="DP19" s="57"/>
      <c r="DQ19" s="57"/>
      <c r="DR19" s="57"/>
      <c r="DS19" s="75"/>
    </row>
    <row r="20" spans="1:123" ht="14" outlineLevel="1" x14ac:dyDescent="0.3">
      <c r="A20" s="76" t="s">
        <v>189</v>
      </c>
      <c r="B20" s="77" t="s">
        <v>9</v>
      </c>
      <c r="C20" s="106" t="s">
        <v>179</v>
      </c>
      <c r="D20" s="79"/>
      <c r="E20" s="57"/>
      <c r="F20" s="57"/>
      <c r="G20" s="57"/>
      <c r="H20" s="57"/>
      <c r="I20" s="57"/>
      <c r="J20" s="57"/>
      <c r="K20" s="57"/>
      <c r="L20" s="66"/>
      <c r="M20" s="56"/>
      <c r="N20" s="54"/>
      <c r="O20" s="54"/>
      <c r="P20" s="81"/>
      <c r="Q20" s="54"/>
      <c r="R20" s="54"/>
      <c r="S20" s="80"/>
      <c r="T20" s="56"/>
      <c r="U20" s="54"/>
      <c r="V20" s="54"/>
      <c r="W20" s="54"/>
      <c r="X20" s="54"/>
      <c r="Y20" s="60"/>
      <c r="Z20" s="61"/>
      <c r="AA20" s="62"/>
      <c r="AB20" s="60"/>
      <c r="AC20" s="60"/>
      <c r="AD20" s="60"/>
      <c r="AE20" s="60"/>
      <c r="AF20" s="60"/>
      <c r="AG20" s="61"/>
      <c r="AH20" s="63"/>
      <c r="AI20" s="64"/>
      <c r="AJ20" s="60"/>
      <c r="AK20" s="60"/>
      <c r="AL20" s="60"/>
      <c r="AM20" s="60"/>
      <c r="AN20" s="65"/>
      <c r="AO20" s="59"/>
      <c r="AP20" s="57"/>
      <c r="AQ20" s="57"/>
      <c r="AR20" s="57"/>
      <c r="AS20" s="57"/>
      <c r="AT20" s="57"/>
      <c r="AU20" s="58"/>
      <c r="AV20" s="59"/>
      <c r="AW20" s="57"/>
      <c r="AX20" s="57"/>
      <c r="AY20" s="57"/>
      <c r="AZ20" s="57"/>
      <c r="BA20" s="57"/>
      <c r="BB20" s="58"/>
      <c r="BC20" s="59"/>
      <c r="BD20" s="57"/>
      <c r="BE20" s="57"/>
      <c r="BF20" s="57"/>
      <c r="BG20" s="57"/>
      <c r="BH20" s="57"/>
      <c r="BI20" s="58"/>
      <c r="BJ20" s="69"/>
      <c r="BK20" s="57"/>
      <c r="BL20" s="57"/>
      <c r="BM20" s="66"/>
      <c r="BN20" s="67"/>
      <c r="BO20" s="57"/>
      <c r="BP20" s="57"/>
      <c r="BQ20" s="59"/>
      <c r="BR20" s="68"/>
      <c r="BS20" s="57"/>
      <c r="BT20" s="57"/>
      <c r="BU20" s="57"/>
      <c r="BV20" s="57"/>
      <c r="BW20" s="58"/>
      <c r="BX20" s="69"/>
      <c r="BY20" s="57"/>
      <c r="BZ20" s="57"/>
      <c r="CA20" s="57"/>
      <c r="CB20" s="57"/>
      <c r="CC20" s="70"/>
      <c r="CD20" s="71"/>
      <c r="CE20" s="72"/>
      <c r="CF20" s="70"/>
      <c r="CG20" s="70"/>
      <c r="CH20" s="70"/>
      <c r="CI20" s="70"/>
      <c r="CJ20" s="70"/>
      <c r="CK20" s="71"/>
      <c r="CL20" s="59"/>
      <c r="CM20" s="57"/>
      <c r="CN20" s="57"/>
      <c r="CO20" s="73"/>
      <c r="CP20" s="69"/>
      <c r="CQ20" s="57"/>
      <c r="CR20" s="58"/>
      <c r="CS20" s="59"/>
      <c r="CT20" s="57"/>
      <c r="CU20" s="57"/>
      <c r="CV20" s="57"/>
      <c r="CW20" s="57"/>
      <c r="CX20" s="58"/>
      <c r="CY20" s="59"/>
      <c r="CZ20" s="57"/>
      <c r="DA20" s="57"/>
      <c r="DB20" s="57"/>
      <c r="DC20" s="57"/>
      <c r="DD20" s="57"/>
      <c r="DE20" s="58"/>
      <c r="DF20" s="74"/>
      <c r="DG20" s="57"/>
      <c r="DH20" s="57"/>
      <c r="DI20" s="57"/>
      <c r="DJ20" s="57"/>
      <c r="DK20" s="57"/>
      <c r="DL20" s="58"/>
      <c r="DM20" s="69"/>
      <c r="DN20" s="57"/>
      <c r="DO20" s="57"/>
      <c r="DP20" s="57"/>
      <c r="DQ20" s="57"/>
      <c r="DR20" s="57"/>
      <c r="DS20" s="75"/>
    </row>
    <row r="21" spans="1:123" ht="14" outlineLevel="1" x14ac:dyDescent="0.3">
      <c r="A21" s="76" t="s">
        <v>190</v>
      </c>
      <c r="B21" s="77" t="s">
        <v>9</v>
      </c>
      <c r="C21" s="401" t="s">
        <v>254</v>
      </c>
      <c r="D21" s="79"/>
      <c r="E21" s="57"/>
      <c r="F21" s="57"/>
      <c r="G21" s="57"/>
      <c r="H21" s="57"/>
      <c r="I21" s="57"/>
      <c r="J21" s="57"/>
      <c r="K21" s="57"/>
      <c r="L21" s="66"/>
      <c r="M21" s="59"/>
      <c r="N21" s="108"/>
      <c r="O21" s="108"/>
      <c r="P21" s="108"/>
      <c r="Q21" s="108"/>
      <c r="R21" s="57"/>
      <c r="S21" s="58"/>
      <c r="T21" s="59"/>
      <c r="U21" s="57"/>
      <c r="V21" s="57"/>
      <c r="W21" s="57"/>
      <c r="X21" s="57"/>
      <c r="Y21" s="60"/>
      <c r="Z21" s="61"/>
      <c r="AA21" s="62"/>
      <c r="AB21" s="60"/>
      <c r="AC21" s="60"/>
      <c r="AD21" s="60"/>
      <c r="AE21" s="60"/>
      <c r="AF21" s="60"/>
      <c r="AG21" s="61"/>
      <c r="AH21" s="63"/>
      <c r="AI21" s="64"/>
      <c r="AJ21" s="60"/>
      <c r="AK21" s="60"/>
      <c r="AL21" s="60"/>
      <c r="AM21" s="60"/>
      <c r="AN21" s="65"/>
      <c r="AO21" s="56"/>
      <c r="AP21" s="54"/>
      <c r="AQ21" s="54"/>
      <c r="AR21" s="54"/>
      <c r="AS21" s="54"/>
      <c r="AT21" s="54"/>
      <c r="AU21" s="80"/>
      <c r="AV21" s="56"/>
      <c r="AW21" s="54"/>
      <c r="AX21" s="54"/>
      <c r="AY21" s="54"/>
      <c r="AZ21" s="54"/>
      <c r="BA21" s="54"/>
      <c r="BB21" s="80"/>
      <c r="BC21" s="59"/>
      <c r="BD21" s="57"/>
      <c r="BE21" s="57"/>
      <c r="BF21" s="57"/>
      <c r="BG21" s="57"/>
      <c r="BH21" s="57"/>
      <c r="BI21" s="58"/>
      <c r="BJ21" s="69"/>
      <c r="BK21" s="57"/>
      <c r="BL21" s="57"/>
      <c r="BM21" s="66"/>
      <c r="BN21" s="67"/>
      <c r="BO21" s="57"/>
      <c r="BP21" s="57"/>
      <c r="BQ21" s="59"/>
      <c r="BR21" s="68"/>
      <c r="BS21" s="57"/>
      <c r="BT21" s="57"/>
      <c r="BU21" s="57"/>
      <c r="BV21" s="57"/>
      <c r="BW21" s="58"/>
      <c r="BX21" s="69"/>
      <c r="BY21" s="57"/>
      <c r="BZ21" s="57"/>
      <c r="CA21" s="57"/>
      <c r="CB21" s="57"/>
      <c r="CC21" s="70"/>
      <c r="CD21" s="71"/>
      <c r="CE21" s="72"/>
      <c r="CF21" s="70"/>
      <c r="CG21" s="70"/>
      <c r="CH21" s="70"/>
      <c r="CI21" s="70"/>
      <c r="CJ21" s="70"/>
      <c r="CK21" s="71"/>
      <c r="CL21" s="59"/>
      <c r="CM21" s="57"/>
      <c r="CN21" s="57"/>
      <c r="CO21" s="73"/>
      <c r="CP21" s="69"/>
      <c r="CQ21" s="57"/>
      <c r="CR21" s="58"/>
      <c r="CS21" s="59"/>
      <c r="CT21" s="57"/>
      <c r="CU21" s="57"/>
      <c r="CV21" s="57"/>
      <c r="CW21" s="57"/>
      <c r="CX21" s="58"/>
      <c r="CY21" s="59"/>
      <c r="CZ21" s="57"/>
      <c r="DA21" s="57"/>
      <c r="DB21" s="57"/>
      <c r="DC21" s="57"/>
      <c r="DD21" s="57"/>
      <c r="DE21" s="58"/>
      <c r="DF21" s="74"/>
      <c r="DG21" s="57"/>
      <c r="DH21" s="57"/>
      <c r="DI21" s="57"/>
      <c r="DJ21" s="57"/>
      <c r="DK21" s="57"/>
      <c r="DL21" s="58"/>
      <c r="DM21" s="69"/>
      <c r="DN21" s="57"/>
      <c r="DO21" s="57"/>
      <c r="DP21" s="57"/>
      <c r="DQ21" s="57"/>
      <c r="DR21" s="57"/>
      <c r="DS21" s="75"/>
    </row>
    <row r="22" spans="1:123" ht="14.5" outlineLevel="1" thickBot="1" x14ac:dyDescent="0.35">
      <c r="A22" s="141" t="s">
        <v>192</v>
      </c>
      <c r="B22" s="77" t="s">
        <v>9</v>
      </c>
      <c r="C22" s="106" t="s">
        <v>179</v>
      </c>
      <c r="D22" s="57"/>
      <c r="E22" s="57"/>
      <c r="F22" s="57"/>
      <c r="G22" s="57"/>
      <c r="H22" s="57"/>
      <c r="I22" s="57"/>
      <c r="J22" s="57"/>
      <c r="K22" s="57"/>
      <c r="L22" s="57"/>
      <c r="M22" s="59"/>
      <c r="N22" s="57"/>
      <c r="O22" s="57"/>
      <c r="P22" s="57"/>
      <c r="Q22" s="95"/>
      <c r="R22" s="95"/>
      <c r="S22" s="96"/>
      <c r="T22" s="142"/>
      <c r="U22" s="95"/>
      <c r="V22" s="95"/>
      <c r="W22" s="84"/>
      <c r="X22" s="84"/>
      <c r="Y22" s="60"/>
      <c r="Z22" s="61"/>
      <c r="AA22" s="62"/>
      <c r="AB22" s="60"/>
      <c r="AC22" s="60"/>
      <c r="AD22" s="60"/>
      <c r="AE22" s="60"/>
      <c r="AF22" s="60"/>
      <c r="AG22" s="61"/>
      <c r="AH22" s="63"/>
      <c r="AI22" s="64"/>
      <c r="AJ22" s="60"/>
      <c r="AK22" s="60"/>
      <c r="AL22" s="60"/>
      <c r="AM22" s="60"/>
      <c r="AN22" s="65"/>
      <c r="AO22" s="59"/>
      <c r="AP22" s="57"/>
      <c r="AQ22" s="57"/>
      <c r="AR22" s="57"/>
      <c r="AS22" s="57"/>
      <c r="AT22" s="57"/>
      <c r="AU22" s="58"/>
      <c r="AV22" s="59"/>
      <c r="AW22" s="57"/>
      <c r="AX22" s="57"/>
      <c r="AY22" s="57"/>
      <c r="AZ22" s="57"/>
      <c r="BA22" s="57"/>
      <c r="BB22" s="58"/>
      <c r="BC22" s="59"/>
      <c r="BD22" s="57"/>
      <c r="BE22" s="57"/>
      <c r="BF22" s="57"/>
      <c r="BG22" s="57"/>
      <c r="BH22" s="57"/>
      <c r="BI22" s="58"/>
      <c r="BJ22" s="59"/>
      <c r="BK22" s="57"/>
      <c r="BL22" s="57"/>
      <c r="BM22" s="66"/>
      <c r="BN22" s="67"/>
      <c r="BP22" s="58"/>
      <c r="BQ22" s="59"/>
      <c r="BR22" s="68"/>
      <c r="BS22" s="57"/>
      <c r="BT22" s="57"/>
      <c r="BU22" s="57"/>
      <c r="BV22" s="57"/>
      <c r="BW22" s="58"/>
      <c r="BX22" s="69"/>
      <c r="BY22" s="57"/>
      <c r="BZ22" s="57"/>
      <c r="CA22" s="57"/>
      <c r="CB22" s="57"/>
      <c r="CC22" s="70"/>
      <c r="CD22" s="71"/>
      <c r="CE22" s="72"/>
      <c r="CF22" s="70"/>
      <c r="CG22" s="70"/>
      <c r="CH22" s="70"/>
      <c r="CI22" s="70"/>
      <c r="CJ22" s="70"/>
      <c r="CK22" s="71"/>
      <c r="CL22" s="59"/>
      <c r="CM22" s="57"/>
      <c r="CN22" s="57"/>
      <c r="CO22" s="73"/>
      <c r="CP22" s="69"/>
      <c r="CQ22" s="57"/>
      <c r="CR22" s="58"/>
      <c r="CS22" s="59"/>
      <c r="CT22" s="57"/>
      <c r="CU22" s="57"/>
      <c r="CV22" s="57"/>
      <c r="CW22" s="57"/>
      <c r="CX22" s="58"/>
      <c r="CY22" s="59"/>
      <c r="CZ22" s="57"/>
      <c r="DA22" s="57"/>
      <c r="DB22" s="57"/>
      <c r="DC22" s="57"/>
      <c r="DD22" s="57"/>
      <c r="DE22" s="58"/>
      <c r="DF22" s="104"/>
      <c r="DG22" s="84"/>
      <c r="DH22" s="84"/>
      <c r="DI22" s="84"/>
      <c r="DJ22" s="84"/>
      <c r="DK22" s="84"/>
      <c r="DL22" s="87"/>
      <c r="DM22" s="99"/>
      <c r="DN22" s="84"/>
      <c r="DO22" s="84"/>
      <c r="DP22" s="84"/>
      <c r="DQ22" s="84"/>
      <c r="DR22" s="84"/>
      <c r="DS22" s="105"/>
    </row>
    <row r="23" spans="1:123" ht="14" outlineLevel="1" x14ac:dyDescent="0.3">
      <c r="A23" s="141" t="s">
        <v>193</v>
      </c>
      <c r="B23" s="77" t="s">
        <v>9</v>
      </c>
      <c r="C23" s="106" t="s">
        <v>179</v>
      </c>
      <c r="D23" s="57"/>
      <c r="E23" s="57"/>
      <c r="F23" s="57"/>
      <c r="G23" s="57"/>
      <c r="H23" s="57"/>
      <c r="I23" s="57"/>
      <c r="J23" s="57"/>
      <c r="K23" s="57"/>
      <c r="L23" s="57"/>
      <c r="M23" s="59"/>
      <c r="N23" s="57"/>
      <c r="O23" s="57"/>
      <c r="P23" s="57"/>
      <c r="Q23" s="57"/>
      <c r="R23" s="57"/>
      <c r="S23" s="57"/>
      <c r="T23" s="56"/>
      <c r="U23" s="54"/>
      <c r="V23" s="54"/>
      <c r="W23" s="54"/>
      <c r="X23" s="123"/>
      <c r="Y23" s="60"/>
      <c r="Z23" s="61"/>
      <c r="AA23" s="62"/>
      <c r="AB23" s="60"/>
      <c r="AC23" s="60"/>
      <c r="AD23" s="60"/>
      <c r="AE23" s="60"/>
      <c r="AF23" s="60"/>
      <c r="AG23" s="61"/>
      <c r="AH23" s="63"/>
      <c r="AI23" s="64"/>
      <c r="AJ23" s="60"/>
      <c r="AK23" s="60"/>
      <c r="AL23" s="60"/>
      <c r="AM23" s="60"/>
      <c r="AN23" s="65"/>
      <c r="AO23" s="59"/>
      <c r="AP23" s="57"/>
      <c r="AQ23" s="57"/>
      <c r="AR23" s="57"/>
      <c r="AS23" s="57"/>
      <c r="AT23" s="57"/>
      <c r="AU23" s="58"/>
      <c r="AV23" s="59"/>
      <c r="AW23" s="57"/>
      <c r="AX23" s="57"/>
      <c r="AY23" s="57"/>
      <c r="AZ23" s="57"/>
      <c r="BA23" s="57"/>
      <c r="BB23" s="58"/>
      <c r="BC23" s="59"/>
      <c r="BD23" s="57"/>
      <c r="BE23" s="57"/>
      <c r="BF23" s="57"/>
      <c r="BG23" s="57"/>
      <c r="BH23" s="57"/>
      <c r="BI23" s="58"/>
      <c r="BJ23" s="59"/>
      <c r="BK23" s="57"/>
      <c r="BL23" s="57"/>
      <c r="BM23" s="66"/>
      <c r="BN23" s="67"/>
      <c r="BO23" s="57"/>
      <c r="BP23" s="58"/>
      <c r="BQ23" s="59"/>
      <c r="BR23" s="68"/>
      <c r="BS23" s="57"/>
      <c r="BT23" s="57"/>
      <c r="BU23" s="57"/>
      <c r="BV23" s="57"/>
      <c r="BW23" s="58"/>
      <c r="BX23" s="69"/>
      <c r="BY23" s="57"/>
      <c r="BZ23" s="57"/>
      <c r="CA23" s="57"/>
      <c r="CB23" s="57"/>
      <c r="CC23" s="70"/>
      <c r="CD23" s="71"/>
      <c r="CE23" s="129"/>
      <c r="CF23" s="127"/>
      <c r="CG23" s="127"/>
      <c r="CH23" s="127"/>
      <c r="CI23" s="127"/>
      <c r="CJ23" s="127"/>
      <c r="CK23" s="128"/>
      <c r="CL23" s="59"/>
      <c r="CM23" s="57"/>
      <c r="CN23" s="57"/>
      <c r="CO23" s="73"/>
      <c r="CP23" s="69"/>
      <c r="CQ23" s="57"/>
      <c r="CR23" s="58"/>
      <c r="CS23" s="59"/>
      <c r="CT23" s="57"/>
      <c r="CU23" s="57"/>
      <c r="CV23" s="57"/>
      <c r="CW23" s="57"/>
      <c r="CX23" s="58"/>
      <c r="CY23" s="59"/>
      <c r="CZ23" s="57"/>
      <c r="DA23" s="57"/>
      <c r="DB23" s="57"/>
      <c r="DC23" s="57"/>
      <c r="DD23" s="57"/>
      <c r="DE23" s="58"/>
      <c r="DF23" s="131"/>
      <c r="DG23" s="108"/>
      <c r="DH23" s="108"/>
      <c r="DI23" s="108"/>
      <c r="DJ23" s="108"/>
      <c r="DK23" s="108"/>
      <c r="DL23" s="111"/>
      <c r="DM23" s="126"/>
      <c r="DN23" s="108"/>
      <c r="DO23" s="108"/>
      <c r="DP23" s="108"/>
      <c r="DQ23" s="108"/>
      <c r="DR23" s="108"/>
      <c r="DS23" s="132"/>
    </row>
    <row r="24" spans="1:123" ht="14" outlineLevel="1" x14ac:dyDescent="0.3">
      <c r="A24" s="141" t="s">
        <v>194</v>
      </c>
      <c r="B24" s="77" t="s">
        <v>9</v>
      </c>
      <c r="C24" s="106" t="s">
        <v>179</v>
      </c>
      <c r="D24" s="126"/>
      <c r="E24" s="108"/>
      <c r="F24" s="108"/>
      <c r="G24" s="108"/>
      <c r="H24" s="108"/>
      <c r="I24" s="108"/>
      <c r="J24" s="108"/>
      <c r="K24" s="108"/>
      <c r="L24" s="109"/>
      <c r="M24" s="59"/>
      <c r="N24" s="57"/>
      <c r="O24" s="57"/>
      <c r="P24" s="57"/>
      <c r="Q24" s="57"/>
      <c r="R24" s="57"/>
      <c r="S24" s="57"/>
      <c r="T24" s="59"/>
      <c r="U24" s="57"/>
      <c r="V24" s="57"/>
      <c r="W24" s="57"/>
      <c r="X24" s="57"/>
      <c r="Y24" s="60"/>
      <c r="Z24" s="61"/>
      <c r="AA24" s="62"/>
      <c r="AB24" s="60"/>
      <c r="AC24" s="60"/>
      <c r="AD24" s="60"/>
      <c r="AE24" s="60"/>
      <c r="AF24" s="60"/>
      <c r="AG24" s="61"/>
      <c r="AH24" s="63"/>
      <c r="AI24" s="64"/>
      <c r="AJ24" s="60"/>
      <c r="AK24" s="60"/>
      <c r="AL24" s="60"/>
      <c r="AM24" s="60"/>
      <c r="AN24" s="65"/>
      <c r="AO24" s="59"/>
      <c r="AP24" s="57"/>
      <c r="AQ24" s="57"/>
      <c r="AR24" s="57"/>
      <c r="AS24" s="57"/>
      <c r="AT24" s="57"/>
      <c r="AU24" s="58"/>
      <c r="AV24" s="56"/>
      <c r="AW24" s="54"/>
      <c r="AX24" s="54"/>
      <c r="AY24" s="54"/>
      <c r="AZ24" s="54"/>
      <c r="BA24" s="54"/>
      <c r="BB24" s="80"/>
      <c r="BC24" s="110"/>
      <c r="BD24" s="108"/>
      <c r="BE24" s="123"/>
      <c r="BF24" s="108"/>
      <c r="BG24" s="108"/>
      <c r="BH24" s="108"/>
      <c r="BI24" s="111"/>
      <c r="BJ24" s="110"/>
      <c r="BK24" s="108"/>
      <c r="BL24" s="108"/>
      <c r="BM24" s="109"/>
      <c r="BN24" s="124"/>
      <c r="BO24" s="108"/>
      <c r="BP24" s="111"/>
      <c r="BQ24" s="110"/>
      <c r="BR24" s="125"/>
      <c r="BS24" s="108"/>
      <c r="BT24" s="108"/>
      <c r="BU24" s="108"/>
      <c r="BV24" s="108"/>
      <c r="BW24" s="111"/>
      <c r="BX24" s="126"/>
      <c r="BY24" s="108"/>
      <c r="BZ24" s="108"/>
      <c r="CA24" s="108"/>
      <c r="CB24" s="108"/>
      <c r="CC24" s="127"/>
      <c r="CD24" s="128"/>
      <c r="CE24" s="129"/>
      <c r="CF24" s="127"/>
      <c r="CG24" s="127"/>
      <c r="CH24" s="127"/>
      <c r="CI24" s="127"/>
      <c r="CJ24" s="127"/>
      <c r="CK24" s="128"/>
      <c r="CL24" s="110"/>
      <c r="CM24" s="108"/>
      <c r="CN24" s="108"/>
      <c r="CO24" s="130"/>
      <c r="CP24" s="126"/>
      <c r="CQ24" s="108"/>
      <c r="CR24" s="111"/>
      <c r="CS24" s="110"/>
      <c r="CT24" s="108"/>
      <c r="CU24" s="108"/>
      <c r="CV24" s="108"/>
      <c r="CW24" s="108"/>
      <c r="CX24" s="111"/>
      <c r="CY24" s="110"/>
      <c r="CZ24" s="108"/>
      <c r="DA24" s="108"/>
      <c r="DB24" s="108"/>
      <c r="DC24" s="108"/>
      <c r="DD24" s="108"/>
      <c r="DE24" s="111"/>
      <c r="DF24" s="131"/>
      <c r="DG24" s="108"/>
      <c r="DH24" s="108"/>
      <c r="DI24" s="108"/>
      <c r="DJ24" s="108"/>
      <c r="DK24" s="108"/>
      <c r="DL24" s="111"/>
      <c r="DM24" s="126"/>
      <c r="DN24" s="108"/>
      <c r="DO24" s="108"/>
      <c r="DP24" s="108"/>
      <c r="DQ24" s="108"/>
      <c r="DR24" s="108"/>
      <c r="DS24" s="132"/>
    </row>
    <row r="25" spans="1:123" ht="14" outlineLevel="1" x14ac:dyDescent="0.3">
      <c r="A25" s="141" t="s">
        <v>195</v>
      </c>
      <c r="B25" s="77" t="s">
        <v>9</v>
      </c>
      <c r="C25" s="401" t="s">
        <v>254</v>
      </c>
      <c r="D25" s="107"/>
      <c r="E25" s="108"/>
      <c r="F25" s="108"/>
      <c r="G25" s="108"/>
      <c r="H25" s="108"/>
      <c r="I25" s="108"/>
      <c r="J25" s="108"/>
      <c r="K25" s="108"/>
      <c r="L25" s="109"/>
      <c r="M25" s="59"/>
      <c r="N25" s="57"/>
      <c r="O25" s="57"/>
      <c r="P25" s="57"/>
      <c r="Q25" s="57"/>
      <c r="R25" s="57"/>
      <c r="S25" s="57"/>
      <c r="T25" s="59"/>
      <c r="U25" s="57"/>
      <c r="V25" s="57"/>
      <c r="W25" s="57"/>
      <c r="X25" s="57"/>
      <c r="Y25" s="60"/>
      <c r="Z25" s="61"/>
      <c r="AA25" s="62"/>
      <c r="AB25" s="60"/>
      <c r="AC25" s="60"/>
      <c r="AD25" s="60"/>
      <c r="AE25" s="60"/>
      <c r="AF25" s="60"/>
      <c r="AG25" s="61"/>
      <c r="AH25" s="63"/>
      <c r="AI25" s="64"/>
      <c r="AJ25" s="60"/>
      <c r="AK25" s="60"/>
      <c r="AL25" s="60"/>
      <c r="AM25" s="60"/>
      <c r="AN25" s="65"/>
      <c r="AO25" s="59"/>
      <c r="AP25" s="57"/>
      <c r="AQ25" s="57"/>
      <c r="AR25" s="57"/>
      <c r="AS25" s="57"/>
      <c r="AT25" s="57"/>
      <c r="AU25" s="58"/>
      <c r="AV25" s="59"/>
      <c r="AW25" s="57"/>
      <c r="AX25" s="57"/>
      <c r="AY25" s="57"/>
      <c r="AZ25" s="57"/>
      <c r="BA25" s="57"/>
      <c r="BB25" s="58"/>
      <c r="BC25" s="121"/>
      <c r="BD25" s="122"/>
      <c r="BE25" s="122"/>
      <c r="BF25" s="122"/>
      <c r="BG25" s="122"/>
      <c r="BH25" s="122"/>
      <c r="BI25" s="143"/>
      <c r="BJ25" s="350"/>
      <c r="BK25" s="351"/>
      <c r="BL25" s="351"/>
      <c r="BM25" s="352"/>
      <c r="BN25" s="353"/>
      <c r="BO25" s="108"/>
      <c r="BP25" s="111"/>
      <c r="BQ25" s="110"/>
      <c r="BR25" s="125"/>
      <c r="BS25" s="108"/>
      <c r="BT25" s="108"/>
      <c r="BU25" s="108"/>
      <c r="BV25" s="108"/>
      <c r="BW25" s="111"/>
      <c r="BX25" s="126"/>
      <c r="BY25" s="108"/>
      <c r="BZ25" s="108"/>
      <c r="CA25" s="108"/>
      <c r="CB25" s="108"/>
      <c r="CC25" s="127"/>
      <c r="CD25" s="128"/>
      <c r="CE25" s="129"/>
      <c r="CF25" s="127"/>
      <c r="CG25" s="127"/>
      <c r="CH25" s="127"/>
      <c r="CI25" s="127"/>
      <c r="CJ25" s="127"/>
      <c r="CK25" s="128"/>
      <c r="CL25" s="110"/>
      <c r="CM25" s="108"/>
      <c r="CN25" s="108"/>
      <c r="CO25" s="130"/>
      <c r="CP25" s="126"/>
      <c r="CQ25" s="108"/>
      <c r="CR25" s="111"/>
      <c r="CS25" s="110"/>
      <c r="CT25" s="108"/>
      <c r="CU25" s="108"/>
      <c r="CV25" s="108"/>
      <c r="CW25" s="108"/>
      <c r="CX25" s="111"/>
      <c r="CY25" s="110"/>
      <c r="CZ25" s="108"/>
      <c r="DA25" s="108"/>
      <c r="DB25" s="108"/>
      <c r="DC25" s="108"/>
      <c r="DD25" s="108"/>
      <c r="DE25" s="111"/>
      <c r="DF25" s="131"/>
      <c r="DG25" s="108"/>
      <c r="DH25" s="108"/>
      <c r="DI25" s="108"/>
      <c r="DJ25" s="108"/>
      <c r="DK25" s="108"/>
      <c r="DL25" s="111"/>
      <c r="DM25" s="126"/>
      <c r="DN25" s="108"/>
      <c r="DO25" s="108"/>
      <c r="DP25" s="108"/>
      <c r="DQ25" s="108"/>
      <c r="DR25" s="108"/>
      <c r="DS25" s="132"/>
    </row>
    <row r="26" spans="1:123" ht="14" outlineLevel="1" x14ac:dyDescent="0.3">
      <c r="A26" s="141" t="s">
        <v>317</v>
      </c>
      <c r="B26" s="77" t="s">
        <v>9</v>
      </c>
      <c r="C26" s="401" t="s">
        <v>254</v>
      </c>
      <c r="D26" s="107"/>
      <c r="E26" s="108"/>
      <c r="F26" s="108"/>
      <c r="G26" s="108"/>
      <c r="H26" s="108"/>
      <c r="I26" s="108"/>
      <c r="J26" s="108"/>
      <c r="K26" s="108"/>
      <c r="L26" s="109"/>
      <c r="M26" s="59"/>
      <c r="N26" s="57"/>
      <c r="O26" s="57"/>
      <c r="P26" s="57"/>
      <c r="Q26" s="57"/>
      <c r="R26" s="57"/>
      <c r="S26" s="57"/>
      <c r="T26" s="59"/>
      <c r="U26" s="57"/>
      <c r="V26" s="57"/>
      <c r="W26" s="57"/>
      <c r="X26" s="57"/>
      <c r="Y26" s="60"/>
      <c r="Z26" s="61"/>
      <c r="AA26" s="62"/>
      <c r="AB26" s="60"/>
      <c r="AC26" s="60"/>
      <c r="AD26" s="60"/>
      <c r="AE26" s="60"/>
      <c r="AF26" s="60"/>
      <c r="AG26" s="61"/>
      <c r="AH26" s="63"/>
      <c r="AI26" s="64"/>
      <c r="AJ26" s="60"/>
      <c r="AK26" s="60"/>
      <c r="AL26" s="60"/>
      <c r="AM26" s="60"/>
      <c r="AN26" s="65"/>
      <c r="AO26" s="59"/>
      <c r="AP26" s="57"/>
      <c r="AQ26" s="57"/>
      <c r="AR26" s="57"/>
      <c r="AS26" s="57"/>
      <c r="AT26" s="57"/>
      <c r="AU26" s="58"/>
      <c r="AV26" s="59"/>
      <c r="AW26" s="57"/>
      <c r="AX26" s="57"/>
      <c r="AY26" s="57"/>
      <c r="AZ26" s="57"/>
      <c r="BA26" s="57"/>
      <c r="BB26" s="58"/>
      <c r="BC26" s="110"/>
      <c r="BD26" s="108"/>
      <c r="BE26" s="108"/>
      <c r="BF26" s="108"/>
      <c r="BG26" s="108"/>
      <c r="BH26" s="108"/>
      <c r="BI26" s="111"/>
      <c r="BJ26" s="110"/>
      <c r="BK26" s="108"/>
      <c r="BL26" s="108"/>
      <c r="BM26" s="109"/>
      <c r="BN26" s="124"/>
      <c r="BO26" s="108"/>
      <c r="BP26" s="111"/>
      <c r="BQ26" s="350"/>
      <c r="BR26" s="351"/>
      <c r="BS26" s="351"/>
      <c r="BT26" s="351"/>
      <c r="BU26" s="351"/>
      <c r="BV26" s="108"/>
      <c r="BW26" s="111"/>
      <c r="BX26" s="126"/>
      <c r="BY26" s="108"/>
      <c r="BZ26" s="108"/>
      <c r="CA26" s="108"/>
      <c r="CB26" s="108"/>
      <c r="CC26" s="127"/>
      <c r="CD26" s="128"/>
      <c r="CE26" s="129"/>
      <c r="CF26" s="127"/>
      <c r="CG26" s="127"/>
      <c r="CH26" s="127"/>
      <c r="CI26" s="127"/>
      <c r="CJ26" s="127"/>
      <c r="CK26" s="128"/>
      <c r="CL26" s="110"/>
      <c r="CM26" s="108"/>
      <c r="CN26" s="108"/>
      <c r="CO26" s="130"/>
      <c r="CP26" s="126"/>
      <c r="CQ26" s="108"/>
      <c r="CR26" s="111"/>
      <c r="CS26" s="110"/>
      <c r="CT26" s="108"/>
      <c r="CU26" s="108"/>
      <c r="CV26" s="108"/>
      <c r="CW26" s="108"/>
      <c r="CX26" s="111"/>
      <c r="CY26" s="110"/>
      <c r="CZ26" s="108"/>
      <c r="DA26" s="108"/>
      <c r="DB26" s="108"/>
      <c r="DC26" s="108"/>
      <c r="DD26" s="108"/>
      <c r="DE26" s="111"/>
      <c r="DF26" s="131"/>
      <c r="DG26" s="108"/>
      <c r="DH26" s="108"/>
      <c r="DI26" s="108"/>
      <c r="DJ26" s="108"/>
      <c r="DK26" s="108"/>
      <c r="DL26" s="111"/>
      <c r="DM26" s="126"/>
      <c r="DN26" s="108"/>
      <c r="DO26" s="108"/>
      <c r="DP26" s="108"/>
      <c r="DQ26" s="108"/>
      <c r="DR26" s="108"/>
      <c r="DS26" s="132"/>
    </row>
    <row r="27" spans="1:123" ht="14.5" outlineLevel="1" thickBot="1" x14ac:dyDescent="0.35">
      <c r="A27" s="141" t="s">
        <v>196</v>
      </c>
      <c r="B27" s="77" t="s">
        <v>9</v>
      </c>
      <c r="C27" s="401" t="s">
        <v>254</v>
      </c>
      <c r="D27" s="107"/>
      <c r="E27" s="108"/>
      <c r="F27" s="108"/>
      <c r="G27" s="108"/>
      <c r="H27" s="108"/>
      <c r="I27" s="108"/>
      <c r="J27" s="108"/>
      <c r="K27" s="108"/>
      <c r="L27" s="109"/>
      <c r="M27" s="59"/>
      <c r="N27" s="57"/>
      <c r="O27" s="57"/>
      <c r="P27" s="57"/>
      <c r="Q27" s="57"/>
      <c r="R27" s="57"/>
      <c r="S27" s="57"/>
      <c r="T27" s="59"/>
      <c r="U27" s="57"/>
      <c r="V27" s="57"/>
      <c r="W27" s="57"/>
      <c r="X27" s="57"/>
      <c r="Y27" s="60"/>
      <c r="Z27" s="61"/>
      <c r="AA27" s="62"/>
      <c r="AB27" s="60"/>
      <c r="AC27" s="60"/>
      <c r="AD27" s="60"/>
      <c r="AE27" s="60"/>
      <c r="AF27" s="60"/>
      <c r="AG27" s="61"/>
      <c r="AH27" s="63"/>
      <c r="AI27" s="64"/>
      <c r="AJ27" s="60"/>
      <c r="AK27" s="60"/>
      <c r="AL27" s="60"/>
      <c r="AM27" s="60"/>
      <c r="AN27" s="65"/>
      <c r="AO27" s="59"/>
      <c r="AP27" s="57"/>
      <c r="AQ27" s="57"/>
      <c r="AR27" s="57"/>
      <c r="AS27" s="57"/>
      <c r="AT27" s="57"/>
      <c r="AU27" s="58"/>
      <c r="AV27" s="59"/>
      <c r="AW27" s="57"/>
      <c r="AX27" s="57"/>
      <c r="AY27" s="57"/>
      <c r="AZ27" s="57"/>
      <c r="BA27" s="57"/>
      <c r="BB27" s="58"/>
      <c r="BC27" s="354"/>
      <c r="BD27" s="355"/>
      <c r="BE27" s="355"/>
      <c r="BF27" s="355"/>
      <c r="BG27" s="355"/>
      <c r="BH27" s="355"/>
      <c r="BI27" s="356"/>
      <c r="BJ27" s="433"/>
      <c r="BK27" s="434"/>
      <c r="BL27" s="434"/>
      <c r="BM27" s="435"/>
      <c r="BN27" s="436"/>
      <c r="BO27" s="434"/>
      <c r="BP27" s="437"/>
      <c r="BQ27" s="110"/>
      <c r="BR27" s="125"/>
      <c r="BS27" s="108"/>
      <c r="BT27" s="108"/>
      <c r="BU27" s="108"/>
      <c r="BV27" s="108"/>
      <c r="BW27" s="111"/>
      <c r="BX27" s="126"/>
      <c r="BY27" s="108"/>
      <c r="BZ27" s="108"/>
      <c r="CA27" s="108"/>
      <c r="CB27" s="108"/>
      <c r="CC27" s="127"/>
      <c r="CD27" s="128"/>
      <c r="CE27" s="129"/>
      <c r="CF27" s="127"/>
      <c r="CG27" s="127"/>
      <c r="CH27" s="127"/>
      <c r="CI27" s="127"/>
      <c r="CJ27" s="127"/>
      <c r="CK27" s="128"/>
      <c r="CL27" s="110"/>
      <c r="CM27" s="108"/>
      <c r="CN27" s="108"/>
      <c r="CO27" s="130"/>
      <c r="CP27" s="126"/>
      <c r="CQ27" s="108"/>
      <c r="CR27" s="111"/>
      <c r="CS27" s="110"/>
      <c r="CT27" s="108"/>
      <c r="CU27" s="108"/>
      <c r="CV27" s="108"/>
      <c r="CW27" s="108"/>
      <c r="CX27" s="111"/>
      <c r="CY27" s="110"/>
      <c r="CZ27" s="108"/>
      <c r="DA27" s="108"/>
      <c r="DB27" s="108"/>
      <c r="DC27" s="108"/>
      <c r="DD27" s="108"/>
      <c r="DE27" s="111"/>
      <c r="DF27" s="131"/>
      <c r="DG27" s="108"/>
      <c r="DH27" s="108"/>
      <c r="DI27" s="108"/>
      <c r="DJ27" s="108"/>
      <c r="DK27" s="108"/>
      <c r="DL27" s="111"/>
      <c r="DM27" s="126"/>
      <c r="DN27" s="108"/>
      <c r="DO27" s="108"/>
      <c r="DP27" s="108"/>
      <c r="DQ27" s="108"/>
      <c r="DR27" s="108"/>
      <c r="DS27" s="132"/>
    </row>
    <row r="28" spans="1:123" ht="14" x14ac:dyDescent="0.3">
      <c r="A28" s="33" t="s">
        <v>197</v>
      </c>
      <c r="B28" s="34"/>
      <c r="C28" s="34"/>
      <c r="D28" s="36"/>
      <c r="E28" s="37"/>
      <c r="F28" s="37"/>
      <c r="G28" s="37"/>
      <c r="H28" s="37"/>
      <c r="I28" s="37"/>
      <c r="J28" s="37"/>
      <c r="K28" s="37"/>
      <c r="L28" s="38"/>
      <c r="M28" s="39"/>
      <c r="N28" s="37"/>
      <c r="O28" s="37"/>
      <c r="P28" s="37"/>
      <c r="Q28" s="37"/>
      <c r="R28" s="37"/>
      <c r="S28" s="40"/>
      <c r="T28" s="39"/>
      <c r="U28" s="37"/>
      <c r="V28" s="37"/>
      <c r="W28" s="37"/>
      <c r="X28" s="37"/>
      <c r="Y28" s="133"/>
      <c r="Z28" s="134"/>
      <c r="AA28" s="135"/>
      <c r="AB28" s="133"/>
      <c r="AC28" s="133"/>
      <c r="AD28" s="133"/>
      <c r="AE28" s="133"/>
      <c r="AF28" s="133"/>
      <c r="AG28" s="134"/>
      <c r="AH28" s="136"/>
      <c r="AI28" s="137"/>
      <c r="AJ28" s="133"/>
      <c r="AK28" s="133"/>
      <c r="AL28" s="133"/>
      <c r="AM28" s="133"/>
      <c r="AN28" s="138"/>
      <c r="AO28" s="39"/>
      <c r="AP28" s="37"/>
      <c r="AQ28" s="37"/>
      <c r="AR28" s="37"/>
      <c r="AS28" s="37"/>
      <c r="AT28" s="37"/>
      <c r="AU28" s="40"/>
      <c r="AV28" s="39"/>
      <c r="AW28" s="37"/>
      <c r="AX28" s="37"/>
      <c r="AY28" s="37"/>
      <c r="AZ28" s="37"/>
      <c r="BA28" s="37"/>
      <c r="BB28" s="40"/>
      <c r="BC28" s="39"/>
      <c r="BD28" s="37"/>
      <c r="BE28" s="37"/>
      <c r="BF28" s="37"/>
      <c r="BG28" s="37"/>
      <c r="BH28" s="37"/>
      <c r="BI28" s="40"/>
      <c r="BJ28" s="39"/>
      <c r="BK28" s="37"/>
      <c r="BL28" s="37"/>
      <c r="BM28" s="38"/>
      <c r="BN28" s="41"/>
      <c r="BO28" s="37"/>
      <c r="BP28" s="40"/>
      <c r="BQ28" s="39"/>
      <c r="BR28" s="42"/>
      <c r="BS28" s="37"/>
      <c r="BT28" s="37"/>
      <c r="BU28" s="37"/>
      <c r="BV28" s="37"/>
      <c r="BW28" s="40"/>
      <c r="BX28" s="43"/>
      <c r="BY28" s="37"/>
      <c r="BZ28" s="37"/>
      <c r="CA28" s="37"/>
      <c r="CB28" s="37"/>
      <c r="CC28" s="44"/>
      <c r="CD28" s="45"/>
      <c r="CE28" s="46"/>
      <c r="CF28" s="44"/>
      <c r="CG28" s="44"/>
      <c r="CH28" s="44"/>
      <c r="CI28" s="44"/>
      <c r="CJ28" s="44"/>
      <c r="CK28" s="45"/>
      <c r="CL28" s="39"/>
      <c r="CM28" s="37"/>
      <c r="CN28" s="37"/>
      <c r="CO28" s="47"/>
      <c r="CP28" s="43"/>
      <c r="CQ28" s="37"/>
      <c r="CR28" s="40"/>
      <c r="CS28" s="39"/>
      <c r="CT28" s="37"/>
      <c r="CU28" s="37"/>
      <c r="CV28" s="37"/>
      <c r="CW28" s="37"/>
      <c r="CX28" s="40"/>
      <c r="CY28" s="39"/>
      <c r="CZ28" s="37"/>
      <c r="DA28" s="37"/>
      <c r="DB28" s="37"/>
      <c r="DC28" s="37"/>
      <c r="DD28" s="37"/>
      <c r="DE28" s="40"/>
      <c r="DF28" s="48"/>
      <c r="DG28" s="37"/>
      <c r="DH28" s="37"/>
      <c r="DI28" s="37"/>
      <c r="DJ28" s="37"/>
      <c r="DK28" s="37"/>
      <c r="DL28" s="40"/>
      <c r="DM28" s="43"/>
      <c r="DN28" s="37"/>
      <c r="DO28" s="37"/>
      <c r="DP28" s="37"/>
      <c r="DQ28" s="37"/>
      <c r="DR28" s="37"/>
      <c r="DS28" s="49"/>
    </row>
    <row r="29" spans="1:123" ht="14" outlineLevel="1" x14ac:dyDescent="0.3">
      <c r="A29" s="50" t="s">
        <v>198</v>
      </c>
      <c r="B29" s="51" t="s">
        <v>140</v>
      </c>
      <c r="C29" s="52" t="s">
        <v>179</v>
      </c>
      <c r="D29" s="53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7"/>
      <c r="P29" s="57"/>
      <c r="Q29" s="57"/>
      <c r="R29" s="57"/>
      <c r="S29" s="58"/>
      <c r="T29" s="59"/>
      <c r="U29" s="57"/>
      <c r="V29" s="57"/>
      <c r="W29" s="57"/>
      <c r="X29" s="57"/>
      <c r="Y29" s="60"/>
      <c r="Z29" s="61"/>
      <c r="AA29" s="62"/>
      <c r="AB29" s="60"/>
      <c r="AC29" s="60"/>
      <c r="AD29" s="60"/>
      <c r="AE29" s="60"/>
      <c r="AF29" s="60"/>
      <c r="AG29" s="61"/>
      <c r="AH29" s="63"/>
      <c r="AI29" s="64"/>
      <c r="AJ29" s="60"/>
      <c r="AK29" s="60"/>
      <c r="AL29" s="60"/>
      <c r="AM29" s="60"/>
      <c r="AN29" s="65"/>
      <c r="AO29" s="59"/>
      <c r="AP29" s="57"/>
      <c r="AQ29" s="57"/>
      <c r="AR29" s="57"/>
      <c r="AS29" s="57"/>
      <c r="AT29" s="57"/>
      <c r="AU29" s="58"/>
      <c r="AV29" s="59"/>
      <c r="AW29" s="57"/>
      <c r="AX29" s="57"/>
      <c r="AY29" s="57"/>
      <c r="AZ29" s="57"/>
      <c r="BA29" s="57"/>
      <c r="BB29" s="58"/>
      <c r="BC29" s="59"/>
      <c r="BD29" s="57"/>
      <c r="BE29" s="57"/>
      <c r="BF29" s="57"/>
      <c r="BG29" s="57"/>
      <c r="BH29" s="57"/>
      <c r="BI29" s="58"/>
      <c r="BJ29" s="59"/>
      <c r="BK29" s="57"/>
      <c r="BL29" s="57"/>
      <c r="BM29" s="66"/>
      <c r="BN29" s="67"/>
      <c r="BO29" s="57"/>
      <c r="BP29" s="58"/>
      <c r="BQ29" s="59"/>
      <c r="BR29" s="68"/>
      <c r="BS29" s="57"/>
      <c r="BT29" s="57"/>
      <c r="BU29" s="57"/>
      <c r="BV29" s="57"/>
      <c r="BW29" s="58"/>
      <c r="BX29" s="69"/>
      <c r="BY29" s="57"/>
      <c r="BZ29" s="57"/>
      <c r="CA29" s="57"/>
      <c r="CB29" s="57"/>
      <c r="CC29" s="70"/>
      <c r="CD29" s="71"/>
      <c r="CE29" s="72"/>
      <c r="CF29" s="70"/>
      <c r="CG29" s="70"/>
      <c r="CH29" s="70"/>
      <c r="CI29" s="70"/>
      <c r="CJ29" s="70"/>
      <c r="CK29" s="71"/>
      <c r="CL29" s="59"/>
      <c r="CM29" s="57"/>
      <c r="CN29" s="57"/>
      <c r="CO29" s="73"/>
      <c r="CP29" s="69"/>
      <c r="CQ29" s="57"/>
      <c r="CR29" s="58"/>
      <c r="CS29" s="59"/>
      <c r="CT29" s="57"/>
      <c r="CU29" s="57"/>
      <c r="CV29" s="57"/>
      <c r="CW29" s="57"/>
      <c r="CX29" s="58"/>
      <c r="CY29" s="59"/>
      <c r="CZ29" s="57"/>
      <c r="DA29" s="57"/>
      <c r="DB29" s="57"/>
      <c r="DC29" s="57"/>
      <c r="DD29" s="57"/>
      <c r="DE29" s="58"/>
      <c r="DF29" s="74"/>
      <c r="DG29" s="57"/>
      <c r="DH29" s="57"/>
      <c r="DI29" s="57"/>
      <c r="DJ29" s="57"/>
      <c r="DK29" s="57"/>
      <c r="DL29" s="58"/>
      <c r="DM29" s="69"/>
      <c r="DN29" s="57"/>
      <c r="DO29" s="57"/>
      <c r="DP29" s="57"/>
      <c r="DQ29" s="57"/>
      <c r="DR29" s="57"/>
      <c r="DS29" s="75"/>
    </row>
    <row r="30" spans="1:123" ht="14" outlineLevel="1" x14ac:dyDescent="0.3">
      <c r="A30" s="76" t="s">
        <v>180</v>
      </c>
      <c r="B30" s="77" t="s">
        <v>140</v>
      </c>
      <c r="C30" s="144" t="s">
        <v>182</v>
      </c>
      <c r="D30" s="79"/>
      <c r="E30" s="57"/>
      <c r="F30" s="57"/>
      <c r="G30" s="57"/>
      <c r="H30" s="57"/>
      <c r="I30" s="57"/>
      <c r="J30" s="57"/>
      <c r="K30" s="57"/>
      <c r="L30" s="66"/>
      <c r="M30" s="59"/>
      <c r="N30" s="145"/>
      <c r="O30" s="145"/>
      <c r="P30" s="145"/>
      <c r="Q30" s="145"/>
      <c r="R30" s="145"/>
      <c r="S30" s="146"/>
      <c r="T30" s="147"/>
      <c r="U30" s="145"/>
      <c r="V30" s="145"/>
      <c r="W30" s="145"/>
      <c r="X30" s="145"/>
      <c r="Y30" s="60"/>
      <c r="Z30" s="61"/>
      <c r="AA30" s="62"/>
      <c r="AB30" s="60"/>
      <c r="AC30" s="60"/>
      <c r="AD30" s="60"/>
      <c r="AE30" s="60"/>
      <c r="AF30" s="60"/>
      <c r="AG30" s="61"/>
      <c r="AH30" s="63"/>
      <c r="AI30" s="64"/>
      <c r="AJ30" s="60"/>
      <c r="AK30" s="60"/>
      <c r="AL30" s="60"/>
      <c r="AM30" s="60"/>
      <c r="AN30" s="65"/>
      <c r="AO30" s="56"/>
      <c r="AP30" s="54"/>
      <c r="AQ30" s="54"/>
      <c r="AR30" s="54"/>
      <c r="AS30" s="54"/>
      <c r="AT30" s="54"/>
      <c r="AU30" s="80"/>
      <c r="AV30" s="59"/>
      <c r="AW30" s="57"/>
      <c r="AX30" s="57"/>
      <c r="AY30" s="57"/>
      <c r="AZ30" s="57"/>
      <c r="BA30" s="57"/>
      <c r="BB30" s="58"/>
      <c r="BC30" s="59"/>
      <c r="BD30" s="57"/>
      <c r="BE30" s="57"/>
      <c r="BF30" s="57"/>
      <c r="BG30" s="57"/>
      <c r="BH30" s="57"/>
      <c r="BI30" s="58"/>
      <c r="BJ30" s="59"/>
      <c r="BK30" s="57"/>
      <c r="BL30" s="57"/>
      <c r="BM30" s="66"/>
      <c r="BN30" s="67"/>
      <c r="BO30" s="57"/>
      <c r="BP30" s="58"/>
      <c r="BQ30" s="59"/>
      <c r="BR30" s="68"/>
      <c r="BS30" s="57"/>
      <c r="BT30" s="57"/>
      <c r="BU30" s="57"/>
      <c r="BV30" s="57"/>
      <c r="BW30" s="58"/>
      <c r="BX30" s="69"/>
      <c r="BY30" s="57"/>
      <c r="BZ30" s="57"/>
      <c r="CA30" s="57"/>
      <c r="CB30" s="57"/>
      <c r="CC30" s="70"/>
      <c r="CD30" s="71"/>
      <c r="CE30" s="72"/>
      <c r="CF30" s="70"/>
      <c r="CG30" s="70"/>
      <c r="CH30" s="70"/>
      <c r="CI30" s="70"/>
      <c r="CJ30" s="70"/>
      <c r="CK30" s="71"/>
      <c r="CL30" s="59"/>
      <c r="CM30" s="57"/>
      <c r="CN30" s="57"/>
      <c r="CO30" s="73"/>
      <c r="CP30" s="69"/>
      <c r="CQ30" s="57"/>
      <c r="CR30" s="58"/>
      <c r="CS30" s="59"/>
      <c r="CT30" s="57"/>
      <c r="CU30" s="57"/>
      <c r="CV30" s="57"/>
      <c r="CW30" s="57"/>
      <c r="CX30" s="58"/>
      <c r="CY30" s="59"/>
      <c r="CZ30" s="57"/>
      <c r="DA30" s="57"/>
      <c r="DB30" s="57"/>
      <c r="DC30" s="57"/>
      <c r="DD30" s="57"/>
      <c r="DE30" s="58"/>
      <c r="DF30" s="74"/>
      <c r="DG30" s="57"/>
      <c r="DH30" s="57"/>
      <c r="DI30" s="57"/>
      <c r="DJ30" s="57"/>
      <c r="DK30" s="57"/>
      <c r="DL30" s="58"/>
      <c r="DM30" s="69"/>
      <c r="DN30" s="57"/>
      <c r="DO30" s="57"/>
      <c r="DP30" s="57"/>
      <c r="DQ30" s="57"/>
      <c r="DR30" s="57"/>
      <c r="DS30" s="75"/>
    </row>
    <row r="31" spans="1:123" ht="14" outlineLevel="1" x14ac:dyDescent="0.3">
      <c r="A31" s="50" t="s">
        <v>199</v>
      </c>
      <c r="B31" s="77" t="s">
        <v>140</v>
      </c>
      <c r="C31" s="82" t="s">
        <v>182</v>
      </c>
      <c r="D31" s="79"/>
      <c r="E31" s="57"/>
      <c r="F31" s="57"/>
      <c r="G31" s="57"/>
      <c r="H31" s="57"/>
      <c r="I31" s="57"/>
      <c r="J31" s="57"/>
      <c r="K31" s="57"/>
      <c r="L31" s="66"/>
      <c r="M31" s="59"/>
      <c r="N31" s="54"/>
      <c r="O31" s="54"/>
      <c r="P31" s="54"/>
      <c r="Q31" s="54"/>
      <c r="R31" s="54"/>
      <c r="S31" s="80"/>
      <c r="T31" s="56"/>
      <c r="U31" s="54"/>
      <c r="V31" s="54"/>
      <c r="W31" s="57"/>
      <c r="X31" s="57"/>
      <c r="Y31" s="60"/>
      <c r="Z31" s="61"/>
      <c r="AA31" s="62"/>
      <c r="AB31" s="60"/>
      <c r="AC31" s="60"/>
      <c r="AD31" s="60"/>
      <c r="AE31" s="60"/>
      <c r="AF31" s="60"/>
      <c r="AG31" s="61"/>
      <c r="AH31" s="63"/>
      <c r="AI31" s="64"/>
      <c r="AJ31" s="60"/>
      <c r="AK31" s="60"/>
      <c r="AL31" s="60"/>
      <c r="AM31" s="60"/>
      <c r="AN31" s="65"/>
      <c r="AO31" s="59"/>
      <c r="AP31" s="57"/>
      <c r="AQ31" s="57"/>
      <c r="AR31" s="57"/>
      <c r="AS31" s="57"/>
      <c r="AT31" s="57"/>
      <c r="AU31" s="58"/>
      <c r="AV31" s="59"/>
      <c r="AW31" s="57"/>
      <c r="AX31" s="57"/>
      <c r="AY31" s="57"/>
      <c r="AZ31" s="57"/>
      <c r="BA31" s="57"/>
      <c r="BB31" s="58"/>
      <c r="BC31" s="59"/>
      <c r="BD31" s="57"/>
      <c r="BE31" s="57"/>
      <c r="BF31" s="57"/>
      <c r="BG31" s="57"/>
      <c r="BH31" s="57"/>
      <c r="BI31" s="58"/>
      <c r="BJ31" s="59"/>
      <c r="BK31" s="57"/>
      <c r="BL31" s="57"/>
      <c r="BM31" s="66"/>
      <c r="BN31" s="67"/>
      <c r="BO31" s="57"/>
      <c r="BP31" s="58"/>
      <c r="BQ31" s="59"/>
      <c r="BR31" s="68"/>
      <c r="BS31" s="57"/>
      <c r="BT31" s="57"/>
      <c r="BU31" s="57"/>
      <c r="BV31" s="57"/>
      <c r="BW31" s="58"/>
      <c r="BX31" s="69"/>
      <c r="BY31" s="57"/>
      <c r="BZ31" s="57"/>
      <c r="CA31" s="57"/>
      <c r="CB31" s="57"/>
      <c r="CC31" s="70"/>
      <c r="CD31" s="71"/>
      <c r="CE31" s="72"/>
      <c r="CF31" s="70"/>
      <c r="CG31" s="70"/>
      <c r="CH31" s="70"/>
      <c r="CI31" s="70"/>
      <c r="CJ31" s="70"/>
      <c r="CK31" s="71"/>
      <c r="CL31" s="59"/>
      <c r="CM31" s="57"/>
      <c r="CN31" s="57"/>
      <c r="CO31" s="73"/>
      <c r="CP31" s="69"/>
      <c r="CQ31" s="57"/>
      <c r="CR31" s="58"/>
      <c r="CS31" s="59"/>
      <c r="CT31" s="57"/>
      <c r="CU31" s="57"/>
      <c r="CV31" s="57"/>
      <c r="CW31" s="57"/>
      <c r="CX31" s="58"/>
      <c r="CY31" s="59"/>
      <c r="CZ31" s="57"/>
      <c r="DA31" s="57"/>
      <c r="DB31" s="57"/>
      <c r="DC31" s="57"/>
      <c r="DD31" s="57"/>
      <c r="DE31" s="58"/>
      <c r="DF31" s="74"/>
      <c r="DG31" s="57"/>
      <c r="DH31" s="57"/>
      <c r="DI31" s="57"/>
      <c r="DJ31" s="57"/>
      <c r="DK31" s="57"/>
      <c r="DL31" s="58"/>
      <c r="DM31" s="69"/>
      <c r="DN31" s="57"/>
      <c r="DO31" s="57"/>
      <c r="DP31" s="57"/>
      <c r="DQ31" s="57"/>
      <c r="DR31" s="57"/>
      <c r="DS31" s="75"/>
    </row>
    <row r="32" spans="1:123" ht="14.5" outlineLevel="1" thickBot="1" x14ac:dyDescent="0.35">
      <c r="A32" s="76" t="s">
        <v>181</v>
      </c>
      <c r="B32" s="77" t="s">
        <v>140</v>
      </c>
      <c r="C32" s="82" t="s">
        <v>182</v>
      </c>
      <c r="D32" s="83"/>
      <c r="E32" s="84"/>
      <c r="F32" s="84"/>
      <c r="G32" s="84"/>
      <c r="H32" s="84"/>
      <c r="I32" s="84"/>
      <c r="J32" s="84"/>
      <c r="K32" s="84"/>
      <c r="L32" s="85"/>
      <c r="M32" s="86"/>
      <c r="N32" s="84"/>
      <c r="O32" s="84"/>
      <c r="P32" s="84"/>
      <c r="Q32" s="84"/>
      <c r="R32" s="84"/>
      <c r="S32" s="87"/>
      <c r="T32" s="86"/>
      <c r="U32" s="84"/>
      <c r="V32" s="84"/>
      <c r="W32" s="84"/>
      <c r="X32" s="84"/>
      <c r="Y32" s="88"/>
      <c r="Z32" s="89"/>
      <c r="AA32" s="90"/>
      <c r="AB32" s="88"/>
      <c r="AC32" s="88"/>
      <c r="AD32" s="88"/>
      <c r="AE32" s="88"/>
      <c r="AF32" s="88"/>
      <c r="AG32" s="89"/>
      <c r="AH32" s="91"/>
      <c r="AI32" s="92"/>
      <c r="AJ32" s="88"/>
      <c r="AK32" s="88"/>
      <c r="AL32" s="88"/>
      <c r="AM32" s="88"/>
      <c r="AN32" s="93"/>
      <c r="AO32" s="94"/>
      <c r="AP32" s="95"/>
      <c r="AQ32" s="95"/>
      <c r="AR32" s="95"/>
      <c r="AS32" s="95"/>
      <c r="AT32" s="95"/>
      <c r="AU32" s="96"/>
      <c r="AV32" s="86"/>
      <c r="AW32" s="84"/>
      <c r="AX32" s="84"/>
      <c r="AY32" s="84"/>
      <c r="AZ32" s="84"/>
      <c r="BA32" s="84"/>
      <c r="BB32" s="87"/>
      <c r="BC32" s="86"/>
      <c r="BD32" s="84"/>
      <c r="BE32" s="84"/>
      <c r="BF32" s="84"/>
      <c r="BG32" s="84"/>
      <c r="BH32" s="84"/>
      <c r="BI32" s="87"/>
      <c r="BJ32" s="86"/>
      <c r="BK32" s="84"/>
      <c r="BL32" s="84"/>
      <c r="BM32" s="85"/>
      <c r="BN32" s="97"/>
      <c r="BO32" s="84"/>
      <c r="BP32" s="87"/>
      <c r="BQ32" s="86"/>
      <c r="BR32" s="98"/>
      <c r="BS32" s="84"/>
      <c r="BT32" s="84"/>
      <c r="BU32" s="84"/>
      <c r="BV32" s="84"/>
      <c r="BW32" s="87"/>
      <c r="BX32" s="99"/>
      <c r="BY32" s="84"/>
      <c r="BZ32" s="84"/>
      <c r="CA32" s="84"/>
      <c r="CB32" s="84"/>
      <c r="CC32" s="100"/>
      <c r="CD32" s="101"/>
      <c r="CE32" s="102"/>
      <c r="CF32" s="100"/>
      <c r="CG32" s="100"/>
      <c r="CH32" s="100"/>
      <c r="CI32" s="100"/>
      <c r="CJ32" s="100"/>
      <c r="CK32" s="101"/>
      <c r="CL32" s="86"/>
      <c r="CM32" s="84"/>
      <c r="CN32" s="84"/>
      <c r="CO32" s="103"/>
      <c r="CP32" s="99"/>
      <c r="CQ32" s="84"/>
      <c r="CR32" s="87"/>
      <c r="CS32" s="86"/>
      <c r="CT32" s="84"/>
      <c r="CU32" s="84"/>
      <c r="CV32" s="84"/>
      <c r="CW32" s="84"/>
      <c r="CX32" s="87"/>
      <c r="CY32" s="86"/>
      <c r="CZ32" s="84"/>
      <c r="DA32" s="84"/>
      <c r="DB32" s="84"/>
      <c r="DC32" s="84"/>
      <c r="DD32" s="84"/>
      <c r="DE32" s="87"/>
      <c r="DF32" s="104"/>
      <c r="DG32" s="84"/>
      <c r="DH32" s="84"/>
      <c r="DI32" s="84"/>
      <c r="DJ32" s="84"/>
      <c r="DK32" s="84"/>
      <c r="DL32" s="87"/>
      <c r="DM32" s="99"/>
      <c r="DN32" s="84"/>
      <c r="DO32" s="84"/>
      <c r="DP32" s="84"/>
      <c r="DQ32" s="84"/>
      <c r="DR32" s="84"/>
      <c r="DS32" s="105"/>
    </row>
    <row r="33" spans="1:123" ht="14" x14ac:dyDescent="0.3">
      <c r="A33" s="33" t="s">
        <v>200</v>
      </c>
      <c r="B33" s="34"/>
      <c r="C33" s="34"/>
      <c r="D33" s="36"/>
      <c r="E33" s="37"/>
      <c r="F33" s="37"/>
      <c r="G33" s="37"/>
      <c r="H33" s="37"/>
      <c r="I33" s="37"/>
      <c r="J33" s="37"/>
      <c r="K33" s="37"/>
      <c r="L33" s="38"/>
      <c r="M33" s="39"/>
      <c r="N33" s="37"/>
      <c r="O33" s="37"/>
      <c r="P33" s="37"/>
      <c r="Q33" s="37"/>
      <c r="R33" s="37"/>
      <c r="S33" s="40"/>
      <c r="T33" s="39"/>
      <c r="U33" s="37"/>
      <c r="V33" s="37"/>
      <c r="W33" s="37"/>
      <c r="X33" s="37"/>
      <c r="Y33" s="133"/>
      <c r="Z33" s="134"/>
      <c r="AA33" s="135"/>
      <c r="AB33" s="133"/>
      <c r="AC33" s="133"/>
      <c r="AD33" s="133"/>
      <c r="AE33" s="133"/>
      <c r="AF33" s="133"/>
      <c r="AG33" s="134"/>
      <c r="AH33" s="136"/>
      <c r="AI33" s="137"/>
      <c r="AJ33" s="133"/>
      <c r="AK33" s="133"/>
      <c r="AL33" s="133"/>
      <c r="AM33" s="133"/>
      <c r="AN33" s="138"/>
      <c r="AO33" s="39"/>
      <c r="AP33" s="37"/>
      <c r="AQ33" s="37"/>
      <c r="AR33" s="37"/>
      <c r="AS33" s="37"/>
      <c r="AT33" s="37"/>
      <c r="AU33" s="40"/>
      <c r="AV33" s="39"/>
      <c r="AW33" s="37"/>
      <c r="AX33" s="37"/>
      <c r="AY33" s="37"/>
      <c r="AZ33" s="37"/>
      <c r="BA33" s="37"/>
      <c r="BB33" s="40"/>
      <c r="BC33" s="39"/>
      <c r="BD33" s="37"/>
      <c r="BE33" s="37"/>
      <c r="BF33" s="37"/>
      <c r="BG33" s="37"/>
      <c r="BH33" s="37"/>
      <c r="BI33" s="40"/>
      <c r="BJ33" s="39"/>
      <c r="BK33" s="37"/>
      <c r="BL33" s="37"/>
      <c r="BM33" s="38"/>
      <c r="BN33" s="41"/>
      <c r="BO33" s="37"/>
      <c r="BP33" s="40"/>
      <c r="BQ33" s="39"/>
      <c r="BR33" s="42"/>
      <c r="BS33" s="37"/>
      <c r="BT33" s="37"/>
      <c r="BU33" s="37"/>
      <c r="BV33" s="37"/>
      <c r="BW33" s="40"/>
      <c r="BX33" s="43"/>
      <c r="BY33" s="37"/>
      <c r="BZ33" s="37"/>
      <c r="CA33" s="37"/>
      <c r="CB33" s="37"/>
      <c r="CC33" s="148"/>
      <c r="CD33" s="149"/>
      <c r="CE33" s="150"/>
      <c r="CF33" s="148"/>
      <c r="CG33" s="148"/>
      <c r="CH33" s="148"/>
      <c r="CI33" s="148"/>
      <c r="CJ33" s="148"/>
      <c r="CK33" s="149"/>
      <c r="CL33" s="39"/>
      <c r="CM33" s="37"/>
      <c r="CN33" s="37"/>
      <c r="CO33" s="47"/>
      <c r="CP33" s="43"/>
      <c r="CQ33" s="37"/>
      <c r="CR33" s="40"/>
      <c r="CS33" s="39"/>
      <c r="CT33" s="37"/>
      <c r="CU33" s="37"/>
      <c r="CV33" s="37"/>
      <c r="CW33" s="37"/>
      <c r="CX33" s="40"/>
      <c r="CY33" s="39"/>
      <c r="CZ33" s="37"/>
      <c r="DA33" s="37"/>
      <c r="DB33" s="37"/>
      <c r="DC33" s="37"/>
      <c r="DD33" s="37"/>
      <c r="DE33" s="40"/>
      <c r="DF33" s="48"/>
      <c r="DG33" s="37"/>
      <c r="DH33" s="37"/>
      <c r="DI33" s="37"/>
      <c r="DJ33" s="37"/>
      <c r="DK33" s="37"/>
      <c r="DL33" s="40"/>
      <c r="DM33" s="43"/>
      <c r="DN33" s="37"/>
      <c r="DO33" s="37"/>
      <c r="DP33" s="37"/>
      <c r="DQ33" s="37"/>
      <c r="DR33" s="37"/>
      <c r="DS33" s="49"/>
    </row>
    <row r="34" spans="1:123" ht="14" outlineLevel="1" x14ac:dyDescent="0.3">
      <c r="A34" s="50" t="s">
        <v>201</v>
      </c>
      <c r="B34" s="151" t="s">
        <v>53</v>
      </c>
      <c r="C34" s="106" t="s">
        <v>179</v>
      </c>
      <c r="D34" s="79"/>
      <c r="E34" s="57"/>
      <c r="F34" s="57"/>
      <c r="G34" s="57"/>
      <c r="H34" s="57"/>
      <c r="I34" s="54"/>
      <c r="J34" s="81"/>
      <c r="K34" s="54"/>
      <c r="L34" s="55"/>
      <c r="M34" s="59"/>
      <c r="N34" s="57"/>
      <c r="O34" s="57"/>
      <c r="P34" s="57"/>
      <c r="Q34" s="57"/>
      <c r="R34" s="57"/>
      <c r="S34" s="58"/>
      <c r="T34" s="59"/>
      <c r="U34" s="57"/>
      <c r="V34" s="57"/>
      <c r="W34" s="57"/>
      <c r="X34" s="57"/>
      <c r="Y34" s="60"/>
      <c r="Z34" s="61"/>
      <c r="AA34" s="62"/>
      <c r="AB34" s="60"/>
      <c r="AC34" s="60"/>
      <c r="AD34" s="60"/>
      <c r="AE34" s="60"/>
      <c r="AF34" s="60"/>
      <c r="AG34" s="61"/>
      <c r="AH34" s="63"/>
      <c r="AI34" s="64"/>
      <c r="AJ34" s="60"/>
      <c r="AK34" s="60"/>
      <c r="AL34" s="60"/>
      <c r="AM34" s="60"/>
      <c r="AN34" s="65"/>
      <c r="AO34" s="59"/>
      <c r="AP34" s="57"/>
      <c r="AQ34" s="57"/>
      <c r="AR34" s="57"/>
      <c r="AS34" s="57"/>
      <c r="AT34" s="57"/>
      <c r="AU34" s="58"/>
      <c r="AV34" s="59"/>
      <c r="AW34" s="57"/>
      <c r="AX34" s="57"/>
      <c r="AY34" s="57"/>
      <c r="AZ34" s="57"/>
      <c r="BA34" s="57"/>
      <c r="BB34" s="58"/>
      <c r="BC34" s="59"/>
      <c r="BD34" s="57"/>
      <c r="BE34" s="57"/>
      <c r="BF34" s="57"/>
      <c r="BG34" s="57"/>
      <c r="BH34" s="57"/>
      <c r="BI34" s="58"/>
      <c r="BJ34" s="59"/>
      <c r="BK34" s="57"/>
      <c r="BL34" s="57"/>
      <c r="BM34" s="66"/>
      <c r="BN34" s="67"/>
      <c r="BO34" s="57"/>
      <c r="BP34" s="58"/>
      <c r="BQ34" s="59"/>
      <c r="BR34" s="68"/>
      <c r="BS34" s="57"/>
      <c r="BT34" s="57"/>
      <c r="BU34" s="57"/>
      <c r="BV34" s="57"/>
      <c r="BW34" s="58"/>
      <c r="BX34" s="69"/>
      <c r="BY34" s="57"/>
      <c r="BZ34" s="57"/>
      <c r="CA34" s="57"/>
      <c r="CB34" s="57"/>
      <c r="CC34" s="152"/>
      <c r="CD34" s="153"/>
      <c r="CE34" s="154"/>
      <c r="CF34" s="152"/>
      <c r="CG34" s="152"/>
      <c r="CH34" s="152"/>
      <c r="CI34" s="152"/>
      <c r="CJ34" s="152"/>
      <c r="CK34" s="153"/>
      <c r="CL34" s="59"/>
      <c r="CM34" s="57"/>
      <c r="CN34" s="57"/>
      <c r="CO34" s="73"/>
      <c r="CP34" s="69"/>
      <c r="CQ34" s="57"/>
      <c r="CR34" s="58"/>
      <c r="CS34" s="59"/>
      <c r="CT34" s="57"/>
      <c r="CU34" s="57"/>
      <c r="CV34" s="57"/>
      <c r="CW34" s="57"/>
      <c r="CX34" s="58"/>
      <c r="CY34" s="59"/>
      <c r="CZ34" s="57"/>
      <c r="DA34" s="57"/>
      <c r="DB34" s="57"/>
      <c r="DC34" s="57"/>
      <c r="DD34" s="57"/>
      <c r="DE34" s="58"/>
      <c r="DF34" s="74"/>
      <c r="DG34" s="57"/>
      <c r="DH34" s="57"/>
      <c r="DI34" s="57"/>
      <c r="DJ34" s="57"/>
      <c r="DK34" s="57"/>
      <c r="DL34" s="58"/>
      <c r="DM34" s="69"/>
      <c r="DN34" s="57"/>
      <c r="DO34" s="57"/>
      <c r="DP34" s="57"/>
      <c r="DQ34" s="57"/>
      <c r="DR34" s="57"/>
      <c r="DS34" s="75"/>
    </row>
    <row r="35" spans="1:123" ht="14" outlineLevel="1" x14ac:dyDescent="0.3">
      <c r="A35" s="76" t="s">
        <v>202</v>
      </c>
      <c r="B35" s="151" t="s">
        <v>53</v>
      </c>
      <c r="C35" s="106" t="s">
        <v>179</v>
      </c>
      <c r="D35" s="79"/>
      <c r="E35" s="57"/>
      <c r="F35" s="57"/>
      <c r="G35" s="57"/>
      <c r="H35" s="57"/>
      <c r="I35" s="57"/>
      <c r="J35" s="57"/>
      <c r="K35" s="57"/>
      <c r="L35" s="66"/>
      <c r="M35" s="155"/>
      <c r="N35" s="54"/>
      <c r="O35" s="54"/>
      <c r="P35" s="54"/>
      <c r="Q35" s="54"/>
      <c r="R35" s="54"/>
      <c r="S35" s="80"/>
      <c r="T35" s="59"/>
      <c r="U35" s="57"/>
      <c r="V35" s="57"/>
      <c r="W35" s="57"/>
      <c r="X35" s="57"/>
      <c r="Y35" s="60"/>
      <c r="Z35" s="61"/>
      <c r="AA35" s="62"/>
      <c r="AB35" s="60"/>
      <c r="AC35" s="60"/>
      <c r="AD35" s="60"/>
      <c r="AE35" s="60"/>
      <c r="AF35" s="60"/>
      <c r="AG35" s="61"/>
      <c r="AH35" s="63"/>
      <c r="AI35" s="64"/>
      <c r="AJ35" s="60"/>
      <c r="AK35" s="60"/>
      <c r="AL35" s="60"/>
      <c r="AM35" s="60"/>
      <c r="AN35" s="65"/>
      <c r="AO35" s="59"/>
      <c r="AP35" s="57"/>
      <c r="AQ35" s="57"/>
      <c r="AR35" s="57"/>
      <c r="AS35" s="57"/>
      <c r="AT35" s="57"/>
      <c r="AU35" s="58"/>
      <c r="AV35" s="59"/>
      <c r="AW35" s="57"/>
      <c r="AX35" s="57"/>
      <c r="AY35" s="57"/>
      <c r="AZ35" s="57"/>
      <c r="BA35" s="57"/>
      <c r="BB35" s="58"/>
      <c r="BC35" s="59"/>
      <c r="BD35" s="57"/>
      <c r="BE35" s="57"/>
      <c r="BF35" s="57"/>
      <c r="BG35" s="57"/>
      <c r="BH35" s="57"/>
      <c r="BI35" s="58"/>
      <c r="BJ35" s="59"/>
      <c r="BK35" s="57"/>
      <c r="BL35" s="57"/>
      <c r="BM35" s="66"/>
      <c r="BN35" s="67"/>
      <c r="BO35" s="57"/>
      <c r="BP35" s="58"/>
      <c r="BQ35" s="59"/>
      <c r="BR35" s="68"/>
      <c r="BS35" s="57"/>
      <c r="BT35" s="57"/>
      <c r="BU35" s="57"/>
      <c r="BV35" s="57"/>
      <c r="BW35" s="58"/>
      <c r="BX35" s="69"/>
      <c r="BY35" s="57"/>
      <c r="BZ35" s="57"/>
      <c r="CA35" s="57"/>
      <c r="CB35" s="57"/>
      <c r="CC35" s="152"/>
      <c r="CD35" s="153"/>
      <c r="CE35" s="154"/>
      <c r="CF35" s="152"/>
      <c r="CG35" s="152"/>
      <c r="CH35" s="152"/>
      <c r="CI35" s="152"/>
      <c r="CJ35" s="152"/>
      <c r="CK35" s="153"/>
      <c r="CL35" s="59"/>
      <c r="CM35" s="57"/>
      <c r="CN35" s="57"/>
      <c r="CO35" s="73"/>
      <c r="CP35" s="69"/>
      <c r="CQ35" s="57"/>
      <c r="CR35" s="58"/>
      <c r="CS35" s="59"/>
      <c r="CT35" s="57"/>
      <c r="CU35" s="57"/>
      <c r="CV35" s="57"/>
      <c r="CW35" s="57"/>
      <c r="CX35" s="58"/>
      <c r="CY35" s="59"/>
      <c r="CZ35" s="57"/>
      <c r="DA35" s="57"/>
      <c r="DB35" s="57"/>
      <c r="DC35" s="57"/>
      <c r="DD35" s="57"/>
      <c r="DE35" s="58"/>
      <c r="DF35" s="74"/>
      <c r="DG35" s="57"/>
      <c r="DH35" s="57"/>
      <c r="DI35" s="57"/>
      <c r="DJ35" s="57"/>
      <c r="DK35" s="57"/>
      <c r="DL35" s="58"/>
      <c r="DM35" s="69"/>
      <c r="DN35" s="57"/>
      <c r="DO35" s="57"/>
      <c r="DP35" s="57"/>
      <c r="DQ35" s="57"/>
      <c r="DR35" s="57"/>
      <c r="DS35" s="75"/>
    </row>
    <row r="36" spans="1:123" ht="14" outlineLevel="1" x14ac:dyDescent="0.3">
      <c r="A36" s="76" t="s">
        <v>203</v>
      </c>
      <c r="B36" s="151" t="s">
        <v>53</v>
      </c>
      <c r="C36" s="140" t="s">
        <v>191</v>
      </c>
      <c r="D36" s="79"/>
      <c r="E36" s="57"/>
      <c r="F36" s="57"/>
      <c r="G36" s="57"/>
      <c r="H36" s="57"/>
      <c r="I36" s="57"/>
      <c r="J36" s="57"/>
      <c r="K36" s="57"/>
      <c r="L36" s="66"/>
      <c r="M36" s="59"/>
      <c r="N36" s="57"/>
      <c r="O36" s="57"/>
      <c r="P36" s="57"/>
      <c r="Q36" s="57"/>
      <c r="R36" s="57"/>
      <c r="S36" s="58"/>
      <c r="T36" s="56"/>
      <c r="U36" s="54"/>
      <c r="V36" s="54"/>
      <c r="W36" s="54"/>
      <c r="X36" s="54"/>
      <c r="Y36" s="60"/>
      <c r="Z36" s="61"/>
      <c r="AA36" s="62"/>
      <c r="AB36" s="60"/>
      <c r="AC36" s="60"/>
      <c r="AD36" s="60"/>
      <c r="AE36" s="60"/>
      <c r="AF36" s="60"/>
      <c r="AG36" s="61"/>
      <c r="AH36" s="63"/>
      <c r="AI36" s="64"/>
      <c r="AJ36" s="60"/>
      <c r="AK36" s="60"/>
      <c r="AL36" s="60"/>
      <c r="AM36" s="60"/>
      <c r="AN36" s="65"/>
      <c r="AO36" s="59"/>
      <c r="AP36" s="57"/>
      <c r="AQ36" s="57"/>
      <c r="AR36" s="57"/>
      <c r="AS36" s="57"/>
      <c r="AT36" s="57"/>
      <c r="AU36" s="58"/>
      <c r="AV36" s="59"/>
      <c r="AW36" s="57"/>
      <c r="AX36" s="57"/>
      <c r="AY36" s="57"/>
      <c r="AZ36" s="57"/>
      <c r="BA36" s="57"/>
      <c r="BB36" s="58"/>
      <c r="BC36" s="59"/>
      <c r="BD36" s="57"/>
      <c r="BE36" s="57"/>
      <c r="BF36" s="57"/>
      <c r="BG36" s="57"/>
      <c r="BH36" s="57"/>
      <c r="BI36" s="58"/>
      <c r="BJ36" s="59"/>
      <c r="BK36" s="57"/>
      <c r="BL36" s="57"/>
      <c r="BM36" s="66"/>
      <c r="BN36" s="67"/>
      <c r="BO36" s="57"/>
      <c r="BP36" s="58"/>
      <c r="BQ36" s="59"/>
      <c r="BR36" s="68"/>
      <c r="BS36" s="57"/>
      <c r="BT36" s="57"/>
      <c r="BU36" s="57"/>
      <c r="BV36" s="57"/>
      <c r="BW36" s="58"/>
      <c r="BX36" s="69"/>
      <c r="BY36" s="57"/>
      <c r="BZ36" s="57"/>
      <c r="CA36" s="57"/>
      <c r="CB36" s="57"/>
      <c r="CC36" s="152"/>
      <c r="CD36" s="153"/>
      <c r="CE36" s="154"/>
      <c r="CF36" s="152"/>
      <c r="CG36" s="152"/>
      <c r="CH36" s="152"/>
      <c r="CI36" s="152"/>
      <c r="CJ36" s="152"/>
      <c r="CK36" s="153"/>
      <c r="CL36" s="59"/>
      <c r="CM36" s="57"/>
      <c r="CN36" s="57"/>
      <c r="CO36" s="73"/>
      <c r="CP36" s="69"/>
      <c r="CQ36" s="57"/>
      <c r="CR36" s="58"/>
      <c r="CS36" s="59"/>
      <c r="CT36" s="57"/>
      <c r="CU36" s="57"/>
      <c r="CV36" s="57"/>
      <c r="CW36" s="57"/>
      <c r="CX36" s="58"/>
      <c r="CY36" s="59"/>
      <c r="CZ36" s="57"/>
      <c r="DA36" s="57"/>
      <c r="DB36" s="57"/>
      <c r="DC36" s="57"/>
      <c r="DD36" s="57"/>
      <c r="DE36" s="58"/>
      <c r="DF36" s="74"/>
      <c r="DG36" s="57"/>
      <c r="DH36" s="57"/>
      <c r="DI36" s="57"/>
      <c r="DJ36" s="57"/>
      <c r="DK36" s="57"/>
      <c r="DL36" s="58"/>
      <c r="DM36" s="69"/>
      <c r="DN36" s="57"/>
      <c r="DO36" s="57"/>
      <c r="DP36" s="57"/>
      <c r="DQ36" s="57"/>
      <c r="DR36" s="57"/>
      <c r="DS36" s="75"/>
    </row>
    <row r="37" spans="1:123" ht="14.5" outlineLevel="1" thickBot="1" x14ac:dyDescent="0.35">
      <c r="A37" s="156" t="s">
        <v>204</v>
      </c>
      <c r="B37" s="151" t="s">
        <v>53</v>
      </c>
      <c r="C37" s="82" t="s">
        <v>182</v>
      </c>
      <c r="D37" s="83"/>
      <c r="E37" s="84"/>
      <c r="F37" s="84"/>
      <c r="G37" s="84"/>
      <c r="H37" s="84"/>
      <c r="I37" s="84"/>
      <c r="J37" s="84"/>
      <c r="K37" s="84"/>
      <c r="L37" s="85"/>
      <c r="M37" s="86"/>
      <c r="N37" s="84"/>
      <c r="O37" s="84"/>
      <c r="P37" s="84"/>
      <c r="Q37" s="84"/>
      <c r="R37" s="84"/>
      <c r="S37" s="87"/>
      <c r="T37" s="86"/>
      <c r="U37" s="84"/>
      <c r="V37" s="84"/>
      <c r="W37" s="84"/>
      <c r="X37" s="84"/>
      <c r="Y37" s="88"/>
      <c r="Z37" s="89"/>
      <c r="AA37" s="90"/>
      <c r="AB37" s="88"/>
      <c r="AC37" s="88"/>
      <c r="AD37" s="88"/>
      <c r="AE37" s="88"/>
      <c r="AF37" s="88"/>
      <c r="AG37" s="89"/>
      <c r="AH37" s="91"/>
      <c r="AI37" s="92"/>
      <c r="AJ37" s="88"/>
      <c r="AK37" s="88"/>
      <c r="AL37" s="88"/>
      <c r="AM37" s="88"/>
      <c r="AN37" s="93"/>
      <c r="AO37" s="94"/>
      <c r="AP37" s="95"/>
      <c r="AQ37" s="95"/>
      <c r="AR37" s="95"/>
      <c r="AS37" s="95"/>
      <c r="AT37" s="95"/>
      <c r="AU37" s="96"/>
      <c r="AV37" s="94"/>
      <c r="AW37" s="95"/>
      <c r="AX37" s="95"/>
      <c r="AY37" s="95"/>
      <c r="AZ37" s="95"/>
      <c r="BA37" s="95"/>
      <c r="BB37" s="96"/>
      <c r="BC37" s="94"/>
      <c r="BD37" s="95"/>
      <c r="BE37" s="95"/>
      <c r="BF37" s="95"/>
      <c r="BG37" s="95"/>
      <c r="BH37" s="95"/>
      <c r="BI37" s="96"/>
      <c r="BJ37" s="347"/>
      <c r="BK37" s="348"/>
      <c r="BL37" s="348"/>
      <c r="BM37" s="357"/>
      <c r="BN37" s="358"/>
      <c r="BO37" s="348"/>
      <c r="BP37" s="349"/>
      <c r="BQ37" s="347"/>
      <c r="BR37" s="348"/>
      <c r="BS37" s="348"/>
      <c r="BT37" s="348"/>
      <c r="BU37" s="348"/>
      <c r="BV37" s="348"/>
      <c r="BW37" s="349"/>
      <c r="BX37" s="99"/>
      <c r="BY37" s="84"/>
      <c r="BZ37" s="84"/>
      <c r="CA37" s="84"/>
      <c r="CB37" s="84"/>
      <c r="CC37" s="157"/>
      <c r="CD37" s="158"/>
      <c r="CE37" s="159"/>
      <c r="CF37" s="157"/>
      <c r="CG37" s="157"/>
      <c r="CH37" s="157"/>
      <c r="CI37" s="157"/>
      <c r="CJ37" s="157"/>
      <c r="CK37" s="158"/>
      <c r="CL37" s="86"/>
      <c r="CM37" s="84"/>
      <c r="CN37" s="84"/>
      <c r="CO37" s="103"/>
      <c r="CP37" s="99"/>
      <c r="CQ37" s="84"/>
      <c r="CR37" s="87"/>
      <c r="CS37" s="86"/>
      <c r="CT37" s="84"/>
      <c r="CU37" s="84"/>
      <c r="CV37" s="84"/>
      <c r="CW37" s="84"/>
      <c r="CX37" s="87"/>
      <c r="CY37" s="86"/>
      <c r="CZ37" s="84"/>
      <c r="DA37" s="84"/>
      <c r="DB37" s="84"/>
      <c r="DC37" s="84"/>
      <c r="DD37" s="84"/>
      <c r="DE37" s="87"/>
      <c r="DF37" s="104"/>
      <c r="DG37" s="84"/>
      <c r="DH37" s="84"/>
      <c r="DI37" s="84"/>
      <c r="DJ37" s="84"/>
      <c r="DK37" s="84"/>
      <c r="DL37" s="87"/>
      <c r="DM37" s="99"/>
      <c r="DN37" s="84"/>
      <c r="DO37" s="84"/>
      <c r="DP37" s="84"/>
      <c r="DQ37" s="84"/>
      <c r="DR37" s="84"/>
      <c r="DS37" s="105"/>
    </row>
    <row r="38" spans="1:123" ht="14" x14ac:dyDescent="0.3">
      <c r="A38" s="33" t="s">
        <v>205</v>
      </c>
      <c r="B38" s="34"/>
      <c r="C38" s="34"/>
      <c r="D38" s="36"/>
      <c r="E38" s="37"/>
      <c r="F38" s="37"/>
      <c r="G38" s="37"/>
      <c r="H38" s="37"/>
      <c r="I38" s="37"/>
      <c r="J38" s="37"/>
      <c r="K38" s="37"/>
      <c r="L38" s="38"/>
      <c r="M38" s="39"/>
      <c r="N38" s="37"/>
      <c r="O38" s="37"/>
      <c r="P38" s="37"/>
      <c r="Q38" s="37"/>
      <c r="R38" s="37"/>
      <c r="S38" s="40"/>
      <c r="T38" s="39"/>
      <c r="U38" s="37"/>
      <c r="V38" s="37"/>
      <c r="W38" s="37"/>
      <c r="X38" s="37"/>
      <c r="Y38" s="133"/>
      <c r="Z38" s="134"/>
      <c r="AA38" s="135"/>
      <c r="AB38" s="133"/>
      <c r="AC38" s="133"/>
      <c r="AD38" s="133"/>
      <c r="AE38" s="133"/>
      <c r="AF38" s="133"/>
      <c r="AG38" s="134"/>
      <c r="AH38" s="136"/>
      <c r="AI38" s="137"/>
      <c r="AJ38" s="133"/>
      <c r="AK38" s="133"/>
      <c r="AL38" s="133"/>
      <c r="AM38" s="133"/>
      <c r="AN38" s="138"/>
      <c r="AO38" s="39"/>
      <c r="AP38" s="37"/>
      <c r="AQ38" s="37"/>
      <c r="AR38" s="37"/>
      <c r="AS38" s="37"/>
      <c r="AT38" s="37"/>
      <c r="AU38" s="40"/>
      <c r="AV38" s="39"/>
      <c r="AW38" s="37"/>
      <c r="AX38" s="37"/>
      <c r="AY38" s="37"/>
      <c r="AZ38" s="37"/>
      <c r="BA38" s="37"/>
      <c r="BB38" s="40"/>
      <c r="BC38" s="39"/>
      <c r="BD38" s="37"/>
      <c r="BE38" s="37"/>
      <c r="BF38" s="37"/>
      <c r="BG38" s="37"/>
      <c r="BH38" s="37"/>
      <c r="BI38" s="40"/>
      <c r="BJ38" s="39"/>
      <c r="BK38" s="37"/>
      <c r="BL38" s="37"/>
      <c r="BM38" s="38"/>
      <c r="BN38" s="41"/>
      <c r="BO38" s="37"/>
      <c r="BP38" s="40"/>
      <c r="BQ38" s="39"/>
      <c r="BR38" s="42"/>
      <c r="BS38" s="37"/>
      <c r="BT38" s="37"/>
      <c r="BU38" s="37"/>
      <c r="BV38" s="37"/>
      <c r="BW38" s="40"/>
      <c r="BX38" s="43"/>
      <c r="BY38" s="37"/>
      <c r="BZ38" s="37"/>
      <c r="CA38" s="37"/>
      <c r="CB38" s="37"/>
      <c r="CC38" s="148"/>
      <c r="CD38" s="149"/>
      <c r="CE38" s="150"/>
      <c r="CF38" s="148"/>
      <c r="CG38" s="148"/>
      <c r="CH38" s="148"/>
      <c r="CI38" s="148"/>
      <c r="CJ38" s="160"/>
      <c r="CK38" s="161"/>
      <c r="CL38" s="162"/>
      <c r="CM38" s="160"/>
      <c r="CN38" s="160"/>
      <c r="CO38" s="163"/>
      <c r="CP38" s="164"/>
      <c r="CQ38" s="160"/>
      <c r="CR38" s="161"/>
      <c r="CS38" s="39"/>
      <c r="CT38" s="37"/>
      <c r="CU38" s="37"/>
      <c r="CV38" s="37"/>
      <c r="CW38" s="37"/>
      <c r="CX38" s="40"/>
      <c r="CY38" s="39"/>
      <c r="CZ38" s="37"/>
      <c r="DA38" s="37"/>
      <c r="DB38" s="37"/>
      <c r="DC38" s="37"/>
      <c r="DD38" s="37"/>
      <c r="DE38" s="40"/>
      <c r="DF38" s="48"/>
      <c r="DG38" s="37"/>
      <c r="DH38" s="37"/>
      <c r="DI38" s="37"/>
      <c r="DJ38" s="37"/>
      <c r="DK38" s="37"/>
      <c r="DL38" s="40"/>
      <c r="DM38" s="43"/>
      <c r="DN38" s="37"/>
      <c r="DO38" s="37"/>
      <c r="DP38" s="37"/>
      <c r="DQ38" s="37"/>
      <c r="DR38" s="37"/>
      <c r="DS38" s="49"/>
    </row>
    <row r="39" spans="1:123" ht="14" x14ac:dyDescent="0.3">
      <c r="A39" s="50" t="s">
        <v>206</v>
      </c>
      <c r="B39" s="77" t="s">
        <v>24</v>
      </c>
      <c r="C39" s="106" t="s">
        <v>179</v>
      </c>
      <c r="D39" s="165"/>
      <c r="E39" s="166"/>
      <c r="F39" s="166"/>
      <c r="G39" s="166"/>
      <c r="H39" s="166"/>
      <c r="I39" s="166"/>
      <c r="J39" s="166"/>
      <c r="K39" s="166"/>
      <c r="L39" s="167"/>
      <c r="M39" s="168"/>
      <c r="N39" s="166"/>
      <c r="O39" s="166"/>
      <c r="P39" s="166"/>
      <c r="Q39" s="166"/>
      <c r="R39" s="166"/>
      <c r="S39" s="169"/>
      <c r="T39" s="168"/>
      <c r="U39" s="166"/>
      <c r="V39" s="166"/>
      <c r="W39" s="166"/>
      <c r="X39" s="166"/>
      <c r="Y39" s="170"/>
      <c r="Z39" s="171"/>
      <c r="AA39" s="172"/>
      <c r="AB39" s="170"/>
      <c r="AC39" s="170"/>
      <c r="AD39" s="170"/>
      <c r="AE39" s="170"/>
      <c r="AF39" s="170"/>
      <c r="AG39" s="171"/>
      <c r="AH39" s="173"/>
      <c r="AI39" s="174"/>
      <c r="AJ39" s="170"/>
      <c r="AK39" s="170"/>
      <c r="AL39" s="170"/>
      <c r="AM39" s="170"/>
      <c r="AN39" s="175"/>
      <c r="AO39" s="168"/>
      <c r="AP39" s="166"/>
      <c r="AQ39" s="166"/>
      <c r="AR39" s="166"/>
      <c r="AS39" s="166"/>
      <c r="AT39" s="166"/>
      <c r="AU39" s="169"/>
      <c r="AV39" s="168"/>
      <c r="AW39" s="166"/>
      <c r="AX39" s="166"/>
      <c r="AY39" s="166"/>
      <c r="AZ39" s="166"/>
      <c r="BA39" s="166"/>
      <c r="BB39" s="169"/>
      <c r="BC39" s="168"/>
      <c r="BD39" s="166"/>
      <c r="BE39" s="166"/>
      <c r="BF39" s="166"/>
      <c r="BG39" s="166"/>
      <c r="BH39" s="166"/>
      <c r="BI39" s="169"/>
      <c r="BJ39" s="168"/>
      <c r="BK39" s="166"/>
      <c r="BL39" s="166"/>
      <c r="BM39" s="167"/>
      <c r="BN39" s="176"/>
      <c r="BO39" s="166"/>
      <c r="BP39" s="169"/>
      <c r="BQ39" s="168"/>
      <c r="BR39" s="177"/>
      <c r="BS39" s="166"/>
      <c r="BT39" s="166"/>
      <c r="BU39" s="166"/>
      <c r="BV39" s="166"/>
      <c r="BW39" s="169"/>
      <c r="BX39" s="178"/>
      <c r="BY39" s="166"/>
      <c r="BZ39" s="166"/>
      <c r="CA39" s="166"/>
      <c r="CB39" s="166"/>
      <c r="CC39" s="179"/>
      <c r="CD39" s="180"/>
      <c r="CE39" s="181"/>
      <c r="CF39" s="179"/>
      <c r="CG39" s="179"/>
      <c r="CH39" s="179"/>
      <c r="CI39" s="179"/>
      <c r="CJ39" s="160"/>
      <c r="CK39" s="161"/>
      <c r="CL39" s="162"/>
      <c r="CM39" s="160"/>
      <c r="CN39" s="160"/>
      <c r="CO39" s="163"/>
      <c r="CP39" s="164"/>
      <c r="CQ39" s="160"/>
      <c r="CR39" s="161"/>
      <c r="CS39" s="168"/>
      <c r="CT39" s="166"/>
      <c r="CU39" s="166"/>
      <c r="CV39" s="166"/>
      <c r="CW39" s="166"/>
      <c r="CX39" s="169"/>
      <c r="CY39" s="168"/>
      <c r="CZ39" s="166"/>
      <c r="DA39" s="166"/>
      <c r="DB39" s="166"/>
      <c r="DC39" s="166"/>
      <c r="DD39" s="166"/>
      <c r="DE39" s="169"/>
      <c r="DF39" s="182"/>
      <c r="DG39" s="166"/>
      <c r="DH39" s="166"/>
      <c r="DI39" s="166"/>
      <c r="DJ39" s="166"/>
      <c r="DK39" s="166"/>
      <c r="DL39" s="169"/>
      <c r="DM39" s="178"/>
      <c r="DN39" s="166"/>
      <c r="DO39" s="166"/>
      <c r="DP39" s="166"/>
      <c r="DQ39" s="166"/>
      <c r="DR39" s="166"/>
      <c r="DS39" s="183"/>
    </row>
    <row r="40" spans="1:123" ht="14" x14ac:dyDescent="0.3">
      <c r="A40" s="50" t="s">
        <v>207</v>
      </c>
      <c r="B40" s="77" t="s">
        <v>24</v>
      </c>
      <c r="C40" s="106" t="s">
        <v>179</v>
      </c>
      <c r="D40" s="184"/>
      <c r="E40" s="185"/>
      <c r="F40" s="185"/>
      <c r="G40" s="166"/>
      <c r="H40" s="166"/>
      <c r="I40" s="166"/>
      <c r="J40" s="166"/>
      <c r="K40" s="166"/>
      <c r="L40" s="167"/>
      <c r="M40" s="168"/>
      <c r="N40" s="166"/>
      <c r="O40" s="166"/>
      <c r="P40" s="166"/>
      <c r="Q40" s="166"/>
      <c r="R40" s="166"/>
      <c r="S40" s="169"/>
      <c r="T40" s="168"/>
      <c r="U40" s="166"/>
      <c r="V40" s="166"/>
      <c r="W40" s="166"/>
      <c r="X40" s="166"/>
      <c r="Y40" s="170"/>
      <c r="Z40" s="171"/>
      <c r="AA40" s="172"/>
      <c r="AB40" s="170"/>
      <c r="AC40" s="170"/>
      <c r="AD40" s="170"/>
      <c r="AE40" s="170"/>
      <c r="AF40" s="170"/>
      <c r="AG40" s="171"/>
      <c r="AH40" s="173"/>
      <c r="AI40" s="174"/>
      <c r="AJ40" s="170"/>
      <c r="AK40" s="170"/>
      <c r="AL40" s="170"/>
      <c r="AM40" s="170"/>
      <c r="AN40" s="175"/>
      <c r="AO40" s="168"/>
      <c r="AP40" s="166"/>
      <c r="AQ40" s="166"/>
      <c r="AR40" s="166"/>
      <c r="AS40" s="166"/>
      <c r="AT40" s="166"/>
      <c r="AU40" s="169"/>
      <c r="AV40" s="168"/>
      <c r="AW40" s="166"/>
      <c r="AX40" s="166"/>
      <c r="AY40" s="166"/>
      <c r="AZ40" s="166"/>
      <c r="BA40" s="166"/>
      <c r="BB40" s="169"/>
      <c r="BC40" s="168"/>
      <c r="BD40" s="166"/>
      <c r="BE40" s="166"/>
      <c r="BF40" s="166"/>
      <c r="BG40" s="166"/>
      <c r="BH40" s="166"/>
      <c r="BI40" s="169"/>
      <c r="BJ40" s="168"/>
      <c r="BK40" s="166"/>
      <c r="BL40" s="166"/>
      <c r="BM40" s="167"/>
      <c r="BN40" s="176"/>
      <c r="BO40" s="166"/>
      <c r="BP40" s="169"/>
      <c r="BQ40" s="168"/>
      <c r="BR40" s="177"/>
      <c r="BS40" s="166"/>
      <c r="BT40" s="166"/>
      <c r="BU40" s="166"/>
      <c r="BV40" s="166"/>
      <c r="BW40" s="169"/>
      <c r="BX40" s="178"/>
      <c r="BY40" s="166"/>
      <c r="BZ40" s="166"/>
      <c r="CA40" s="166"/>
      <c r="CB40" s="166"/>
      <c r="CC40" s="179"/>
      <c r="CD40" s="180"/>
      <c r="CE40" s="181"/>
      <c r="CF40" s="179"/>
      <c r="CG40" s="179"/>
      <c r="CH40" s="179"/>
      <c r="CI40" s="179"/>
      <c r="CJ40" s="160"/>
      <c r="CK40" s="161"/>
      <c r="CL40" s="162"/>
      <c r="CM40" s="160"/>
      <c r="CN40" s="160"/>
      <c r="CO40" s="163"/>
      <c r="CP40" s="164"/>
      <c r="CQ40" s="160"/>
      <c r="CR40" s="161"/>
      <c r="CS40" s="168"/>
      <c r="CT40" s="166"/>
      <c r="CU40" s="166"/>
      <c r="CV40" s="166"/>
      <c r="CW40" s="166"/>
      <c r="CX40" s="169"/>
      <c r="CY40" s="168"/>
      <c r="CZ40" s="166"/>
      <c r="DA40" s="166"/>
      <c r="DB40" s="166"/>
      <c r="DC40" s="166"/>
      <c r="DD40" s="166"/>
      <c r="DE40" s="169"/>
      <c r="DF40" s="182"/>
      <c r="DG40" s="166"/>
      <c r="DH40" s="166"/>
      <c r="DI40" s="166"/>
      <c r="DJ40" s="166"/>
      <c r="DK40" s="166"/>
      <c r="DL40" s="169"/>
      <c r="DM40" s="178"/>
      <c r="DN40" s="166"/>
      <c r="DO40" s="166"/>
      <c r="DP40" s="166"/>
      <c r="DQ40" s="166"/>
      <c r="DR40" s="166"/>
      <c r="DS40" s="183"/>
    </row>
    <row r="41" spans="1:123" ht="14" outlineLevel="1" x14ac:dyDescent="0.3">
      <c r="A41" s="50" t="s">
        <v>208</v>
      </c>
      <c r="B41" s="77" t="s">
        <v>24</v>
      </c>
      <c r="C41" s="106" t="s">
        <v>179</v>
      </c>
      <c r="D41" s="79"/>
      <c r="E41" s="57"/>
      <c r="F41" s="57"/>
      <c r="G41" s="54"/>
      <c r="H41" s="54"/>
      <c r="I41" s="57"/>
      <c r="J41" s="57"/>
      <c r="K41" s="57"/>
      <c r="L41" s="66"/>
      <c r="M41" s="59"/>
      <c r="N41" s="57"/>
      <c r="O41" s="57"/>
      <c r="P41" s="57"/>
      <c r="Q41" s="57"/>
      <c r="R41" s="57"/>
      <c r="S41" s="58"/>
      <c r="T41" s="59"/>
      <c r="U41" s="57"/>
      <c r="V41" s="57"/>
      <c r="W41" s="57"/>
      <c r="X41" s="57"/>
      <c r="Y41" s="60"/>
      <c r="Z41" s="61"/>
      <c r="AA41" s="62"/>
      <c r="AB41" s="60"/>
      <c r="AC41" s="60"/>
      <c r="AD41" s="60"/>
      <c r="AE41" s="60"/>
      <c r="AF41" s="60"/>
      <c r="AG41" s="61"/>
      <c r="AH41" s="63"/>
      <c r="AI41" s="64"/>
      <c r="AJ41" s="60"/>
      <c r="AK41" s="60"/>
      <c r="AL41" s="60"/>
      <c r="AM41" s="60"/>
      <c r="AN41" s="65"/>
      <c r="AO41" s="59"/>
      <c r="AP41" s="57"/>
      <c r="AQ41" s="57"/>
      <c r="AR41" s="57"/>
      <c r="AS41" s="57"/>
      <c r="AT41" s="57"/>
      <c r="AU41" s="58"/>
      <c r="AV41" s="59"/>
      <c r="AW41" s="57"/>
      <c r="AX41" s="57"/>
      <c r="AY41" s="57"/>
      <c r="AZ41" s="57"/>
      <c r="BA41" s="57"/>
      <c r="BB41" s="58"/>
      <c r="BC41" s="59"/>
      <c r="BD41" s="57"/>
      <c r="BE41" s="57"/>
      <c r="BF41" s="57"/>
      <c r="BG41" s="57"/>
      <c r="BH41" s="57"/>
      <c r="BI41" s="58"/>
      <c r="BJ41" s="59"/>
      <c r="BK41" s="57"/>
      <c r="BL41" s="57"/>
      <c r="BM41" s="66"/>
      <c r="BN41" s="67"/>
      <c r="BO41" s="57"/>
      <c r="BP41" s="58"/>
      <c r="BQ41" s="59"/>
      <c r="BR41" s="68"/>
      <c r="BS41" s="57"/>
      <c r="BT41" s="57"/>
      <c r="BU41" s="57"/>
      <c r="BV41" s="57"/>
      <c r="BW41" s="58"/>
      <c r="BX41" s="69"/>
      <c r="BY41" s="57"/>
      <c r="BZ41" s="57"/>
      <c r="CA41" s="57"/>
      <c r="CB41" s="57"/>
      <c r="CC41" s="152"/>
      <c r="CD41" s="153"/>
      <c r="CE41" s="154"/>
      <c r="CF41" s="152"/>
      <c r="CG41" s="152"/>
      <c r="CH41" s="152"/>
      <c r="CI41" s="152"/>
      <c r="CJ41" s="70"/>
      <c r="CK41" s="71"/>
      <c r="CL41" s="72"/>
      <c r="CM41" s="70"/>
      <c r="CN41" s="70"/>
      <c r="CO41" s="186"/>
      <c r="CP41" s="187"/>
      <c r="CQ41" s="70"/>
      <c r="CR41" s="71"/>
      <c r="CS41" s="59"/>
      <c r="CT41" s="57"/>
      <c r="CU41" s="57"/>
      <c r="CV41" s="57"/>
      <c r="CW41" s="57"/>
      <c r="CX41" s="58"/>
      <c r="CY41" s="59"/>
      <c r="CZ41" s="57"/>
      <c r="DA41" s="57"/>
      <c r="DB41" s="57"/>
      <c r="DC41" s="57"/>
      <c r="DD41" s="57"/>
      <c r="DE41" s="58"/>
      <c r="DF41" s="74"/>
      <c r="DG41" s="57"/>
      <c r="DH41" s="57"/>
      <c r="DI41" s="57"/>
      <c r="DJ41" s="57"/>
      <c r="DK41" s="57"/>
      <c r="DL41" s="58"/>
      <c r="DM41" s="69"/>
      <c r="DN41" s="57"/>
      <c r="DO41" s="57"/>
      <c r="DP41" s="57"/>
      <c r="DQ41" s="57"/>
      <c r="DR41" s="57"/>
      <c r="DS41" s="75"/>
    </row>
    <row r="42" spans="1:123" ht="14" outlineLevel="1" x14ac:dyDescent="0.3">
      <c r="A42" s="76" t="s">
        <v>209</v>
      </c>
      <c r="B42" s="77" t="s">
        <v>24</v>
      </c>
      <c r="C42" s="106" t="s">
        <v>179</v>
      </c>
      <c r="D42" s="79"/>
      <c r="E42" s="57"/>
      <c r="F42" s="57"/>
      <c r="G42" s="57"/>
      <c r="H42" s="57"/>
      <c r="I42" s="54"/>
      <c r="J42" s="54"/>
      <c r="K42" s="54"/>
      <c r="L42" s="55"/>
      <c r="M42" s="55"/>
      <c r="N42" s="57"/>
      <c r="O42" s="57"/>
      <c r="P42" s="57"/>
      <c r="Q42" s="57"/>
      <c r="R42" s="57"/>
      <c r="S42" s="58"/>
      <c r="T42" s="59"/>
      <c r="U42" s="57"/>
      <c r="V42" s="57"/>
      <c r="W42" s="57"/>
      <c r="X42" s="57"/>
      <c r="Y42" s="60"/>
      <c r="Z42" s="61"/>
      <c r="AA42" s="62"/>
      <c r="AB42" s="60"/>
      <c r="AC42" s="60"/>
      <c r="AD42" s="60"/>
      <c r="AE42" s="60"/>
      <c r="AF42" s="60"/>
      <c r="AG42" s="61"/>
      <c r="AH42" s="63"/>
      <c r="AI42" s="64"/>
      <c r="AJ42" s="60"/>
      <c r="AK42" s="60"/>
      <c r="AL42" s="60"/>
      <c r="AM42" s="60"/>
      <c r="AN42" s="65"/>
      <c r="AO42" s="59"/>
      <c r="AP42" s="57"/>
      <c r="AQ42" s="57"/>
      <c r="AR42" s="57"/>
      <c r="AS42" s="57"/>
      <c r="AT42" s="57"/>
      <c r="AU42" s="58"/>
      <c r="AV42" s="59"/>
      <c r="AW42" s="57"/>
      <c r="AX42" s="57"/>
      <c r="AY42" s="57"/>
      <c r="AZ42" s="57"/>
      <c r="BA42" s="57"/>
      <c r="BB42" s="58"/>
      <c r="BC42" s="59"/>
      <c r="BD42" s="57"/>
      <c r="BE42" s="57"/>
      <c r="BF42" s="57"/>
      <c r="BG42" s="57"/>
      <c r="BH42" s="57"/>
      <c r="BI42" s="58"/>
      <c r="BJ42" s="59"/>
      <c r="BK42" s="57"/>
      <c r="BL42" s="57"/>
      <c r="BM42" s="66"/>
      <c r="BN42" s="67"/>
      <c r="BO42" s="57"/>
      <c r="BP42" s="58"/>
      <c r="BQ42" s="59"/>
      <c r="BR42" s="68"/>
      <c r="BS42" s="57"/>
      <c r="BT42" s="57"/>
      <c r="BU42" s="57"/>
      <c r="BV42" s="57"/>
      <c r="BW42" s="58"/>
      <c r="BX42" s="69"/>
      <c r="BY42" s="57"/>
      <c r="BZ42" s="57"/>
      <c r="CA42" s="57"/>
      <c r="CB42" s="57"/>
      <c r="CC42" s="152"/>
      <c r="CD42" s="153"/>
      <c r="CE42" s="154"/>
      <c r="CF42" s="152"/>
      <c r="CG42" s="152"/>
      <c r="CH42" s="152"/>
      <c r="CI42" s="152"/>
      <c r="CJ42" s="70"/>
      <c r="CK42" s="71"/>
      <c r="CL42" s="72"/>
      <c r="CM42" s="70"/>
      <c r="CN42" s="70"/>
      <c r="CO42" s="186"/>
      <c r="CP42" s="187"/>
      <c r="CQ42" s="70"/>
      <c r="CR42" s="71"/>
      <c r="CS42" s="59"/>
      <c r="CT42" s="57"/>
      <c r="CU42" s="57"/>
      <c r="CV42" s="57"/>
      <c r="CW42" s="57"/>
      <c r="CX42" s="58"/>
      <c r="CY42" s="59"/>
      <c r="CZ42" s="57"/>
      <c r="DA42" s="57"/>
      <c r="DB42" s="57"/>
      <c r="DC42" s="57"/>
      <c r="DD42" s="57"/>
      <c r="DE42" s="58"/>
      <c r="DF42" s="74"/>
      <c r="DG42" s="57"/>
      <c r="DH42" s="57"/>
      <c r="DI42" s="57"/>
      <c r="DJ42" s="57"/>
      <c r="DK42" s="57"/>
      <c r="DL42" s="58"/>
      <c r="DM42" s="69"/>
      <c r="DN42" s="57"/>
      <c r="DO42" s="57"/>
      <c r="DP42" s="57"/>
      <c r="DQ42" s="57"/>
      <c r="DR42" s="57"/>
      <c r="DS42" s="75"/>
    </row>
    <row r="43" spans="1:123" ht="14" outlineLevel="1" x14ac:dyDescent="0.3">
      <c r="A43" s="188" t="s">
        <v>210</v>
      </c>
      <c r="B43" s="77" t="s">
        <v>24</v>
      </c>
      <c r="C43" s="106" t="s">
        <v>179</v>
      </c>
      <c r="D43" s="79"/>
      <c r="E43" s="57"/>
      <c r="F43" s="57"/>
      <c r="G43" s="57"/>
      <c r="H43" s="57"/>
      <c r="I43" s="57"/>
      <c r="J43" s="57"/>
      <c r="K43" s="57"/>
      <c r="L43" s="66"/>
      <c r="M43" s="59"/>
      <c r="N43" s="54"/>
      <c r="O43" s="54"/>
      <c r="P43" s="57"/>
      <c r="Q43" s="57"/>
      <c r="R43" s="57"/>
      <c r="S43" s="58"/>
      <c r="T43" s="59"/>
      <c r="U43" s="57"/>
      <c r="V43" s="57"/>
      <c r="W43" s="57"/>
      <c r="X43" s="57"/>
      <c r="Y43" s="60"/>
      <c r="Z43" s="61"/>
      <c r="AA43" s="62"/>
      <c r="AB43" s="60"/>
      <c r="AC43" s="60"/>
      <c r="AD43" s="60"/>
      <c r="AE43" s="60"/>
      <c r="AF43" s="60"/>
      <c r="AG43" s="61"/>
      <c r="AH43" s="63"/>
      <c r="AI43" s="64"/>
      <c r="AJ43" s="60"/>
      <c r="AK43" s="60"/>
      <c r="AL43" s="60"/>
      <c r="AM43" s="60"/>
      <c r="AN43" s="65"/>
      <c r="AO43" s="59"/>
      <c r="AP43" s="57"/>
      <c r="AQ43" s="57"/>
      <c r="AR43" s="57"/>
      <c r="AS43" s="57"/>
      <c r="AT43" s="57"/>
      <c r="AU43" s="58"/>
      <c r="AV43" s="59"/>
      <c r="AW43" s="57"/>
      <c r="AX43" s="57"/>
      <c r="AY43" s="57"/>
      <c r="AZ43" s="57"/>
      <c r="BA43" s="57"/>
      <c r="BB43" s="58"/>
      <c r="BC43" s="59"/>
      <c r="BD43" s="57"/>
      <c r="BE43" s="57"/>
      <c r="BF43" s="57"/>
      <c r="BG43" s="57"/>
      <c r="BH43" s="57"/>
      <c r="BI43" s="58"/>
      <c r="BJ43" s="59"/>
      <c r="BK43" s="57"/>
      <c r="BL43" s="57"/>
      <c r="BM43" s="66"/>
      <c r="BN43" s="67"/>
      <c r="BO43" s="57"/>
      <c r="BP43" s="58"/>
      <c r="BQ43" s="59"/>
      <c r="BR43" s="68"/>
      <c r="BS43" s="57"/>
      <c r="BT43" s="57"/>
      <c r="BU43" s="57"/>
      <c r="BV43" s="57"/>
      <c r="BW43" s="58"/>
      <c r="BX43" s="69"/>
      <c r="BY43" s="57"/>
      <c r="BZ43" s="57"/>
      <c r="CA43" s="57"/>
      <c r="CB43" s="57"/>
      <c r="CC43" s="152"/>
      <c r="CD43" s="153"/>
      <c r="CE43" s="154"/>
      <c r="CF43" s="152"/>
      <c r="CG43" s="152"/>
      <c r="CH43" s="152"/>
      <c r="CI43" s="152"/>
      <c r="CJ43" s="70"/>
      <c r="CK43" s="71"/>
      <c r="CL43" s="162"/>
      <c r="CM43" s="160"/>
      <c r="CN43" s="160"/>
      <c r="CO43" s="163"/>
      <c r="CP43" s="164"/>
      <c r="CQ43" s="160"/>
      <c r="CR43" s="161"/>
      <c r="CS43" s="59"/>
      <c r="CT43" s="57"/>
      <c r="CU43" s="57"/>
      <c r="CV43" s="57"/>
      <c r="CW43" s="57"/>
      <c r="CX43" s="58"/>
      <c r="CY43" s="59"/>
      <c r="CZ43" s="57"/>
      <c r="DA43" s="57"/>
      <c r="DB43" s="57"/>
      <c r="DC43" s="57"/>
      <c r="DD43" s="57"/>
      <c r="DE43" s="58"/>
      <c r="DF43" s="74"/>
      <c r="DG43" s="57"/>
      <c r="DH43" s="57"/>
      <c r="DI43" s="57"/>
      <c r="DJ43" s="57"/>
      <c r="DK43" s="57"/>
      <c r="DL43" s="58"/>
      <c r="DM43" s="69"/>
      <c r="DN43" s="57"/>
      <c r="DO43" s="57"/>
      <c r="DP43" s="57"/>
      <c r="DQ43" s="57"/>
      <c r="DR43" s="57"/>
      <c r="DS43" s="75"/>
    </row>
    <row r="44" spans="1:123" ht="14" outlineLevel="1" x14ac:dyDescent="0.3">
      <c r="A44" s="189" t="s">
        <v>211</v>
      </c>
      <c r="B44" s="190" t="s">
        <v>24</v>
      </c>
      <c r="C44" s="106" t="s">
        <v>179</v>
      </c>
      <c r="D44" s="191"/>
      <c r="E44" s="192"/>
      <c r="F44" s="192"/>
      <c r="G44" s="193"/>
      <c r="H44" s="193"/>
      <c r="I44" s="193"/>
      <c r="J44" s="193"/>
      <c r="K44" s="193"/>
      <c r="L44" s="194"/>
      <c r="M44" s="195"/>
      <c r="N44" s="193"/>
      <c r="O44" s="193"/>
      <c r="P44" s="193"/>
      <c r="Q44" s="193"/>
      <c r="R44" s="193"/>
      <c r="S44" s="196"/>
      <c r="T44" s="195"/>
      <c r="U44" s="193"/>
      <c r="V44" s="193"/>
      <c r="W44" s="193"/>
      <c r="X44" s="193"/>
      <c r="Y44" s="197"/>
      <c r="Z44" s="198"/>
      <c r="AA44" s="199"/>
      <c r="AB44" s="197"/>
      <c r="AC44" s="197"/>
      <c r="AD44" s="197"/>
      <c r="AE44" s="197"/>
      <c r="AF44" s="197"/>
      <c r="AG44" s="198"/>
      <c r="AH44" s="200"/>
      <c r="AI44" s="201"/>
      <c r="AJ44" s="197"/>
      <c r="AK44" s="197"/>
      <c r="AL44" s="197"/>
      <c r="AM44" s="197"/>
      <c r="AN44" s="202"/>
      <c r="AO44" s="195"/>
      <c r="AP44" s="193"/>
      <c r="AQ44" s="193"/>
      <c r="AR44" s="193"/>
      <c r="AS44" s="193"/>
      <c r="AT44" s="193"/>
      <c r="AU44" s="196"/>
      <c r="AV44" s="195"/>
      <c r="AW44" s="193"/>
      <c r="AX44" s="193"/>
      <c r="AY44" s="193"/>
      <c r="AZ44" s="193"/>
      <c r="BA44" s="193"/>
      <c r="BB44" s="196"/>
      <c r="BC44" s="195"/>
      <c r="BD44" s="193"/>
      <c r="BE44" s="193"/>
      <c r="BF44" s="193"/>
      <c r="BG44" s="193"/>
      <c r="BH44" s="193"/>
      <c r="BI44" s="196"/>
      <c r="BJ44" s="195"/>
      <c r="BK44" s="193"/>
      <c r="BL44" s="193"/>
      <c r="BM44" s="194"/>
      <c r="BN44" s="203"/>
      <c r="BO44" s="193"/>
      <c r="BP44" s="196"/>
      <c r="BQ44" s="195"/>
      <c r="BR44" s="204"/>
      <c r="BS44" s="193"/>
      <c r="BT44" s="193"/>
      <c r="BU44" s="193"/>
      <c r="BV44" s="193"/>
      <c r="BW44" s="196"/>
      <c r="BX44" s="205"/>
      <c r="BY44" s="193"/>
      <c r="BZ44" s="193"/>
      <c r="CA44" s="193"/>
      <c r="CB44" s="193"/>
      <c r="CC44" s="206"/>
      <c r="CD44" s="207"/>
      <c r="CE44" s="208"/>
      <c r="CF44" s="206"/>
      <c r="CG44" s="206"/>
      <c r="CH44" s="206"/>
      <c r="CI44" s="206"/>
      <c r="CJ44" s="209"/>
      <c r="CK44" s="210"/>
      <c r="CL44" s="72"/>
      <c r="CM44" s="70"/>
      <c r="CN44" s="70"/>
      <c r="CO44" s="186"/>
      <c r="CP44" s="187"/>
      <c r="CQ44" s="70"/>
      <c r="CR44" s="71"/>
      <c r="CS44" s="195"/>
      <c r="CT44" s="193"/>
      <c r="CU44" s="193"/>
      <c r="CV44" s="193"/>
      <c r="CW44" s="193"/>
      <c r="CX44" s="196"/>
      <c r="CY44" s="195"/>
      <c r="CZ44" s="193"/>
      <c r="DA44" s="193"/>
      <c r="DB44" s="193"/>
      <c r="DC44" s="193"/>
      <c r="DD44" s="193"/>
      <c r="DE44" s="196"/>
      <c r="DF44" s="211"/>
      <c r="DG44" s="193"/>
      <c r="DH44" s="193"/>
      <c r="DI44" s="193"/>
      <c r="DJ44" s="193"/>
      <c r="DK44" s="193"/>
      <c r="DL44" s="196"/>
      <c r="DM44" s="205"/>
      <c r="DN44" s="193"/>
      <c r="DO44" s="193"/>
      <c r="DP44" s="193"/>
      <c r="DQ44" s="193"/>
      <c r="DR44" s="193"/>
      <c r="DS44" s="212"/>
    </row>
    <row r="45" spans="1:123" ht="14" outlineLevel="1" x14ac:dyDescent="0.3">
      <c r="A45" s="189" t="s">
        <v>212</v>
      </c>
      <c r="B45" s="190" t="s">
        <v>24</v>
      </c>
      <c r="C45" s="106" t="s">
        <v>179</v>
      </c>
      <c r="D45" s="213"/>
      <c r="E45" s="193"/>
      <c r="F45" s="193"/>
      <c r="G45" s="192"/>
      <c r="H45" s="192"/>
      <c r="I45" s="193"/>
      <c r="J45" s="193"/>
      <c r="K45" s="193"/>
      <c r="L45" s="194"/>
      <c r="M45" s="195"/>
      <c r="N45" s="193"/>
      <c r="O45" s="193"/>
      <c r="P45" s="193"/>
      <c r="Q45" s="193"/>
      <c r="R45" s="193"/>
      <c r="S45" s="196"/>
      <c r="T45" s="195"/>
      <c r="U45" s="193"/>
      <c r="V45" s="193"/>
      <c r="W45" s="193"/>
      <c r="X45" s="193"/>
      <c r="Y45" s="197"/>
      <c r="Z45" s="198"/>
      <c r="AA45" s="199"/>
      <c r="AB45" s="197"/>
      <c r="AC45" s="197"/>
      <c r="AD45" s="197"/>
      <c r="AE45" s="197"/>
      <c r="AF45" s="197"/>
      <c r="AG45" s="198"/>
      <c r="AH45" s="200"/>
      <c r="AI45" s="201"/>
      <c r="AJ45" s="197"/>
      <c r="AK45" s="197"/>
      <c r="AL45" s="197"/>
      <c r="AM45" s="197"/>
      <c r="AN45" s="202"/>
      <c r="AO45" s="195"/>
      <c r="AP45" s="193"/>
      <c r="AQ45" s="193"/>
      <c r="AR45" s="193"/>
      <c r="AS45" s="193"/>
      <c r="AT45" s="193"/>
      <c r="AU45" s="196"/>
      <c r="AV45" s="195"/>
      <c r="AW45" s="193"/>
      <c r="AX45" s="193"/>
      <c r="AY45" s="193"/>
      <c r="AZ45" s="193"/>
      <c r="BA45" s="193"/>
      <c r="BB45" s="196"/>
      <c r="BC45" s="195"/>
      <c r="BD45" s="193"/>
      <c r="BE45" s="193"/>
      <c r="BF45" s="193"/>
      <c r="BG45" s="193"/>
      <c r="BH45" s="193"/>
      <c r="BI45" s="196"/>
      <c r="BJ45" s="195"/>
      <c r="BK45" s="193"/>
      <c r="BL45" s="193"/>
      <c r="BM45" s="194"/>
      <c r="BN45" s="203"/>
      <c r="BO45" s="193"/>
      <c r="BP45" s="196"/>
      <c r="BQ45" s="195"/>
      <c r="BR45" s="204"/>
      <c r="BS45" s="193"/>
      <c r="BT45" s="193"/>
      <c r="BU45" s="193"/>
      <c r="BV45" s="193"/>
      <c r="BW45" s="196"/>
      <c r="BX45" s="205"/>
      <c r="BY45" s="193"/>
      <c r="BZ45" s="193"/>
      <c r="CA45" s="193"/>
      <c r="CB45" s="193"/>
      <c r="CC45" s="206"/>
      <c r="CD45" s="207"/>
      <c r="CE45" s="208"/>
      <c r="CF45" s="206"/>
      <c r="CG45" s="206"/>
      <c r="CH45" s="206"/>
      <c r="CI45" s="206"/>
      <c r="CJ45" s="209"/>
      <c r="CK45" s="210"/>
      <c r="CL45" s="72"/>
      <c r="CM45" s="70"/>
      <c r="CN45" s="70"/>
      <c r="CO45" s="186"/>
      <c r="CP45" s="187"/>
      <c r="CQ45" s="70"/>
      <c r="CR45" s="71"/>
      <c r="CS45" s="195"/>
      <c r="CT45" s="193"/>
      <c r="CU45" s="193"/>
      <c r="CV45" s="193"/>
      <c r="CW45" s="193"/>
      <c r="CX45" s="196"/>
      <c r="CY45" s="195"/>
      <c r="CZ45" s="193"/>
      <c r="DA45" s="193"/>
      <c r="DB45" s="193"/>
      <c r="DC45" s="193"/>
      <c r="DD45" s="193"/>
      <c r="DE45" s="196"/>
      <c r="DF45" s="211"/>
      <c r="DG45" s="193"/>
      <c r="DH45" s="193"/>
      <c r="DI45" s="193"/>
      <c r="DJ45" s="193"/>
      <c r="DK45" s="193"/>
      <c r="DL45" s="196"/>
      <c r="DM45" s="205"/>
      <c r="DN45" s="193"/>
      <c r="DO45" s="193"/>
      <c r="DP45" s="193"/>
      <c r="DQ45" s="193"/>
      <c r="DR45" s="193"/>
      <c r="DS45" s="212"/>
    </row>
    <row r="46" spans="1:123" ht="14" outlineLevel="1" x14ac:dyDescent="0.3">
      <c r="A46" s="189" t="s">
        <v>213</v>
      </c>
      <c r="B46" s="190" t="s">
        <v>24</v>
      </c>
      <c r="C46" s="106" t="s">
        <v>179</v>
      </c>
      <c r="D46" s="213"/>
      <c r="E46" s="193"/>
      <c r="F46" s="193"/>
      <c r="G46" s="193"/>
      <c r="H46" s="193"/>
      <c r="I46" s="192"/>
      <c r="J46" s="192"/>
      <c r="K46" s="192"/>
      <c r="L46" s="214"/>
      <c r="M46" s="215"/>
      <c r="N46" s="192"/>
      <c r="O46" s="192"/>
      <c r="P46" s="192"/>
      <c r="Q46" s="192"/>
      <c r="R46" s="192"/>
      <c r="S46" s="216"/>
      <c r="T46" s="195"/>
      <c r="U46" s="193"/>
      <c r="V46" s="193"/>
      <c r="W46" s="193"/>
      <c r="X46" s="193"/>
      <c r="Y46" s="197"/>
      <c r="Z46" s="198"/>
      <c r="AA46" s="199"/>
      <c r="AB46" s="197"/>
      <c r="AC46" s="197"/>
      <c r="AD46" s="197"/>
      <c r="AE46" s="197"/>
      <c r="AF46" s="197"/>
      <c r="AG46" s="198"/>
      <c r="AH46" s="200"/>
      <c r="AI46" s="201"/>
      <c r="AJ46" s="197"/>
      <c r="AK46" s="197"/>
      <c r="AL46" s="197"/>
      <c r="AM46" s="197"/>
      <c r="AN46" s="202"/>
      <c r="AO46" s="195"/>
      <c r="AP46" s="193"/>
      <c r="AQ46" s="193"/>
      <c r="AR46" s="193"/>
      <c r="AS46" s="193"/>
      <c r="AT46" s="193"/>
      <c r="AU46" s="196"/>
      <c r="AV46" s="195"/>
      <c r="AW46" s="193"/>
      <c r="AX46" s="193"/>
      <c r="AY46" s="193"/>
      <c r="AZ46" s="193"/>
      <c r="BA46" s="193"/>
      <c r="BB46" s="196"/>
      <c r="BC46" s="195"/>
      <c r="BD46" s="193"/>
      <c r="BE46" s="193"/>
      <c r="BF46" s="193"/>
      <c r="BG46" s="193"/>
      <c r="BH46" s="193"/>
      <c r="BI46" s="196"/>
      <c r="BJ46" s="195"/>
      <c r="BK46" s="193"/>
      <c r="BL46" s="193"/>
      <c r="BM46" s="194"/>
      <c r="BN46" s="203"/>
      <c r="BO46" s="193"/>
      <c r="BP46" s="196"/>
      <c r="BQ46" s="195"/>
      <c r="BR46" s="204"/>
      <c r="BS46" s="193"/>
      <c r="BT46" s="193"/>
      <c r="BU46" s="193"/>
      <c r="BV46" s="193"/>
      <c r="BW46" s="196"/>
      <c r="BX46" s="205"/>
      <c r="BY46" s="193"/>
      <c r="BZ46" s="193"/>
      <c r="CA46" s="193"/>
      <c r="CB46" s="193"/>
      <c r="CC46" s="206"/>
      <c r="CD46" s="207"/>
      <c r="CE46" s="208"/>
      <c r="CF46" s="206"/>
      <c r="CG46" s="206"/>
      <c r="CH46" s="206"/>
      <c r="CI46" s="206"/>
      <c r="CJ46" s="209"/>
      <c r="CK46" s="210"/>
      <c r="CL46" s="162"/>
      <c r="CM46" s="160"/>
      <c r="CN46" s="160"/>
      <c r="CO46" s="163"/>
      <c r="CP46" s="164"/>
      <c r="CQ46" s="160"/>
      <c r="CR46" s="161"/>
      <c r="CS46" s="195"/>
      <c r="CT46" s="193"/>
      <c r="CU46" s="193"/>
      <c r="CV46" s="193"/>
      <c r="CW46" s="193"/>
      <c r="CX46" s="196"/>
      <c r="CY46" s="195"/>
      <c r="CZ46" s="193"/>
      <c r="DA46" s="193"/>
      <c r="DB46" s="193"/>
      <c r="DC46" s="193"/>
      <c r="DD46" s="193"/>
      <c r="DE46" s="196"/>
      <c r="DF46" s="211"/>
      <c r="DG46" s="193"/>
      <c r="DH46" s="193"/>
      <c r="DI46" s="193"/>
      <c r="DJ46" s="193"/>
      <c r="DK46" s="193"/>
      <c r="DL46" s="196"/>
      <c r="DM46" s="205"/>
      <c r="DN46" s="193"/>
      <c r="DO46" s="193"/>
      <c r="DP46" s="193"/>
      <c r="DQ46" s="193"/>
      <c r="DR46" s="193"/>
      <c r="DS46" s="212"/>
    </row>
    <row r="47" spans="1:123" ht="14" outlineLevel="1" x14ac:dyDescent="0.3">
      <c r="A47" s="189" t="s">
        <v>214</v>
      </c>
      <c r="B47" s="190" t="s">
        <v>24</v>
      </c>
      <c r="C47" s="106" t="s">
        <v>179</v>
      </c>
      <c r="D47" s="193"/>
      <c r="E47" s="193"/>
      <c r="F47" s="193"/>
      <c r="G47" s="193"/>
      <c r="H47" s="193"/>
      <c r="I47" s="193"/>
      <c r="J47" s="193"/>
      <c r="K47" s="193"/>
      <c r="L47" s="194"/>
      <c r="M47" s="195"/>
      <c r="N47" s="193"/>
      <c r="O47" s="193"/>
      <c r="P47" s="193"/>
      <c r="Q47" s="193"/>
      <c r="R47" s="193"/>
      <c r="S47" s="196"/>
      <c r="T47" s="215"/>
      <c r="U47" s="192"/>
      <c r="V47" s="192"/>
      <c r="W47" s="192"/>
      <c r="X47" s="192"/>
      <c r="Y47" s="197"/>
      <c r="Z47" s="198"/>
      <c r="AA47" s="199"/>
      <c r="AB47" s="197"/>
      <c r="AC47" s="197"/>
      <c r="AD47" s="197"/>
      <c r="AE47" s="197"/>
      <c r="AF47" s="197"/>
      <c r="AG47" s="198"/>
      <c r="AH47" s="200"/>
      <c r="AI47" s="201"/>
      <c r="AJ47" s="197"/>
      <c r="AK47" s="197"/>
      <c r="AL47" s="197"/>
      <c r="AM47" s="197"/>
      <c r="AN47" s="202"/>
      <c r="AO47" s="195"/>
      <c r="AP47" s="217"/>
      <c r="AQ47" s="193"/>
      <c r="AR47" s="193"/>
      <c r="AS47" s="193"/>
      <c r="AT47" s="193"/>
      <c r="AU47" s="196"/>
      <c r="AV47" s="195"/>
      <c r="AW47" s="193"/>
      <c r="AX47" s="193"/>
      <c r="AY47" s="193"/>
      <c r="AZ47" s="193"/>
      <c r="BA47" s="193"/>
      <c r="BB47" s="196"/>
      <c r="BC47" s="195"/>
      <c r="BD47" s="193"/>
      <c r="BE47" s="193"/>
      <c r="BF47" s="193"/>
      <c r="BG47" s="193"/>
      <c r="BH47" s="193"/>
      <c r="BI47" s="196"/>
      <c r="BJ47" s="195"/>
      <c r="BK47" s="193"/>
      <c r="BL47" s="193"/>
      <c r="BM47" s="194"/>
      <c r="BN47" s="203"/>
      <c r="BO47" s="193"/>
      <c r="BP47" s="196"/>
      <c r="BQ47" s="195"/>
      <c r="BR47" s="204"/>
      <c r="BS47" s="193"/>
      <c r="BT47" s="193"/>
      <c r="BU47" s="193"/>
      <c r="BV47" s="193"/>
      <c r="BW47" s="196"/>
      <c r="BX47" s="205"/>
      <c r="BY47" s="193"/>
      <c r="BZ47" s="193"/>
      <c r="CA47" s="193"/>
      <c r="CB47" s="193"/>
      <c r="CC47" s="206"/>
      <c r="CD47" s="207"/>
      <c r="CE47" s="208"/>
      <c r="CF47" s="206"/>
      <c r="CG47" s="206"/>
      <c r="CH47" s="206"/>
      <c r="CI47" s="206"/>
      <c r="CJ47" s="209"/>
      <c r="CK47" s="210"/>
      <c r="CL47" s="162"/>
      <c r="CM47" s="160"/>
      <c r="CN47" s="160"/>
      <c r="CO47" s="163"/>
      <c r="CP47" s="164"/>
      <c r="CQ47" s="160"/>
      <c r="CR47" s="161"/>
      <c r="CS47" s="195"/>
      <c r="CT47" s="193"/>
      <c r="CU47" s="193"/>
      <c r="CV47" s="193"/>
      <c r="CW47" s="193"/>
      <c r="CX47" s="196"/>
      <c r="CY47" s="195"/>
      <c r="CZ47" s="193"/>
      <c r="DA47" s="193"/>
      <c r="DB47" s="193"/>
      <c r="DC47" s="193"/>
      <c r="DD47" s="193"/>
      <c r="DE47" s="196"/>
      <c r="DF47" s="211"/>
      <c r="DG47" s="193"/>
      <c r="DH47" s="193"/>
      <c r="DI47" s="193"/>
      <c r="DJ47" s="193"/>
      <c r="DK47" s="193"/>
      <c r="DL47" s="196"/>
      <c r="DM47" s="205"/>
      <c r="DN47" s="193"/>
      <c r="DO47" s="193"/>
      <c r="DP47" s="193"/>
      <c r="DQ47" s="193"/>
      <c r="DR47" s="193"/>
      <c r="DS47" s="212"/>
    </row>
    <row r="48" spans="1:123" ht="14" outlineLevel="1" x14ac:dyDescent="0.3">
      <c r="A48" s="189" t="s">
        <v>215</v>
      </c>
      <c r="B48" s="190" t="s">
        <v>24</v>
      </c>
      <c r="C48" s="106" t="s">
        <v>179</v>
      </c>
      <c r="D48" s="218"/>
      <c r="E48" s="192"/>
      <c r="F48" s="192"/>
      <c r="G48" s="192"/>
      <c r="H48" s="192"/>
      <c r="I48" s="193"/>
      <c r="J48" s="193"/>
      <c r="K48" s="193"/>
      <c r="L48" s="194"/>
      <c r="M48" s="195"/>
      <c r="N48" s="193"/>
      <c r="O48" s="193"/>
      <c r="P48" s="193"/>
      <c r="Q48" s="193"/>
      <c r="R48" s="193"/>
      <c r="S48" s="196"/>
      <c r="T48" s="193"/>
      <c r="U48" s="193"/>
      <c r="V48" s="193"/>
      <c r="W48" s="193"/>
      <c r="X48" s="193"/>
      <c r="Y48" s="197"/>
      <c r="Z48" s="198"/>
      <c r="AA48" s="199"/>
      <c r="AB48" s="197"/>
      <c r="AC48" s="197"/>
      <c r="AD48" s="197"/>
      <c r="AE48" s="197"/>
      <c r="AF48" s="197"/>
      <c r="AG48" s="198"/>
      <c r="AH48" s="200"/>
      <c r="AI48" s="201"/>
      <c r="AJ48" s="197"/>
      <c r="AK48" s="197"/>
      <c r="AL48" s="197"/>
      <c r="AM48" s="197"/>
      <c r="AN48" s="202"/>
      <c r="AO48" s="195"/>
      <c r="AP48" s="193"/>
      <c r="AQ48" s="193"/>
      <c r="AR48" s="193"/>
      <c r="AS48" s="193"/>
      <c r="AT48" s="193"/>
      <c r="AU48" s="196"/>
      <c r="AV48" s="195"/>
      <c r="AW48" s="193"/>
      <c r="AX48" s="193"/>
      <c r="AY48" s="193"/>
      <c r="AZ48" s="193"/>
      <c r="BA48" s="193"/>
      <c r="BB48" s="196"/>
      <c r="BC48" s="195"/>
      <c r="BD48" s="193"/>
      <c r="BE48" s="193"/>
      <c r="BF48" s="193"/>
      <c r="BG48" s="193"/>
      <c r="BH48" s="193"/>
      <c r="BI48" s="196"/>
      <c r="BJ48" s="195"/>
      <c r="BK48" s="193"/>
      <c r="BL48" s="193"/>
      <c r="BM48" s="194"/>
      <c r="BN48" s="203"/>
      <c r="BO48" s="193"/>
      <c r="BP48" s="196"/>
      <c r="BQ48" s="195"/>
      <c r="BR48" s="204"/>
      <c r="BS48" s="193"/>
      <c r="BT48" s="193"/>
      <c r="BU48" s="193"/>
      <c r="BV48" s="193"/>
      <c r="BW48" s="196"/>
      <c r="BX48" s="205"/>
      <c r="BY48" s="193"/>
      <c r="BZ48" s="193"/>
      <c r="CA48" s="193"/>
      <c r="CB48" s="193"/>
      <c r="CC48" s="206"/>
      <c r="CD48" s="207"/>
      <c r="CE48" s="208"/>
      <c r="CF48" s="206"/>
      <c r="CG48" s="206"/>
      <c r="CH48" s="206"/>
      <c r="CI48" s="206"/>
      <c r="CJ48" s="209"/>
      <c r="CK48" s="210"/>
      <c r="CL48" s="72"/>
      <c r="CM48" s="70"/>
      <c r="CN48" s="70"/>
      <c r="CO48" s="186"/>
      <c r="CP48" s="187"/>
      <c r="CQ48" s="70"/>
      <c r="CR48" s="71"/>
      <c r="CS48" s="195"/>
      <c r="CT48" s="193"/>
      <c r="CU48" s="193"/>
      <c r="CV48" s="193"/>
      <c r="CW48" s="193"/>
      <c r="CX48" s="196"/>
      <c r="CY48" s="195"/>
      <c r="CZ48" s="193"/>
      <c r="DA48" s="193"/>
      <c r="DB48" s="193"/>
      <c r="DC48" s="193"/>
      <c r="DD48" s="193"/>
      <c r="DE48" s="196"/>
      <c r="DF48" s="211"/>
      <c r="DG48" s="193"/>
      <c r="DH48" s="193"/>
      <c r="DI48" s="193"/>
      <c r="DJ48" s="193"/>
      <c r="DK48" s="193"/>
      <c r="DL48" s="196"/>
      <c r="DM48" s="205"/>
      <c r="DN48" s="193"/>
      <c r="DO48" s="193"/>
      <c r="DP48" s="193"/>
      <c r="DQ48" s="193"/>
      <c r="DR48" s="193"/>
      <c r="DS48" s="212"/>
    </row>
    <row r="49" spans="1:16384" ht="14" outlineLevel="1" x14ac:dyDescent="0.3">
      <c r="A49" s="189" t="s">
        <v>216</v>
      </c>
      <c r="B49" s="190" t="s">
        <v>24</v>
      </c>
      <c r="C49" s="106" t="s">
        <v>179</v>
      </c>
      <c r="D49" s="213"/>
      <c r="E49" s="193"/>
      <c r="F49" s="193"/>
      <c r="G49" s="193"/>
      <c r="H49" s="193"/>
      <c r="I49" s="193"/>
      <c r="J49" s="193"/>
      <c r="K49" s="193"/>
      <c r="L49" s="194"/>
      <c r="M49" s="215"/>
      <c r="N49" s="192"/>
      <c r="O49" s="192"/>
      <c r="P49" s="217"/>
      <c r="Q49" s="192"/>
      <c r="R49" s="193"/>
      <c r="S49" s="196"/>
      <c r="T49" s="193"/>
      <c r="U49" s="193"/>
      <c r="V49" s="193"/>
      <c r="W49" s="193"/>
      <c r="X49" s="193"/>
      <c r="Y49" s="197"/>
      <c r="Z49" s="198"/>
      <c r="AA49" s="199"/>
      <c r="AB49" s="197"/>
      <c r="AC49" s="197"/>
      <c r="AD49" s="197"/>
      <c r="AE49" s="197"/>
      <c r="AF49" s="197"/>
      <c r="AG49" s="198"/>
      <c r="AH49" s="200"/>
      <c r="AI49" s="201"/>
      <c r="AJ49" s="197"/>
      <c r="AK49" s="197"/>
      <c r="AL49" s="197"/>
      <c r="AM49" s="197"/>
      <c r="AN49" s="202"/>
      <c r="AO49" s="195"/>
      <c r="AP49" s="193"/>
      <c r="AQ49" s="193"/>
      <c r="AR49" s="193"/>
      <c r="AS49" s="193"/>
      <c r="AT49" s="193"/>
      <c r="AU49" s="196"/>
      <c r="AV49" s="195"/>
      <c r="AW49" s="193"/>
      <c r="AX49" s="193"/>
      <c r="AY49" s="193"/>
      <c r="AZ49" s="193"/>
      <c r="BA49" s="193"/>
      <c r="BB49" s="196"/>
      <c r="BC49" s="195"/>
      <c r="BD49" s="193"/>
      <c r="BE49" s="193"/>
      <c r="BF49" s="193"/>
      <c r="BG49" s="193"/>
      <c r="BH49" s="193"/>
      <c r="BI49" s="196"/>
      <c r="BJ49" s="195"/>
      <c r="BK49" s="193"/>
      <c r="BL49" s="193"/>
      <c r="BM49" s="194"/>
      <c r="BN49" s="203"/>
      <c r="BO49" s="193"/>
      <c r="BP49" s="196"/>
      <c r="BQ49" s="195"/>
      <c r="BR49" s="204"/>
      <c r="BS49" s="193"/>
      <c r="BT49" s="193"/>
      <c r="BU49" s="193"/>
      <c r="BV49" s="193"/>
      <c r="BW49" s="196"/>
      <c r="BX49" s="205"/>
      <c r="BY49" s="193"/>
      <c r="BZ49" s="193"/>
      <c r="CA49" s="193"/>
      <c r="CB49" s="193"/>
      <c r="CC49" s="206"/>
      <c r="CD49" s="207"/>
      <c r="CE49" s="208"/>
      <c r="CF49" s="206"/>
      <c r="CG49" s="152"/>
      <c r="CH49" s="152"/>
      <c r="CI49" s="152"/>
      <c r="CJ49" s="70"/>
      <c r="CK49" s="70"/>
      <c r="CL49" s="72"/>
      <c r="CM49" s="70"/>
      <c r="CN49" s="70"/>
      <c r="CO49" s="186"/>
      <c r="CP49" s="187"/>
      <c r="CQ49" s="70"/>
      <c r="CR49" s="71"/>
      <c r="CS49" s="195"/>
      <c r="CT49" s="193"/>
      <c r="CU49" s="193"/>
      <c r="CV49" s="193"/>
      <c r="CW49" s="193"/>
      <c r="CX49" s="196"/>
      <c r="CY49" s="195"/>
      <c r="CZ49" s="193"/>
      <c r="DA49" s="193"/>
      <c r="DB49" s="193"/>
      <c r="DC49" s="193"/>
      <c r="DD49" s="193"/>
      <c r="DE49" s="196"/>
      <c r="DF49" s="211"/>
      <c r="DG49" s="193"/>
      <c r="DH49" s="193"/>
      <c r="DI49" s="193"/>
      <c r="DJ49" s="193"/>
      <c r="DK49" s="193"/>
      <c r="DL49" s="196"/>
      <c r="DM49" s="205"/>
      <c r="DN49" s="193"/>
      <c r="DO49" s="193"/>
      <c r="DP49" s="193"/>
      <c r="DQ49" s="193"/>
      <c r="DR49" s="193"/>
      <c r="DS49" s="212"/>
    </row>
    <row r="50" spans="1:16384" ht="14" outlineLevel="1" x14ac:dyDescent="0.3">
      <c r="A50" s="189" t="s">
        <v>217</v>
      </c>
      <c r="B50" s="190" t="s">
        <v>24</v>
      </c>
      <c r="C50" s="106" t="s">
        <v>179</v>
      </c>
      <c r="D50" s="213"/>
      <c r="E50" s="193"/>
      <c r="F50" s="193"/>
      <c r="G50" s="193"/>
      <c r="H50" s="193"/>
      <c r="I50" s="193"/>
      <c r="J50" s="193"/>
      <c r="K50" s="193"/>
      <c r="L50" s="194"/>
      <c r="M50" s="195"/>
      <c r="N50" s="193"/>
      <c r="O50" s="193"/>
      <c r="P50" s="193"/>
      <c r="Q50" s="193"/>
      <c r="R50" s="193"/>
      <c r="S50" s="196"/>
      <c r="T50" s="219"/>
      <c r="U50" s="192"/>
      <c r="V50" s="192"/>
      <c r="W50" s="192"/>
      <c r="X50" s="192"/>
      <c r="Y50" s="197"/>
      <c r="Z50" s="198"/>
      <c r="AA50" s="199"/>
      <c r="AB50" s="197"/>
      <c r="AC50" s="197"/>
      <c r="AD50" s="197"/>
      <c r="AE50" s="197"/>
      <c r="AF50" s="197"/>
      <c r="AG50" s="198"/>
      <c r="AH50" s="200"/>
      <c r="AI50" s="201"/>
      <c r="AJ50" s="197"/>
      <c r="AK50" s="197"/>
      <c r="AL50" s="197"/>
      <c r="AM50" s="197"/>
      <c r="AN50" s="202"/>
      <c r="AO50" s="195"/>
      <c r="AP50" s="193"/>
      <c r="AQ50" s="193"/>
      <c r="AR50" s="193"/>
      <c r="AS50" s="193"/>
      <c r="AT50" s="193"/>
      <c r="AU50" s="196"/>
      <c r="AV50" s="195"/>
      <c r="AW50" s="193"/>
      <c r="AX50" s="193"/>
      <c r="AY50" s="193"/>
      <c r="AZ50" s="193"/>
      <c r="BA50" s="193"/>
      <c r="BB50" s="196"/>
      <c r="BC50" s="195"/>
      <c r="BD50" s="193"/>
      <c r="BE50" s="193"/>
      <c r="BF50" s="193"/>
      <c r="BG50" s="193"/>
      <c r="BH50" s="193"/>
      <c r="BI50" s="196"/>
      <c r="BJ50" s="195"/>
      <c r="BK50" s="193"/>
      <c r="BL50" s="193"/>
      <c r="BM50" s="194"/>
      <c r="BN50" s="203"/>
      <c r="BO50" s="193"/>
      <c r="BP50" s="196"/>
      <c r="BQ50" s="195"/>
      <c r="BR50" s="204"/>
      <c r="BS50" s="193"/>
      <c r="BT50" s="193"/>
      <c r="BU50" s="193"/>
      <c r="BV50" s="193"/>
      <c r="BW50" s="196"/>
      <c r="BX50" s="219"/>
      <c r="BY50" s="192"/>
      <c r="BZ50" s="192"/>
      <c r="CA50" s="192"/>
      <c r="CB50" s="193"/>
      <c r="CC50" s="206"/>
      <c r="CD50" s="207"/>
      <c r="CE50" s="152"/>
      <c r="CF50" s="152"/>
      <c r="CG50" s="206"/>
      <c r="CH50" s="206"/>
      <c r="CI50" s="206"/>
      <c r="CJ50" s="209"/>
      <c r="CK50" s="209"/>
      <c r="CL50" s="162"/>
      <c r="CM50" s="160"/>
      <c r="CN50" s="160"/>
      <c r="CO50" s="163"/>
      <c r="CP50" s="164"/>
      <c r="CQ50" s="160"/>
      <c r="CR50" s="161"/>
      <c r="CS50" s="195"/>
      <c r="CT50" s="193"/>
      <c r="CU50" s="193"/>
      <c r="CV50" s="193"/>
      <c r="CW50" s="193"/>
      <c r="CX50" s="196"/>
      <c r="CY50" s="195"/>
      <c r="CZ50" s="193"/>
      <c r="DA50" s="193"/>
      <c r="DB50" s="193"/>
      <c r="DC50" s="193"/>
      <c r="DD50" s="193"/>
      <c r="DE50" s="196"/>
      <c r="DF50" s="211"/>
      <c r="DG50" s="193"/>
      <c r="DH50" s="193"/>
      <c r="DI50" s="193"/>
      <c r="DJ50" s="193"/>
      <c r="DK50" s="193"/>
      <c r="DL50" s="196"/>
      <c r="DM50" s="205"/>
      <c r="DN50" s="193"/>
      <c r="DO50" s="193"/>
      <c r="DP50" s="193"/>
      <c r="DQ50" s="193"/>
      <c r="DR50" s="193"/>
      <c r="DS50" s="212"/>
    </row>
    <row r="51" spans="1:16384" ht="14" outlineLevel="1" x14ac:dyDescent="0.3">
      <c r="A51" s="220" t="s">
        <v>218</v>
      </c>
      <c r="B51" s="359" t="s">
        <v>24</v>
      </c>
      <c r="C51" s="360" t="s">
        <v>179</v>
      </c>
      <c r="D51" s="191"/>
      <c r="E51" s="192"/>
      <c r="F51" s="192"/>
      <c r="G51" s="192"/>
      <c r="H51" s="192"/>
      <c r="I51" s="192"/>
      <c r="J51" s="192"/>
      <c r="K51" s="192"/>
      <c r="L51" s="214"/>
      <c r="M51" s="215"/>
      <c r="N51" s="192"/>
      <c r="O51" s="192"/>
      <c r="P51" s="192"/>
      <c r="Q51" s="192"/>
      <c r="R51" s="192"/>
      <c r="S51" s="216"/>
      <c r="T51" s="215"/>
      <c r="U51" s="192"/>
      <c r="V51" s="192"/>
      <c r="W51" s="192"/>
      <c r="X51" s="192"/>
      <c r="Y51" s="197"/>
      <c r="Z51" s="198"/>
      <c r="AA51" s="199"/>
      <c r="AB51" s="197"/>
      <c r="AC51" s="197"/>
      <c r="AD51" s="197"/>
      <c r="AE51" s="197"/>
      <c r="AF51" s="197"/>
      <c r="AG51" s="198"/>
      <c r="AH51" s="200"/>
      <c r="AI51" s="201"/>
      <c r="AJ51" s="197"/>
      <c r="AK51" s="197"/>
      <c r="AL51" s="197"/>
      <c r="AM51" s="197"/>
      <c r="AN51" s="202"/>
      <c r="AO51" s="195"/>
      <c r="AP51" s="193"/>
      <c r="AQ51" s="193"/>
      <c r="AR51" s="193"/>
      <c r="AS51" s="193"/>
      <c r="AT51" s="193"/>
      <c r="AU51" s="196"/>
      <c r="AV51" s="195"/>
      <c r="AW51" s="193"/>
      <c r="AX51" s="193"/>
      <c r="AY51" s="193"/>
      <c r="AZ51" s="193"/>
      <c r="BA51" s="193"/>
      <c r="BB51" s="196"/>
      <c r="BC51" s="195"/>
      <c r="BD51" s="193"/>
      <c r="BE51" s="193"/>
      <c r="BF51" s="193"/>
      <c r="BG51" s="193"/>
      <c r="BH51" s="193"/>
      <c r="BI51" s="196"/>
      <c r="BJ51" s="195"/>
      <c r="BK51" s="193"/>
      <c r="BL51" s="193"/>
      <c r="BM51" s="194"/>
      <c r="BN51" s="203"/>
      <c r="BO51" s="193"/>
      <c r="BP51" s="196"/>
      <c r="BQ51" s="195"/>
      <c r="BR51" s="204"/>
      <c r="BS51" s="193"/>
      <c r="BT51" s="193"/>
      <c r="BU51" s="193"/>
      <c r="BV51" s="193"/>
      <c r="BW51" s="196"/>
      <c r="BX51" s="205"/>
      <c r="BY51" s="193"/>
      <c r="BZ51" s="193"/>
      <c r="CA51" s="193"/>
      <c r="CB51" s="193"/>
      <c r="CC51" s="206"/>
      <c r="CD51" s="207"/>
      <c r="CE51" s="206"/>
      <c r="CF51" s="152"/>
      <c r="CG51" s="206"/>
      <c r="CH51" s="206"/>
      <c r="CI51" s="206"/>
      <c r="CJ51" s="209"/>
      <c r="CK51" s="209"/>
      <c r="CL51" s="162"/>
      <c r="CM51" s="160"/>
      <c r="CN51" s="160"/>
      <c r="CO51" s="163"/>
      <c r="CP51" s="164"/>
      <c r="CQ51" s="160"/>
      <c r="CR51" s="161"/>
      <c r="CS51" s="195"/>
      <c r="CT51" s="193"/>
      <c r="CU51" s="193"/>
      <c r="CV51" s="193"/>
      <c r="CW51" s="193"/>
      <c r="CX51" s="196"/>
      <c r="CY51" s="195"/>
      <c r="CZ51" s="193"/>
      <c r="DA51" s="193"/>
      <c r="DB51" s="193"/>
      <c r="DC51" s="193"/>
      <c r="DD51" s="193"/>
      <c r="DE51" s="196"/>
      <c r="DF51" s="211"/>
      <c r="DG51" s="193"/>
      <c r="DH51" s="193"/>
      <c r="DI51" s="193"/>
      <c r="DJ51" s="193"/>
      <c r="DK51" s="193"/>
      <c r="DL51" s="196"/>
      <c r="DM51" s="205"/>
      <c r="DN51" s="193"/>
      <c r="DO51" s="193"/>
      <c r="DP51" s="193"/>
      <c r="DQ51" s="193"/>
      <c r="DR51" s="193"/>
      <c r="DS51" s="212"/>
    </row>
    <row r="52" spans="1:16384" ht="14" outlineLevel="1" x14ac:dyDescent="0.3">
      <c r="A52" s="189" t="s">
        <v>219</v>
      </c>
      <c r="B52" s="236" t="s">
        <v>24</v>
      </c>
      <c r="C52" s="52" t="s">
        <v>179</v>
      </c>
      <c r="D52" s="205"/>
      <c r="E52" s="193"/>
      <c r="F52" s="193"/>
      <c r="G52" s="193"/>
      <c r="H52" s="193"/>
      <c r="I52" s="193"/>
      <c r="J52" s="193"/>
      <c r="K52" s="193"/>
      <c r="L52" s="194"/>
      <c r="M52" s="195"/>
      <c r="N52" s="193"/>
      <c r="O52" s="193"/>
      <c r="P52" s="193"/>
      <c r="Q52" s="193"/>
      <c r="R52" s="193"/>
      <c r="S52" s="196"/>
      <c r="T52" s="195"/>
      <c r="U52" s="193"/>
      <c r="V52" s="193"/>
      <c r="W52" s="193"/>
      <c r="X52" s="193"/>
      <c r="Y52" s="197"/>
      <c r="Z52" s="198"/>
      <c r="AA52" s="199"/>
      <c r="AB52" s="197"/>
      <c r="AC52" s="197"/>
      <c r="AD52" s="197"/>
      <c r="AE52" s="197"/>
      <c r="AF52" s="197"/>
      <c r="AG52" s="198"/>
      <c r="AH52" s="200"/>
      <c r="AI52" s="201"/>
      <c r="AJ52" s="197"/>
      <c r="AK52" s="197"/>
      <c r="AL52" s="197"/>
      <c r="AM52" s="197"/>
      <c r="AN52" s="202"/>
      <c r="AO52" s="195"/>
      <c r="AP52" s="193"/>
      <c r="AQ52" s="221"/>
      <c r="AR52" s="221"/>
      <c r="AS52" s="192"/>
      <c r="AT52" s="193"/>
      <c r="AU52" s="196"/>
      <c r="AV52" s="195"/>
      <c r="AW52" s="193"/>
      <c r="AX52" s="192"/>
      <c r="AY52" s="192"/>
      <c r="AZ52" s="192"/>
      <c r="BA52" s="193"/>
      <c r="BB52" s="196"/>
      <c r="BC52" s="195"/>
      <c r="BD52" s="193"/>
      <c r="BE52" s="192"/>
      <c r="BF52" s="192"/>
      <c r="BG52" s="217"/>
      <c r="BH52" s="193"/>
      <c r="BI52" s="196"/>
      <c r="BJ52" s="59"/>
      <c r="BK52" s="57"/>
      <c r="BL52" s="57"/>
      <c r="BM52" s="66"/>
      <c r="BN52" s="67"/>
      <c r="BO52" s="57"/>
      <c r="BP52" s="58"/>
      <c r="BQ52" s="195"/>
      <c r="BR52" s="204"/>
      <c r="BS52" s="193"/>
      <c r="BT52" s="193"/>
      <c r="BU52" s="193"/>
      <c r="BV52" s="193"/>
      <c r="BW52" s="196"/>
      <c r="BX52" s="205"/>
      <c r="BY52" s="193"/>
      <c r="BZ52" s="193"/>
      <c r="CA52" s="193"/>
      <c r="CB52" s="193"/>
      <c r="CC52" s="206"/>
      <c r="CD52" s="207"/>
      <c r="CE52" s="206"/>
      <c r="CF52" s="206"/>
      <c r="CG52" s="206"/>
      <c r="CH52" s="206"/>
      <c r="CI52" s="206"/>
      <c r="CJ52" s="209"/>
      <c r="CK52" s="209"/>
      <c r="CL52" s="72"/>
      <c r="CM52" s="70"/>
      <c r="CN52" s="70"/>
      <c r="CO52" s="186"/>
      <c r="CP52" s="187"/>
      <c r="CQ52" s="70"/>
      <c r="CR52" s="71"/>
      <c r="CS52" s="195"/>
      <c r="CT52" s="193"/>
      <c r="CU52" s="193"/>
      <c r="CV52" s="193"/>
      <c r="CW52" s="193"/>
      <c r="CX52" s="196"/>
      <c r="CY52" s="195"/>
      <c r="CZ52" s="193"/>
      <c r="DA52" s="193"/>
      <c r="DB52" s="193"/>
      <c r="DC52" s="193"/>
      <c r="DD52" s="193"/>
      <c r="DE52" s="196"/>
      <c r="DF52" s="211"/>
      <c r="DG52" s="193"/>
      <c r="DH52" s="193"/>
      <c r="DI52" s="193"/>
      <c r="DJ52" s="193"/>
      <c r="DK52" s="193"/>
      <c r="DL52" s="196"/>
      <c r="DM52" s="205"/>
      <c r="DN52" s="193"/>
      <c r="DO52" s="193"/>
      <c r="DP52" s="193"/>
      <c r="DQ52" s="193"/>
      <c r="DR52" s="193"/>
      <c r="DS52" s="212"/>
    </row>
    <row r="53" spans="1:16384" ht="14" outlineLevel="1" x14ac:dyDescent="0.3">
      <c r="A53" s="189" t="s">
        <v>220</v>
      </c>
      <c r="B53" s="236" t="s">
        <v>24</v>
      </c>
      <c r="C53" s="52" t="s">
        <v>179</v>
      </c>
      <c r="D53" s="205"/>
      <c r="E53" s="193"/>
      <c r="F53" s="193"/>
      <c r="G53" s="193"/>
      <c r="H53" s="193"/>
      <c r="I53" s="193"/>
      <c r="J53" s="193"/>
      <c r="K53" s="193"/>
      <c r="L53" s="194"/>
      <c r="M53" s="195"/>
      <c r="N53" s="193"/>
      <c r="O53" s="193"/>
      <c r="P53" s="193"/>
      <c r="Q53" s="193"/>
      <c r="R53" s="193"/>
      <c r="S53" s="196"/>
      <c r="T53" s="195"/>
      <c r="U53" s="193"/>
      <c r="V53" s="193"/>
      <c r="W53" s="193"/>
      <c r="X53" s="193"/>
      <c r="Y53" s="197"/>
      <c r="Z53" s="198"/>
      <c r="AA53" s="199"/>
      <c r="AB53" s="197"/>
      <c r="AC53" s="197"/>
      <c r="AD53" s="197"/>
      <c r="AE53" s="197"/>
      <c r="AF53" s="197"/>
      <c r="AG53" s="198"/>
      <c r="AH53" s="200"/>
      <c r="AI53" s="201"/>
      <c r="AJ53" s="197"/>
      <c r="AK53" s="197"/>
      <c r="AL53" s="197"/>
      <c r="AM53" s="197"/>
      <c r="AN53" s="202"/>
      <c r="AO53" s="195"/>
      <c r="AP53" s="193"/>
      <c r="AQ53" s="221"/>
      <c r="AR53" s="221"/>
      <c r="AS53" s="192"/>
      <c r="AT53" s="193"/>
      <c r="AU53" s="196"/>
      <c r="AV53" s="195"/>
      <c r="AW53" s="193"/>
      <c r="AX53" s="192"/>
      <c r="AY53" s="217"/>
      <c r="AZ53" s="192"/>
      <c r="BA53" s="193"/>
      <c r="BB53" s="196"/>
      <c r="BC53" s="195"/>
      <c r="BD53" s="193"/>
      <c r="BE53" s="222"/>
      <c r="BF53" s="222"/>
      <c r="BG53" s="222"/>
      <c r="BH53" s="222"/>
      <c r="BI53" s="196"/>
      <c r="BJ53" s="195"/>
      <c r="BK53" s="193"/>
      <c r="BL53" s="193"/>
      <c r="BM53" s="194"/>
      <c r="BN53" s="203"/>
      <c r="BO53" s="193"/>
      <c r="BP53" s="196"/>
      <c r="BQ53" s="195"/>
      <c r="BR53" s="204"/>
      <c r="BS53" s="193"/>
      <c r="BT53" s="193"/>
      <c r="BU53" s="193"/>
      <c r="BV53" s="193"/>
      <c r="BW53" s="196"/>
      <c r="BX53" s="205"/>
      <c r="BY53" s="193"/>
      <c r="BZ53" s="193"/>
      <c r="CA53" s="193"/>
      <c r="CB53" s="193"/>
      <c r="CC53" s="206"/>
      <c r="CD53" s="207"/>
      <c r="CE53" s="206"/>
      <c r="CF53" s="206"/>
      <c r="CG53" s="206"/>
      <c r="CH53" s="206"/>
      <c r="CI53" s="206"/>
      <c r="CJ53" s="209"/>
      <c r="CK53" s="209"/>
      <c r="CL53" s="72"/>
      <c r="CM53" s="70"/>
      <c r="CN53" s="70"/>
      <c r="CO53" s="186"/>
      <c r="CP53" s="187"/>
      <c r="CQ53" s="70"/>
      <c r="CR53" s="71"/>
      <c r="CS53" s="195"/>
      <c r="CT53" s="193"/>
      <c r="CU53" s="193"/>
      <c r="CV53" s="193"/>
      <c r="CW53" s="193"/>
      <c r="CX53" s="196"/>
      <c r="CY53" s="195"/>
      <c r="CZ53" s="193"/>
      <c r="DA53" s="193"/>
      <c r="DB53" s="193"/>
      <c r="DC53" s="193"/>
      <c r="DD53" s="193"/>
      <c r="DE53" s="196"/>
      <c r="DF53" s="211"/>
      <c r="DG53" s="193"/>
      <c r="DH53" s="193"/>
      <c r="DI53" s="193"/>
      <c r="DJ53" s="193"/>
      <c r="DK53" s="193"/>
      <c r="DL53" s="196"/>
      <c r="DM53" s="205"/>
      <c r="DN53" s="193"/>
      <c r="DO53" s="193"/>
      <c r="DP53" s="193"/>
      <c r="DQ53" s="193"/>
      <c r="DR53" s="193"/>
      <c r="DS53" s="212"/>
    </row>
    <row r="54" spans="1:16384" ht="14" outlineLevel="1" x14ac:dyDescent="0.3">
      <c r="A54" s="189" t="s">
        <v>221</v>
      </c>
      <c r="B54" s="236" t="s">
        <v>24</v>
      </c>
      <c r="C54" s="52" t="s">
        <v>179</v>
      </c>
      <c r="D54" s="205"/>
      <c r="E54" s="193"/>
      <c r="F54" s="193"/>
      <c r="G54" s="193"/>
      <c r="H54" s="193"/>
      <c r="I54" s="193"/>
      <c r="J54" s="193"/>
      <c r="K54" s="193"/>
      <c r="L54" s="194"/>
      <c r="M54" s="195"/>
      <c r="N54" s="193"/>
      <c r="O54" s="193"/>
      <c r="P54" s="193"/>
      <c r="Q54" s="193"/>
      <c r="R54" s="193"/>
      <c r="S54" s="196"/>
      <c r="T54" s="195"/>
      <c r="U54" s="193"/>
      <c r="V54" s="193"/>
      <c r="W54" s="193"/>
      <c r="X54" s="193"/>
      <c r="Y54" s="197"/>
      <c r="Z54" s="198"/>
      <c r="AA54" s="199"/>
      <c r="AB54" s="197"/>
      <c r="AC54" s="197"/>
      <c r="AD54" s="197"/>
      <c r="AE54" s="197"/>
      <c r="AF54" s="197"/>
      <c r="AG54" s="198"/>
      <c r="AH54" s="200"/>
      <c r="AI54" s="201"/>
      <c r="AJ54" s="197"/>
      <c r="AK54" s="197"/>
      <c r="AL54" s="197"/>
      <c r="AM54" s="197"/>
      <c r="AN54" s="202"/>
      <c r="AO54" s="195"/>
      <c r="AP54" s="193"/>
      <c r="AQ54" s="193"/>
      <c r="AR54" s="193"/>
      <c r="AS54" s="193"/>
      <c r="AT54" s="193"/>
      <c r="AU54" s="196"/>
      <c r="AV54" s="195"/>
      <c r="AW54" s="193"/>
      <c r="AX54" s="193"/>
      <c r="AY54" s="193"/>
      <c r="AZ54" s="193"/>
      <c r="BA54" s="193"/>
      <c r="BB54" s="196"/>
      <c r="BC54" s="195"/>
      <c r="BD54" s="193"/>
      <c r="BE54" s="192"/>
      <c r="BF54" s="192"/>
      <c r="BG54" s="217"/>
      <c r="BH54" s="222"/>
      <c r="BI54" s="196"/>
      <c r="BJ54" s="195"/>
      <c r="BK54" s="193"/>
      <c r="BL54" s="193"/>
      <c r="BM54" s="194"/>
      <c r="BN54" s="203"/>
      <c r="BO54" s="193"/>
      <c r="BP54" s="196"/>
      <c r="BQ54" s="195"/>
      <c r="BR54" s="204"/>
      <c r="BS54" s="193"/>
      <c r="BT54" s="193"/>
      <c r="BU54" s="193"/>
      <c r="BV54" s="193"/>
      <c r="BW54" s="196"/>
      <c r="BX54" s="205"/>
      <c r="BY54" s="193"/>
      <c r="BZ54" s="193"/>
      <c r="CA54" s="193"/>
      <c r="CB54" s="193"/>
      <c r="CC54" s="206"/>
      <c r="CD54" s="207"/>
      <c r="CE54" s="206"/>
      <c r="CF54" s="206"/>
      <c r="CG54" s="206"/>
      <c r="CH54" s="206"/>
      <c r="CI54" s="206"/>
      <c r="CJ54" s="209"/>
      <c r="CK54" s="209"/>
      <c r="CL54" s="72"/>
      <c r="CM54" s="70"/>
      <c r="CN54" s="70"/>
      <c r="CO54" s="186"/>
      <c r="CP54" s="187"/>
      <c r="CQ54" s="70"/>
      <c r="CR54" s="71"/>
      <c r="CS54" s="195"/>
      <c r="CT54" s="193"/>
      <c r="CU54" s="193"/>
      <c r="CV54" s="193"/>
      <c r="CW54" s="193"/>
      <c r="CX54" s="196"/>
      <c r="CY54" s="195"/>
      <c r="CZ54" s="193"/>
      <c r="DA54" s="193"/>
      <c r="DB54" s="193"/>
      <c r="DC54" s="193"/>
      <c r="DD54" s="193"/>
      <c r="DE54" s="196"/>
      <c r="DF54" s="211"/>
      <c r="DG54" s="193"/>
      <c r="DH54" s="193"/>
      <c r="DI54" s="193"/>
      <c r="DJ54" s="193"/>
      <c r="DK54" s="193"/>
      <c r="DL54" s="196"/>
      <c r="DM54" s="205"/>
      <c r="DN54" s="193"/>
      <c r="DO54" s="193"/>
      <c r="DP54" s="193"/>
      <c r="DQ54" s="193"/>
      <c r="DR54" s="193"/>
      <c r="DS54" s="212"/>
    </row>
    <row r="55" spans="1:16384" ht="14" outlineLevel="1" x14ac:dyDescent="0.3">
      <c r="A55" s="189" t="s">
        <v>222</v>
      </c>
      <c r="B55" s="236" t="s">
        <v>107</v>
      </c>
      <c r="C55" s="237" t="s">
        <v>191</v>
      </c>
      <c r="D55" s="205"/>
      <c r="E55" s="193"/>
      <c r="F55" s="193"/>
      <c r="G55" s="193"/>
      <c r="H55" s="193"/>
      <c r="I55" s="193"/>
      <c r="J55" s="193"/>
      <c r="K55" s="193"/>
      <c r="L55" s="194"/>
      <c r="M55" s="195"/>
      <c r="N55" s="193"/>
      <c r="O55" s="193"/>
      <c r="P55" s="193"/>
      <c r="Q55" s="193"/>
      <c r="R55" s="193"/>
      <c r="S55" s="196"/>
      <c r="T55" s="195"/>
      <c r="U55" s="193"/>
      <c r="V55" s="193"/>
      <c r="W55" s="193"/>
      <c r="X55" s="193"/>
      <c r="Y55" s="197"/>
      <c r="Z55" s="198"/>
      <c r="AA55" s="199"/>
      <c r="AB55" s="197"/>
      <c r="AC55" s="197"/>
      <c r="AD55" s="197"/>
      <c r="AE55" s="197"/>
      <c r="AF55" s="197"/>
      <c r="AG55" s="198"/>
      <c r="AH55" s="200"/>
      <c r="AI55" s="201"/>
      <c r="AJ55" s="197"/>
      <c r="AK55" s="197"/>
      <c r="AL55" s="197"/>
      <c r="AM55" s="197"/>
      <c r="AN55" s="202"/>
      <c r="AO55" s="195"/>
      <c r="AP55" s="193"/>
      <c r="AQ55" s="193"/>
      <c r="AR55" s="193"/>
      <c r="AS55" s="193"/>
      <c r="AT55" s="193"/>
      <c r="AU55" s="196"/>
      <c r="AV55" s="195"/>
      <c r="AW55" s="193"/>
      <c r="AX55" s="221"/>
      <c r="AY55" s="221"/>
      <c r="AZ55" s="192"/>
      <c r="BA55" s="192"/>
      <c r="BB55" s="216"/>
      <c r="BC55" s="215"/>
      <c r="BD55" s="192"/>
      <c r="BE55" s="192"/>
      <c r="BF55" s="192"/>
      <c r="BG55" s="217"/>
      <c r="BH55" s="192"/>
      <c r="BI55" s="216"/>
      <c r="BJ55" s="195"/>
      <c r="BK55" s="193"/>
      <c r="BL55" s="193"/>
      <c r="BM55" s="194"/>
      <c r="BN55" s="203"/>
      <c r="BO55" s="193"/>
      <c r="BP55" s="196"/>
      <c r="BQ55" s="195"/>
      <c r="BR55" s="204"/>
      <c r="BS55" s="193"/>
      <c r="BT55" s="193"/>
      <c r="BU55" s="193"/>
      <c r="BV55" s="193"/>
      <c r="BW55" s="196"/>
      <c r="BX55" s="205"/>
      <c r="BY55" s="193"/>
      <c r="BZ55" s="193"/>
      <c r="CA55" s="193"/>
      <c r="CB55" s="193"/>
      <c r="CC55" s="206"/>
      <c r="CD55" s="207"/>
      <c r="CE55" s="206"/>
      <c r="CF55" s="206"/>
      <c r="CG55" s="206"/>
      <c r="CH55" s="206"/>
      <c r="CI55" s="206"/>
      <c r="CJ55" s="209"/>
      <c r="CK55" s="209"/>
      <c r="CL55" s="72"/>
      <c r="CM55" s="70"/>
      <c r="CN55" s="70"/>
      <c r="CO55" s="186"/>
      <c r="CP55" s="187"/>
      <c r="CQ55" s="70"/>
      <c r="CR55" s="71"/>
      <c r="CS55" s="168"/>
      <c r="CT55" s="166"/>
      <c r="CU55" s="166"/>
      <c r="CV55" s="166"/>
      <c r="CW55" s="166"/>
      <c r="CX55" s="169"/>
      <c r="CY55" s="195"/>
      <c r="CZ55" s="193"/>
      <c r="DA55" s="193"/>
      <c r="DB55" s="193"/>
      <c r="DC55" s="193"/>
      <c r="DD55" s="193"/>
      <c r="DE55" s="196"/>
      <c r="DF55" s="211"/>
      <c r="DG55" s="193"/>
      <c r="DH55" s="193"/>
      <c r="DI55" s="193"/>
      <c r="DJ55" s="193"/>
      <c r="DK55" s="193"/>
      <c r="DL55" s="196"/>
      <c r="DM55" s="205"/>
      <c r="DN55" s="193"/>
      <c r="DO55" s="193"/>
      <c r="DP55" s="193"/>
      <c r="DQ55" s="193"/>
      <c r="DR55" s="193"/>
      <c r="DS55" s="212"/>
    </row>
    <row r="56" spans="1:16384" ht="14" outlineLevel="1" x14ac:dyDescent="0.3">
      <c r="A56" s="189" t="s">
        <v>223</v>
      </c>
      <c r="B56" s="236" t="s">
        <v>24</v>
      </c>
      <c r="C56" s="235" t="s">
        <v>182</v>
      </c>
      <c r="D56" s="205"/>
      <c r="E56" s="193"/>
      <c r="F56" s="193"/>
      <c r="G56" s="193"/>
      <c r="H56" s="193"/>
      <c r="I56" s="193"/>
      <c r="J56" s="193"/>
      <c r="K56" s="193"/>
      <c r="L56" s="194"/>
      <c r="M56" s="195"/>
      <c r="N56" s="193"/>
      <c r="O56" s="193"/>
      <c r="P56" s="193"/>
      <c r="Q56" s="193"/>
      <c r="R56" s="193"/>
      <c r="S56" s="196"/>
      <c r="T56" s="195"/>
      <c r="U56" s="193"/>
      <c r="V56" s="193"/>
      <c r="W56" s="193"/>
      <c r="X56" s="193"/>
      <c r="Y56" s="197"/>
      <c r="Z56" s="198"/>
      <c r="AA56" s="199"/>
      <c r="AB56" s="197"/>
      <c r="AC56" s="197"/>
      <c r="AD56" s="197"/>
      <c r="AE56" s="197"/>
      <c r="AF56" s="197"/>
      <c r="AG56" s="198"/>
      <c r="AH56" s="200"/>
      <c r="AI56" s="201"/>
      <c r="AJ56" s="197"/>
      <c r="AK56" s="197"/>
      <c r="AL56" s="197"/>
      <c r="AM56" s="197"/>
      <c r="AN56" s="202"/>
      <c r="AO56" s="195"/>
      <c r="AP56" s="193"/>
      <c r="AQ56" s="193"/>
      <c r="AR56" s="193"/>
      <c r="AS56" s="193"/>
      <c r="AT56" s="193"/>
      <c r="AU56" s="196"/>
      <c r="AV56" s="195"/>
      <c r="AW56" s="193"/>
      <c r="AX56" s="193"/>
      <c r="AY56" s="193"/>
      <c r="AZ56" s="193"/>
      <c r="BA56" s="193"/>
      <c r="BB56" s="196"/>
      <c r="BC56" s="195"/>
      <c r="BD56" s="193"/>
      <c r="BE56" s="193"/>
      <c r="BF56" s="193"/>
      <c r="BG56" s="193"/>
      <c r="BH56" s="193"/>
      <c r="BI56" s="196"/>
      <c r="BJ56" s="195"/>
      <c r="BK56" s="193"/>
      <c r="BL56" s="192"/>
      <c r="BM56" s="214"/>
      <c r="BN56" s="223"/>
      <c r="BO56" s="193"/>
      <c r="BP56" s="196"/>
      <c r="BQ56" s="195"/>
      <c r="BR56" s="204"/>
      <c r="BS56" s="192"/>
      <c r="BT56" s="192"/>
      <c r="BU56" s="192"/>
      <c r="BV56" s="193"/>
      <c r="BW56" s="196"/>
      <c r="BX56" s="205"/>
      <c r="BY56" s="193"/>
      <c r="BZ56" s="192"/>
      <c r="CA56" s="192"/>
      <c r="CB56" s="192"/>
      <c r="CC56" s="206"/>
      <c r="CD56" s="207"/>
      <c r="CE56" s="206"/>
      <c r="CF56" s="206"/>
      <c r="CG56" s="206"/>
      <c r="CH56" s="206"/>
      <c r="CI56" s="206"/>
      <c r="CJ56" s="209"/>
      <c r="CK56" s="209"/>
      <c r="CL56" s="72"/>
      <c r="CM56" s="70"/>
      <c r="CN56" s="70"/>
      <c r="CO56" s="186"/>
      <c r="CP56" s="187"/>
      <c r="CQ56" s="70"/>
      <c r="CR56" s="71"/>
      <c r="CS56" s="168"/>
      <c r="CT56" s="166"/>
      <c r="CU56" s="166"/>
      <c r="CV56" s="166"/>
      <c r="CW56" s="166"/>
      <c r="CX56" s="169"/>
      <c r="CY56" s="195"/>
      <c r="CZ56" s="193"/>
      <c r="DA56" s="193"/>
      <c r="DB56" s="193"/>
      <c r="DC56" s="193"/>
      <c r="DD56" s="193"/>
      <c r="DE56" s="196"/>
      <c r="DF56" s="211"/>
      <c r="DG56" s="193"/>
      <c r="DH56" s="193"/>
      <c r="DI56" s="193"/>
      <c r="DJ56" s="193"/>
      <c r="DK56" s="193"/>
      <c r="DL56" s="196"/>
      <c r="DM56" s="205"/>
      <c r="DN56" s="193"/>
      <c r="DO56" s="193"/>
      <c r="DP56" s="193"/>
      <c r="DQ56" s="193"/>
      <c r="DR56" s="193"/>
      <c r="DS56" s="212"/>
    </row>
    <row r="57" spans="1:16384" ht="14" outlineLevel="1" x14ac:dyDescent="0.3">
      <c r="A57" s="189" t="s">
        <v>224</v>
      </c>
      <c r="B57" s="236" t="s">
        <v>24</v>
      </c>
      <c r="C57" s="235" t="s">
        <v>182</v>
      </c>
      <c r="D57" s="205"/>
      <c r="E57" s="193"/>
      <c r="F57" s="193"/>
      <c r="G57" s="193"/>
      <c r="H57" s="193"/>
      <c r="I57" s="193"/>
      <c r="J57" s="193"/>
      <c r="K57" s="193"/>
      <c r="L57" s="194"/>
      <c r="M57" s="195"/>
      <c r="N57" s="193"/>
      <c r="O57" s="193"/>
      <c r="P57" s="193"/>
      <c r="Q57" s="193"/>
      <c r="R57" s="193"/>
      <c r="S57" s="196"/>
      <c r="T57" s="195"/>
      <c r="U57" s="193"/>
      <c r="V57" s="193"/>
      <c r="W57" s="193"/>
      <c r="X57" s="193"/>
      <c r="Y57" s="197"/>
      <c r="Z57" s="198"/>
      <c r="AA57" s="199"/>
      <c r="AB57" s="197"/>
      <c r="AC57" s="197"/>
      <c r="AD57" s="197"/>
      <c r="AE57" s="197"/>
      <c r="AF57" s="197"/>
      <c r="AG57" s="198"/>
      <c r="AH57" s="200"/>
      <c r="AI57" s="201"/>
      <c r="AJ57" s="197"/>
      <c r="AK57" s="197"/>
      <c r="AL57" s="197"/>
      <c r="AM57" s="197"/>
      <c r="AN57" s="202"/>
      <c r="AO57" s="195"/>
      <c r="AP57" s="193"/>
      <c r="AQ57" s="193"/>
      <c r="AR57" s="193"/>
      <c r="AS57" s="193"/>
      <c r="AT57" s="193"/>
      <c r="AU57" s="196"/>
      <c r="AV57" s="195"/>
      <c r="AW57" s="193"/>
      <c r="AX57" s="193"/>
      <c r="AY57" s="193"/>
      <c r="AZ57" s="193"/>
      <c r="BA57" s="193"/>
      <c r="BB57" s="196"/>
      <c r="BC57" s="195"/>
      <c r="BD57" s="193"/>
      <c r="BE57" s="193"/>
      <c r="BF57" s="193"/>
      <c r="BG57" s="193"/>
      <c r="BH57" s="193"/>
      <c r="BI57" s="196"/>
      <c r="BJ57" s="195"/>
      <c r="BK57" s="193"/>
      <c r="BL57" s="192"/>
      <c r="BM57" s="214"/>
      <c r="BN57" s="223"/>
      <c r="BO57" s="193"/>
      <c r="BP57" s="196"/>
      <c r="BQ57" s="195"/>
      <c r="BR57" s="204"/>
      <c r="BS57" s="222"/>
      <c r="BT57" s="222"/>
      <c r="BU57" s="222"/>
      <c r="BV57" s="222"/>
      <c r="BW57" s="224"/>
      <c r="BX57" s="225"/>
      <c r="BY57" s="222"/>
      <c r="BZ57" s="222"/>
      <c r="CA57" s="222"/>
      <c r="CB57" s="222"/>
      <c r="CC57" s="206"/>
      <c r="CD57" s="207"/>
      <c r="CE57" s="226"/>
      <c r="CF57" s="206"/>
      <c r="CG57" s="206"/>
      <c r="CH57" s="206"/>
      <c r="CI57" s="206"/>
      <c r="CJ57" s="209"/>
      <c r="CK57" s="227"/>
      <c r="CL57" s="162"/>
      <c r="CM57" s="160"/>
      <c r="CN57" s="160"/>
      <c r="CO57" s="163"/>
      <c r="CP57" s="164"/>
      <c r="CQ57" s="160"/>
      <c r="CR57" s="161"/>
      <c r="CS57" s="168"/>
      <c r="CT57" s="166"/>
      <c r="CU57" s="166"/>
      <c r="CV57" s="166"/>
      <c r="CW57" s="166"/>
      <c r="CX57" s="169"/>
      <c r="CY57" s="195"/>
      <c r="CZ57" s="193"/>
      <c r="DA57" s="193"/>
      <c r="DB57" s="193"/>
      <c r="DC57" s="193"/>
      <c r="DD57" s="193"/>
      <c r="DE57" s="196"/>
      <c r="DF57" s="211"/>
      <c r="DG57" s="193"/>
      <c r="DH57" s="193"/>
      <c r="DI57" s="193"/>
      <c r="DJ57" s="193"/>
      <c r="DK57" s="193"/>
      <c r="DL57" s="196"/>
      <c r="DM57" s="205"/>
      <c r="DN57" s="193"/>
      <c r="DO57" s="193"/>
      <c r="DP57" s="193"/>
      <c r="DQ57" s="193"/>
      <c r="DR57" s="193"/>
      <c r="DS57" s="212"/>
    </row>
    <row r="58" spans="1:16384" ht="14" outlineLevel="1" x14ac:dyDescent="0.3">
      <c r="A58" s="189" t="s">
        <v>225</v>
      </c>
      <c r="B58" s="234" t="s">
        <v>53</v>
      </c>
      <c r="C58" s="235" t="s">
        <v>182</v>
      </c>
      <c r="D58" s="205"/>
      <c r="E58" s="193"/>
      <c r="F58" s="193"/>
      <c r="G58" s="193"/>
      <c r="H58" s="193"/>
      <c r="I58" s="193"/>
      <c r="J58" s="193"/>
      <c r="K58" s="193"/>
      <c r="L58" s="194"/>
      <c r="M58" s="195"/>
      <c r="N58" s="193"/>
      <c r="O58" s="193"/>
      <c r="P58" s="193"/>
      <c r="Q58" s="193"/>
      <c r="R58" s="193"/>
      <c r="S58" s="196"/>
      <c r="T58" s="195"/>
      <c r="U58" s="193"/>
      <c r="V58" s="193"/>
      <c r="W58" s="193"/>
      <c r="X58" s="193"/>
      <c r="Y58" s="197"/>
      <c r="Z58" s="198"/>
      <c r="AA58" s="199"/>
      <c r="AB58" s="197"/>
      <c r="AC58" s="197"/>
      <c r="AD58" s="197"/>
      <c r="AE58" s="197"/>
      <c r="AF58" s="197"/>
      <c r="AG58" s="198"/>
      <c r="AH58" s="200"/>
      <c r="AI58" s="201"/>
      <c r="AJ58" s="197"/>
      <c r="AK58" s="197"/>
      <c r="AL58" s="197"/>
      <c r="AM58" s="197"/>
      <c r="AN58" s="202"/>
      <c r="AO58" s="195"/>
      <c r="AP58" s="193"/>
      <c r="AQ58" s="193"/>
      <c r="AR58" s="193"/>
      <c r="AS58" s="193"/>
      <c r="AT58" s="193"/>
      <c r="AU58" s="196"/>
      <c r="AV58" s="195"/>
      <c r="AW58" s="193"/>
      <c r="AX58" s="193"/>
      <c r="AY58" s="193"/>
      <c r="AZ58" s="193"/>
      <c r="BA58" s="193"/>
      <c r="BB58" s="196"/>
      <c r="BC58" s="195"/>
      <c r="BD58" s="193"/>
      <c r="BE58" s="193"/>
      <c r="BF58" s="193"/>
      <c r="BG58" s="193"/>
      <c r="BH58" s="193"/>
      <c r="BI58" s="196"/>
      <c r="BJ58" s="195"/>
      <c r="BK58" s="193"/>
      <c r="BL58" s="193"/>
      <c r="BM58" s="194"/>
      <c r="BN58" s="203"/>
      <c r="BO58" s="193"/>
      <c r="BP58" s="196"/>
      <c r="BQ58" s="195"/>
      <c r="BR58" s="204"/>
      <c r="BS58" s="193"/>
      <c r="BT58" s="193"/>
      <c r="BU58" s="193"/>
      <c r="BV58" s="193"/>
      <c r="BW58" s="196"/>
      <c r="BX58" s="205"/>
      <c r="BY58" s="193"/>
      <c r="BZ58" s="193"/>
      <c r="CA58" s="193"/>
      <c r="CB58" s="193"/>
      <c r="CC58" s="206"/>
      <c r="CD58" s="207"/>
      <c r="CE58" s="208"/>
      <c r="CF58" s="206"/>
      <c r="CG58" s="206"/>
      <c r="CH58" s="206"/>
      <c r="CI58" s="206"/>
      <c r="CJ58" s="209"/>
      <c r="CK58" s="210"/>
      <c r="CL58" s="228"/>
      <c r="CM58" s="185"/>
      <c r="CN58" s="185"/>
      <c r="CO58" s="229"/>
      <c r="CP58" s="230"/>
      <c r="CQ58" s="185"/>
      <c r="CR58" s="231"/>
      <c r="CS58" s="168"/>
      <c r="CT58" s="166"/>
      <c r="CU58" s="166"/>
      <c r="CV58" s="166"/>
      <c r="CW58" s="166"/>
      <c r="CX58" s="169"/>
      <c r="CY58" s="195"/>
      <c r="CZ58" s="193"/>
      <c r="DA58" s="193"/>
      <c r="DB58" s="193"/>
      <c r="DC58" s="193"/>
      <c r="DD58" s="193"/>
      <c r="DE58" s="196"/>
      <c r="DF58" s="211"/>
      <c r="DG58" s="193"/>
      <c r="DH58" s="193"/>
      <c r="DI58" s="193"/>
      <c r="DJ58" s="193"/>
      <c r="DK58" s="193"/>
      <c r="DL58" s="196"/>
      <c r="DM58" s="205"/>
      <c r="DN58" s="193"/>
      <c r="DO58" s="193"/>
      <c r="DP58" s="193"/>
      <c r="DQ58" s="193"/>
      <c r="DR58" s="193"/>
      <c r="DS58" s="212"/>
    </row>
    <row r="59" spans="1:16384" ht="14.5" outlineLevel="1" thickBot="1" x14ac:dyDescent="0.35">
      <c r="A59" s="189" t="s">
        <v>226</v>
      </c>
      <c r="B59" s="236" t="s">
        <v>24</v>
      </c>
      <c r="C59" s="235" t="s">
        <v>182</v>
      </c>
      <c r="D59" s="99"/>
      <c r="E59" s="84"/>
      <c r="F59" s="84"/>
      <c r="G59" s="84"/>
      <c r="H59" s="84"/>
      <c r="I59" s="84"/>
      <c r="J59" s="84"/>
      <c r="K59" s="84"/>
      <c r="L59" s="85"/>
      <c r="M59" s="86"/>
      <c r="N59" s="84"/>
      <c r="O59" s="84"/>
      <c r="P59" s="84"/>
      <c r="Q59" s="84"/>
      <c r="R59" s="84"/>
      <c r="S59" s="87"/>
      <c r="T59" s="86"/>
      <c r="U59" s="84"/>
      <c r="V59" s="84"/>
      <c r="W59" s="84"/>
      <c r="X59" s="84"/>
      <c r="Y59" s="88"/>
      <c r="Z59" s="89"/>
      <c r="AA59" s="90"/>
      <c r="AB59" s="88"/>
      <c r="AC59" s="88"/>
      <c r="AD59" s="88"/>
      <c r="AE59" s="88"/>
      <c r="AF59" s="88"/>
      <c r="AG59" s="89"/>
      <c r="AH59" s="91"/>
      <c r="AI59" s="92"/>
      <c r="AJ59" s="88"/>
      <c r="AK59" s="88"/>
      <c r="AL59" s="88"/>
      <c r="AM59" s="88"/>
      <c r="AN59" s="93"/>
      <c r="AO59" s="195"/>
      <c r="AP59" s="193"/>
      <c r="AQ59" s="193"/>
      <c r="AR59" s="193"/>
      <c r="AS59" s="193"/>
      <c r="AT59" s="193"/>
      <c r="AU59" s="196"/>
      <c r="AV59" s="195"/>
      <c r="AW59" s="193"/>
      <c r="AX59" s="193"/>
      <c r="AY59" s="193"/>
      <c r="AZ59" s="193"/>
      <c r="BA59" s="193"/>
      <c r="BB59" s="196"/>
      <c r="BC59" s="195"/>
      <c r="BD59" s="193"/>
      <c r="BE59" s="193"/>
      <c r="BF59" s="193"/>
      <c r="BG59" s="193"/>
      <c r="BH59" s="193"/>
      <c r="BI59" s="196"/>
      <c r="BJ59" s="195"/>
      <c r="BK59" s="193"/>
      <c r="BL59" s="193"/>
      <c r="BM59" s="194"/>
      <c r="BN59" s="203"/>
      <c r="BO59" s="193"/>
      <c r="BP59" s="196"/>
      <c r="BQ59" s="195"/>
      <c r="BR59" s="204"/>
      <c r="BS59" s="193"/>
      <c r="BT59" s="193"/>
      <c r="BU59" s="193"/>
      <c r="BV59" s="193"/>
      <c r="BW59" s="196"/>
      <c r="BX59" s="205"/>
      <c r="BY59" s="193"/>
      <c r="BZ59" s="193"/>
      <c r="CA59" s="193"/>
      <c r="CB59" s="193"/>
      <c r="CC59" s="206"/>
      <c r="CD59" s="207"/>
      <c r="CE59" s="192"/>
      <c r="CF59" s="192"/>
      <c r="CG59" s="192"/>
      <c r="CH59" s="192"/>
      <c r="CI59" s="192"/>
      <c r="CJ59" s="209"/>
      <c r="CK59" s="209"/>
      <c r="CL59" s="72"/>
      <c r="CM59" s="70"/>
      <c r="CN59" s="70"/>
      <c r="CO59" s="186"/>
      <c r="CP59" s="187"/>
      <c r="CQ59" s="70"/>
      <c r="CR59" s="71"/>
      <c r="CS59" s="168"/>
      <c r="CT59" s="166"/>
      <c r="CU59" s="166"/>
      <c r="CV59" s="166"/>
      <c r="CW59" s="166"/>
      <c r="CX59" s="169"/>
      <c r="CY59" s="168"/>
      <c r="CZ59" s="166"/>
      <c r="DA59" s="166"/>
      <c r="DB59" s="166"/>
      <c r="DC59" s="166"/>
      <c r="DD59" s="166"/>
      <c r="DE59" s="169"/>
      <c r="DF59" s="182"/>
      <c r="DG59" s="166"/>
      <c r="DH59" s="166"/>
      <c r="DI59" s="166"/>
      <c r="DJ59" s="166"/>
      <c r="DK59" s="166"/>
      <c r="DL59" s="169"/>
      <c r="DM59" s="178"/>
      <c r="DN59" s="166"/>
      <c r="DO59" s="166"/>
      <c r="DP59" s="166"/>
      <c r="DQ59" s="166"/>
      <c r="DR59" s="166"/>
      <c r="DS59" s="183"/>
    </row>
    <row r="60" spans="1:16384" ht="14" outlineLevel="1" x14ac:dyDescent="0.3">
      <c r="A60" s="243" t="s">
        <v>313</v>
      </c>
      <c r="B60" s="312"/>
      <c r="C60" s="312"/>
      <c r="D60" s="213"/>
      <c r="E60" s="193"/>
      <c r="F60" s="193"/>
      <c r="G60" s="193"/>
      <c r="H60" s="193"/>
      <c r="I60" s="193"/>
      <c r="J60" s="193"/>
      <c r="K60" s="193"/>
      <c r="L60" s="194"/>
      <c r="M60" s="195"/>
      <c r="N60" s="193"/>
      <c r="O60" s="193"/>
      <c r="P60" s="193"/>
      <c r="Q60" s="193"/>
      <c r="R60" s="193"/>
      <c r="S60" s="196"/>
      <c r="T60" s="195"/>
      <c r="U60" s="193"/>
      <c r="V60" s="193"/>
      <c r="W60" s="193"/>
      <c r="X60" s="193"/>
      <c r="Y60" s="197"/>
      <c r="Z60" s="198"/>
      <c r="AA60" s="199"/>
      <c r="AB60" s="197"/>
      <c r="AC60" s="197"/>
      <c r="AD60" s="197"/>
      <c r="AE60" s="197"/>
      <c r="AF60" s="197"/>
      <c r="AG60" s="198"/>
      <c r="AH60" s="200"/>
      <c r="AI60" s="201"/>
      <c r="AJ60" s="197"/>
      <c r="AK60" s="197"/>
      <c r="AL60" s="197"/>
      <c r="AM60" s="197"/>
      <c r="AN60" s="202"/>
      <c r="AO60" s="195"/>
      <c r="AP60" s="193"/>
      <c r="AQ60" s="193"/>
      <c r="AR60" s="193"/>
      <c r="AS60" s="193"/>
      <c r="AT60" s="193"/>
      <c r="AU60" s="196"/>
      <c r="AV60" s="195"/>
      <c r="AW60" s="193"/>
      <c r="AX60" s="193"/>
      <c r="AY60" s="193"/>
      <c r="AZ60" s="193"/>
      <c r="BA60" s="193"/>
      <c r="BB60" s="196"/>
      <c r="BC60" s="195"/>
      <c r="BD60" s="193"/>
      <c r="BE60" s="193"/>
      <c r="BF60" s="193"/>
      <c r="BG60" s="193"/>
      <c r="BH60" s="193"/>
      <c r="BI60" s="196"/>
      <c r="BJ60" s="195"/>
      <c r="BK60" s="193"/>
      <c r="BL60" s="193"/>
      <c r="BM60" s="194"/>
      <c r="BN60" s="203"/>
      <c r="BO60" s="193"/>
      <c r="BP60" s="196"/>
      <c r="BQ60" s="195"/>
      <c r="BR60" s="204"/>
      <c r="BS60" s="193"/>
      <c r="BT60" s="193"/>
      <c r="BU60" s="193"/>
      <c r="BV60" s="193"/>
      <c r="BW60" s="196"/>
      <c r="BX60" s="205"/>
      <c r="BY60" s="193"/>
      <c r="BZ60" s="193"/>
      <c r="CA60" s="193"/>
      <c r="CB60" s="193"/>
      <c r="CC60" s="206"/>
      <c r="CD60" s="207"/>
      <c r="CE60" s="192"/>
      <c r="CF60" s="192"/>
      <c r="CG60" s="192"/>
      <c r="CH60" s="192"/>
      <c r="CI60" s="192"/>
      <c r="CJ60" s="209"/>
      <c r="CK60" s="209"/>
      <c r="CL60" s="72"/>
      <c r="CM60" s="70"/>
      <c r="CN60" s="70"/>
      <c r="CO60" s="186"/>
      <c r="CP60" s="187"/>
      <c r="CQ60" s="70"/>
      <c r="CR60" s="71"/>
      <c r="CS60" s="168"/>
      <c r="CT60" s="166"/>
      <c r="CU60" s="166"/>
      <c r="CV60" s="166"/>
      <c r="CW60" s="166"/>
      <c r="CX60" s="169"/>
      <c r="CY60" s="168"/>
      <c r="CZ60" s="166"/>
      <c r="DA60" s="166"/>
      <c r="DB60" s="166"/>
      <c r="DC60" s="166"/>
      <c r="DD60" s="166"/>
      <c r="DE60" s="169"/>
      <c r="DF60" s="182"/>
      <c r="DG60" s="166"/>
      <c r="DH60" s="166"/>
      <c r="DI60" s="166"/>
      <c r="DJ60" s="166"/>
      <c r="DK60" s="166"/>
      <c r="DL60" s="169"/>
      <c r="DM60" s="178"/>
      <c r="DN60" s="166"/>
      <c r="DO60" s="166"/>
      <c r="DP60" s="166"/>
      <c r="DQ60" s="166"/>
      <c r="DR60" s="166"/>
      <c r="DS60" s="183"/>
    </row>
    <row r="61" spans="1:16384" ht="14" outlineLevel="1" x14ac:dyDescent="0.3">
      <c r="A61" s="402" t="s">
        <v>314</v>
      </c>
      <c r="B61" s="236" t="s">
        <v>12</v>
      </c>
      <c r="C61" s="52" t="s">
        <v>179</v>
      </c>
      <c r="D61" s="205"/>
      <c r="E61" s="193"/>
      <c r="F61" s="193"/>
      <c r="G61" s="193"/>
      <c r="H61" s="193"/>
      <c r="I61" s="193"/>
      <c r="J61" s="193"/>
      <c r="K61" s="193"/>
      <c r="L61" s="194"/>
      <c r="M61" s="195"/>
      <c r="N61" s="193"/>
      <c r="O61" s="193"/>
      <c r="P61" s="193"/>
      <c r="Q61" s="193"/>
      <c r="R61" s="193"/>
      <c r="S61" s="196"/>
      <c r="T61" s="195"/>
      <c r="U61" s="193"/>
      <c r="V61" s="193"/>
      <c r="W61" s="193"/>
      <c r="X61" s="193"/>
      <c r="Y61" s="197"/>
      <c r="Z61" s="198"/>
      <c r="AA61" s="199"/>
      <c r="AB61" s="197"/>
      <c r="AC61" s="197"/>
      <c r="AD61" s="197"/>
      <c r="AE61" s="197"/>
      <c r="AF61" s="197"/>
      <c r="AG61" s="198"/>
      <c r="AH61" s="200"/>
      <c r="AI61" s="201"/>
      <c r="AJ61" s="197"/>
      <c r="AK61" s="197"/>
      <c r="AL61" s="197"/>
      <c r="AM61" s="197"/>
      <c r="AN61" s="202"/>
      <c r="AO61" s="195"/>
      <c r="AP61" s="193"/>
      <c r="AQ61" s="193"/>
      <c r="AR61" s="193"/>
      <c r="AS61" s="193"/>
      <c r="AT61" s="193"/>
      <c r="AU61" s="196"/>
      <c r="AV61" s="195"/>
      <c r="AW61" s="193"/>
      <c r="AX61" s="193"/>
      <c r="AY61" s="193"/>
      <c r="AZ61" s="193"/>
      <c r="BA61" s="193"/>
      <c r="BB61" s="196"/>
      <c r="BC61" s="215"/>
      <c r="BD61" s="192"/>
      <c r="BE61" s="192"/>
      <c r="BF61" s="192"/>
      <c r="BG61" s="192"/>
      <c r="BH61" s="192"/>
      <c r="BI61" s="216"/>
      <c r="BJ61" s="195"/>
      <c r="BK61" s="193"/>
      <c r="BL61" s="193"/>
      <c r="BM61" s="194"/>
      <c r="BN61" s="203"/>
      <c r="BO61" s="193"/>
      <c r="BP61" s="196"/>
      <c r="BQ61" s="195"/>
      <c r="BR61" s="204"/>
      <c r="BS61" s="193"/>
      <c r="BT61" s="193"/>
      <c r="BU61" s="193"/>
      <c r="BV61" s="193"/>
      <c r="BW61" s="196"/>
      <c r="BX61" s="205"/>
      <c r="BY61" s="193"/>
      <c r="BZ61" s="193"/>
      <c r="CA61" s="193"/>
      <c r="CB61" s="193"/>
      <c r="CC61" s="206"/>
      <c r="CD61" s="207"/>
      <c r="CE61" s="239"/>
      <c r="CF61" s="240"/>
      <c r="CG61" s="240"/>
      <c r="CH61" s="240"/>
      <c r="CI61" s="240"/>
      <c r="CJ61" s="240"/>
      <c r="CK61" s="241"/>
      <c r="CL61" s="168"/>
      <c r="CM61" s="166"/>
      <c r="CN61" s="166"/>
      <c r="CO61" s="242"/>
      <c r="CP61" s="178"/>
      <c r="CQ61" s="166"/>
      <c r="CR61" s="169"/>
      <c r="CS61" s="168"/>
      <c r="CT61" s="166"/>
      <c r="CU61" s="166"/>
      <c r="CV61" s="166"/>
      <c r="CW61" s="166"/>
      <c r="CX61" s="169"/>
      <c r="CY61" s="168"/>
      <c r="CZ61" s="166"/>
      <c r="DA61" s="166"/>
      <c r="DB61" s="166"/>
      <c r="DC61" s="166"/>
      <c r="DD61" s="166"/>
      <c r="DE61" s="169"/>
      <c r="DF61" s="182"/>
      <c r="DG61" s="166"/>
      <c r="DH61" s="166"/>
      <c r="DI61" s="166"/>
      <c r="DJ61" s="166"/>
      <c r="DK61" s="166"/>
      <c r="DL61" s="169"/>
      <c r="DM61" s="178"/>
      <c r="DN61" s="166"/>
      <c r="DO61" s="166"/>
      <c r="DP61" s="166"/>
      <c r="DQ61" s="166"/>
      <c r="DR61" s="166"/>
      <c r="DS61" s="183"/>
    </row>
    <row r="62" spans="1:16384" ht="14" outlineLevel="1" x14ac:dyDescent="0.3">
      <c r="A62" s="402" t="s">
        <v>315</v>
      </c>
      <c r="B62" s="236" t="s">
        <v>12</v>
      </c>
      <c r="C62" s="52" t="s">
        <v>179</v>
      </c>
      <c r="D62" s="205"/>
      <c r="E62" s="193"/>
      <c r="F62" s="193"/>
      <c r="G62" s="193"/>
      <c r="H62" s="193"/>
      <c r="I62" s="193"/>
      <c r="J62" s="193"/>
      <c r="K62" s="193"/>
      <c r="L62" s="194"/>
      <c r="M62" s="195"/>
      <c r="N62" s="193"/>
      <c r="O62" s="193"/>
      <c r="P62" s="193"/>
      <c r="Q62" s="193"/>
      <c r="R62" s="193"/>
      <c r="S62" s="196"/>
      <c r="T62" s="195"/>
      <c r="U62" s="193"/>
      <c r="V62" s="193"/>
      <c r="W62" s="193"/>
      <c r="X62" s="193"/>
      <c r="Y62" s="197"/>
      <c r="Z62" s="198"/>
      <c r="AA62" s="199"/>
      <c r="AB62" s="197"/>
      <c r="AC62" s="197"/>
      <c r="AD62" s="197"/>
      <c r="AE62" s="197"/>
      <c r="AF62" s="197"/>
      <c r="AG62" s="198"/>
      <c r="AH62" s="200"/>
      <c r="AI62" s="201"/>
      <c r="AJ62" s="197"/>
      <c r="AK62" s="197"/>
      <c r="AL62" s="197"/>
      <c r="AM62" s="197"/>
      <c r="AN62" s="202"/>
      <c r="AO62" s="195"/>
      <c r="AP62" s="193"/>
      <c r="AQ62" s="193"/>
      <c r="AR62" s="193"/>
      <c r="AS62" s="193"/>
      <c r="AT62" s="193"/>
      <c r="AU62" s="196"/>
      <c r="AV62" s="195"/>
      <c r="AW62" s="193"/>
      <c r="AX62" s="193"/>
      <c r="AY62" s="193"/>
      <c r="AZ62" s="193"/>
      <c r="BA62" s="193"/>
      <c r="BB62" s="196"/>
      <c r="BC62" s="215"/>
      <c r="BD62" s="192"/>
      <c r="BE62" s="192"/>
      <c r="BF62" s="192"/>
      <c r="BG62" s="192"/>
      <c r="BH62" s="192"/>
      <c r="BI62" s="216"/>
      <c r="BJ62" s="195"/>
      <c r="BK62" s="193"/>
      <c r="BL62" s="193"/>
      <c r="BM62" s="194"/>
      <c r="BN62" s="203"/>
      <c r="BO62" s="193"/>
      <c r="BP62" s="196"/>
      <c r="BQ62" s="195"/>
      <c r="BR62" s="204"/>
      <c r="BS62" s="193"/>
      <c r="BT62" s="193"/>
      <c r="BU62" s="193"/>
      <c r="BV62" s="193"/>
      <c r="BW62" s="196"/>
      <c r="BX62" s="205"/>
      <c r="BY62" s="193"/>
      <c r="BZ62" s="193"/>
      <c r="CA62" s="193"/>
      <c r="CB62" s="193"/>
      <c r="CC62" s="206"/>
      <c r="CD62" s="207"/>
      <c r="CE62" s="181"/>
      <c r="CF62" s="179"/>
      <c r="CG62" s="179"/>
      <c r="CH62" s="179"/>
      <c r="CI62" s="179"/>
      <c r="CJ62" s="179"/>
      <c r="CK62" s="180"/>
      <c r="CL62" s="168"/>
      <c r="CM62" s="166"/>
      <c r="CN62" s="166"/>
      <c r="CO62" s="242"/>
      <c r="CP62" s="178"/>
      <c r="CQ62" s="166"/>
      <c r="CR62" s="169"/>
      <c r="CS62" s="168"/>
      <c r="CT62" s="166"/>
      <c r="CU62" s="166"/>
      <c r="CV62" s="166"/>
      <c r="CW62" s="166"/>
      <c r="CX62" s="169"/>
      <c r="CY62" s="168"/>
      <c r="CZ62" s="166"/>
      <c r="DA62" s="166"/>
      <c r="DB62" s="166"/>
      <c r="DC62" s="166"/>
      <c r="DD62" s="166"/>
      <c r="DE62" s="169"/>
      <c r="DF62" s="182"/>
      <c r="DG62" s="166"/>
      <c r="DH62" s="166"/>
      <c r="DI62" s="166"/>
      <c r="DJ62" s="166"/>
      <c r="DK62" s="166"/>
      <c r="DL62" s="169"/>
      <c r="DM62" s="178"/>
      <c r="DN62" s="166"/>
      <c r="DO62" s="166"/>
      <c r="DP62" s="166"/>
      <c r="DQ62" s="166"/>
      <c r="DR62" s="166"/>
      <c r="DS62" s="183"/>
    </row>
    <row r="63" spans="1:16384" ht="14" outlineLevel="1" x14ac:dyDescent="0.3">
      <c r="A63" s="402" t="s">
        <v>318</v>
      </c>
      <c r="B63" s="236" t="s">
        <v>12</v>
      </c>
      <c r="C63" s="52" t="s">
        <v>179</v>
      </c>
      <c r="D63" s="205"/>
      <c r="E63" s="193"/>
      <c r="F63" s="193"/>
      <c r="G63" s="193"/>
      <c r="H63" s="193"/>
      <c r="I63" s="193"/>
      <c r="J63" s="193"/>
      <c r="K63" s="193"/>
      <c r="L63" s="194"/>
      <c r="M63" s="195"/>
      <c r="N63" s="193"/>
      <c r="O63" s="193"/>
      <c r="P63" s="193"/>
      <c r="Q63" s="193"/>
      <c r="R63" s="193"/>
      <c r="S63" s="196"/>
      <c r="T63" s="195"/>
      <c r="U63" s="193"/>
      <c r="V63" s="193"/>
      <c r="W63" s="193"/>
      <c r="X63" s="193"/>
      <c r="Y63" s="197"/>
      <c r="Z63" s="198"/>
      <c r="AA63" s="199"/>
      <c r="AB63" s="197"/>
      <c r="AC63" s="197"/>
      <c r="AD63" s="197"/>
      <c r="AE63" s="197"/>
      <c r="AF63" s="197"/>
      <c r="AG63" s="198"/>
      <c r="AH63" s="200"/>
      <c r="AI63" s="201"/>
      <c r="AJ63" s="197"/>
      <c r="AK63" s="197"/>
      <c r="AL63" s="197"/>
      <c r="AM63" s="197"/>
      <c r="AN63" s="202"/>
      <c r="AO63" s="195"/>
      <c r="AP63" s="193"/>
      <c r="AQ63" s="193"/>
      <c r="AR63" s="193"/>
      <c r="AS63" s="193"/>
      <c r="AT63" s="193"/>
      <c r="AU63" s="196"/>
      <c r="AV63" s="195"/>
      <c r="AW63" s="193"/>
      <c r="AX63" s="193"/>
      <c r="AY63" s="193"/>
      <c r="AZ63" s="193"/>
      <c r="BA63" s="193"/>
      <c r="BB63" s="196"/>
      <c r="BC63" s="195"/>
      <c r="BD63" s="193"/>
      <c r="BE63" s="193"/>
      <c r="BF63" s="193"/>
      <c r="BG63" s="193"/>
      <c r="BH63" s="193"/>
      <c r="BI63" s="196"/>
      <c r="BJ63" s="215"/>
      <c r="BK63" s="192"/>
      <c r="BL63" s="192"/>
      <c r="BM63" s="403"/>
      <c r="BN63" s="223"/>
      <c r="BO63" s="192"/>
      <c r="BP63" s="216"/>
      <c r="BQ63" s="195"/>
      <c r="BR63" s="204"/>
      <c r="BS63" s="193"/>
      <c r="BT63" s="193"/>
      <c r="BU63" s="193"/>
      <c r="BV63" s="193"/>
      <c r="BW63" s="196"/>
      <c r="BX63" s="205"/>
      <c r="BY63" s="193"/>
      <c r="BZ63" s="193"/>
      <c r="CA63" s="193"/>
      <c r="CB63" s="193"/>
      <c r="CC63" s="206"/>
      <c r="CD63" s="207"/>
      <c r="CE63" s="181"/>
      <c r="CF63" s="179"/>
      <c r="CG63" s="179"/>
      <c r="CH63" s="179"/>
      <c r="CI63" s="179"/>
      <c r="CJ63" s="179"/>
      <c r="CK63" s="180"/>
      <c r="CL63" s="168"/>
      <c r="CM63" s="166"/>
      <c r="CN63" s="166"/>
      <c r="CO63" s="242"/>
      <c r="CP63" s="178"/>
      <c r="CQ63" s="166"/>
      <c r="CR63" s="169"/>
      <c r="CS63" s="168"/>
      <c r="CT63" s="166"/>
      <c r="CU63" s="166"/>
      <c r="CV63" s="166"/>
      <c r="CW63" s="166"/>
      <c r="CX63" s="169"/>
      <c r="CY63" s="168"/>
      <c r="CZ63" s="166"/>
      <c r="DA63" s="166"/>
      <c r="DB63" s="166"/>
      <c r="DC63" s="166"/>
      <c r="DD63" s="166"/>
      <c r="DE63" s="169"/>
      <c r="DF63" s="182"/>
      <c r="DG63" s="166"/>
      <c r="DH63" s="166"/>
      <c r="DI63" s="166"/>
      <c r="DJ63" s="166"/>
      <c r="DK63" s="166"/>
      <c r="DL63" s="169"/>
      <c r="DM63" s="178"/>
      <c r="DN63" s="166"/>
      <c r="DO63" s="166"/>
      <c r="DP63" s="166"/>
      <c r="DQ63" s="166"/>
      <c r="DR63" s="166"/>
      <c r="DS63" s="183"/>
    </row>
    <row r="64" spans="1:16384" ht="14" outlineLevel="1" x14ac:dyDescent="0.3">
      <c r="A64" s="402" t="s">
        <v>314</v>
      </c>
      <c r="B64" s="236" t="s">
        <v>12</v>
      </c>
      <c r="C64" s="52" t="s">
        <v>179</v>
      </c>
      <c r="D64" s="404"/>
      <c r="E64" s="404"/>
      <c r="F64" s="404"/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4"/>
      <c r="R64" s="404"/>
      <c r="S64" s="404"/>
      <c r="T64" s="404"/>
      <c r="U64" s="404"/>
      <c r="V64" s="404"/>
      <c r="W64" s="404"/>
      <c r="X64" s="404"/>
      <c r="Y64" s="404"/>
      <c r="Z64" s="404"/>
      <c r="AA64" s="404"/>
      <c r="AB64" s="404"/>
      <c r="AC64" s="404"/>
      <c r="AD64" s="404"/>
      <c r="AE64" s="404"/>
      <c r="AF64" s="404"/>
      <c r="AG64" s="404"/>
      <c r="AH64" s="404"/>
      <c r="AI64" s="404"/>
      <c r="AJ64" s="404"/>
      <c r="AK64" s="404"/>
      <c r="AL64" s="404"/>
      <c r="AM64" s="404"/>
      <c r="AN64" s="404"/>
      <c r="AO64" s="195"/>
      <c r="AP64" s="193"/>
      <c r="AQ64" s="193"/>
      <c r="AR64" s="193"/>
      <c r="AS64" s="193"/>
      <c r="AT64" s="193"/>
      <c r="AU64" s="196"/>
      <c r="AV64" s="195"/>
      <c r="AW64" s="193"/>
      <c r="AX64" s="193"/>
      <c r="AY64" s="193"/>
      <c r="AZ64" s="193"/>
      <c r="BA64" s="193"/>
      <c r="BB64" s="196"/>
      <c r="BC64" s="195"/>
      <c r="BD64" s="193"/>
      <c r="BE64" s="193"/>
      <c r="BF64" s="193"/>
      <c r="BG64" s="193"/>
      <c r="BH64" s="193"/>
      <c r="BI64" s="196"/>
      <c r="BJ64" s="195"/>
      <c r="BK64" s="193"/>
      <c r="BL64" s="193"/>
      <c r="BM64" s="194"/>
      <c r="BN64" s="203"/>
      <c r="BO64" s="193"/>
      <c r="BP64" s="196"/>
      <c r="BQ64" s="195"/>
      <c r="BR64" s="192"/>
      <c r="BS64" s="192"/>
      <c r="BT64" s="217"/>
      <c r="BU64" s="192"/>
      <c r="BV64" s="193"/>
      <c r="BW64" s="196"/>
      <c r="BX64" s="205"/>
      <c r="BY64" s="193"/>
      <c r="BZ64" s="193"/>
      <c r="CA64" s="193"/>
      <c r="CB64" s="193"/>
      <c r="CC64" s="206"/>
      <c r="CD64" s="207"/>
      <c r="CE64" s="181"/>
      <c r="CF64" s="179"/>
      <c r="CG64" s="179"/>
      <c r="CH64" s="179"/>
      <c r="CI64" s="179"/>
      <c r="CJ64" s="179"/>
      <c r="CK64" s="180"/>
      <c r="CL64" s="168"/>
      <c r="CM64" s="166"/>
      <c r="CN64" s="166"/>
      <c r="CO64" s="242"/>
      <c r="CP64" s="178"/>
      <c r="CQ64" s="166"/>
      <c r="CR64" s="169"/>
      <c r="CS64" s="168"/>
      <c r="CT64" s="166"/>
      <c r="CU64" s="166"/>
      <c r="CV64" s="166"/>
      <c r="CW64" s="166"/>
      <c r="CX64" s="169"/>
      <c r="CY64" s="168"/>
      <c r="CZ64" s="166"/>
      <c r="DA64" s="166"/>
      <c r="DB64" s="166"/>
      <c r="DC64" s="166"/>
      <c r="DD64" s="166"/>
      <c r="DE64" s="169"/>
      <c r="DF64" s="182"/>
      <c r="DG64" s="166"/>
      <c r="DH64" s="166"/>
      <c r="DI64" s="166"/>
      <c r="DJ64" s="166"/>
      <c r="DK64" s="166"/>
      <c r="DL64" s="169"/>
      <c r="DM64" s="178"/>
      <c r="DN64" s="166"/>
      <c r="DO64" s="166"/>
      <c r="DP64" s="166"/>
      <c r="DQ64" s="166"/>
      <c r="DR64" s="166"/>
      <c r="DS64" s="183"/>
      <c r="DT64" s="404"/>
      <c r="DU64" s="404"/>
      <c r="DV64" s="404"/>
      <c r="DW64" s="404"/>
      <c r="DX64" s="404"/>
      <c r="DY64" s="404"/>
      <c r="DZ64" s="404"/>
      <c r="EA64" s="404"/>
      <c r="EB64" s="404"/>
      <c r="EC64" s="404"/>
      <c r="ED64" s="404"/>
      <c r="EE64" s="404"/>
      <c r="EF64" s="404"/>
      <c r="EG64" s="404"/>
      <c r="EH64" s="404"/>
      <c r="EI64" s="404"/>
      <c r="EJ64" s="404"/>
      <c r="EK64" s="404"/>
      <c r="EL64" s="404"/>
      <c r="EM64" s="404"/>
      <c r="EN64" s="404"/>
      <c r="EO64" s="404"/>
      <c r="EP64" s="404"/>
      <c r="EQ64" s="404"/>
      <c r="ER64" s="404"/>
      <c r="ES64" s="404"/>
      <c r="ET64" s="404"/>
      <c r="EU64" s="404"/>
      <c r="EV64" s="404"/>
      <c r="EW64" s="404"/>
      <c r="EX64" s="404"/>
      <c r="EY64" s="404"/>
      <c r="EZ64" s="404"/>
      <c r="FA64" s="404"/>
      <c r="FB64" s="404"/>
      <c r="FC64" s="404"/>
      <c r="FD64" s="404"/>
      <c r="FE64" s="404"/>
      <c r="FF64" s="404"/>
      <c r="FG64" s="404"/>
      <c r="FH64" s="404"/>
      <c r="FI64" s="404"/>
      <c r="FJ64" s="404"/>
      <c r="FK64" s="404"/>
      <c r="FL64" s="404"/>
      <c r="FM64" s="404"/>
      <c r="FN64" s="404"/>
      <c r="FO64" s="404"/>
      <c r="FP64" s="404"/>
      <c r="FQ64" s="404"/>
      <c r="FR64" s="404"/>
      <c r="FS64" s="404"/>
      <c r="FT64" s="404"/>
      <c r="FU64" s="404"/>
      <c r="FV64" s="404"/>
      <c r="FW64" s="404"/>
      <c r="FX64" s="404"/>
      <c r="FY64" s="404"/>
      <c r="FZ64" s="404"/>
      <c r="GA64" s="404"/>
      <c r="GB64" s="404"/>
      <c r="GC64" s="404"/>
      <c r="GD64" s="404"/>
      <c r="GE64" s="404"/>
      <c r="GF64" s="404"/>
      <c r="GG64" s="404"/>
      <c r="GH64" s="404"/>
      <c r="GI64" s="404"/>
      <c r="GJ64" s="404"/>
      <c r="GK64" s="404"/>
      <c r="GL64" s="404"/>
      <c r="GM64" s="404"/>
      <c r="GN64" s="404"/>
      <c r="GO64" s="404"/>
      <c r="GP64" s="404"/>
      <c r="GQ64" s="404"/>
      <c r="GR64" s="404"/>
      <c r="GS64" s="404"/>
      <c r="GT64" s="404"/>
      <c r="GU64" s="404"/>
      <c r="GV64" s="404"/>
      <c r="GW64" s="404"/>
      <c r="GX64" s="404"/>
      <c r="GY64" s="404"/>
      <c r="GZ64" s="404"/>
      <c r="HA64" s="404"/>
      <c r="HB64" s="404"/>
      <c r="HC64" s="404"/>
      <c r="HD64" s="404"/>
      <c r="HE64" s="404"/>
      <c r="HF64" s="404"/>
      <c r="HG64" s="404"/>
      <c r="HH64" s="404"/>
      <c r="HI64" s="404"/>
      <c r="HJ64" s="404"/>
      <c r="HK64" s="404"/>
      <c r="HL64" s="404"/>
      <c r="HM64" s="404"/>
      <c r="HN64" s="404"/>
      <c r="HO64" s="404"/>
      <c r="HP64" s="404"/>
      <c r="HQ64" s="404"/>
      <c r="HR64" s="404"/>
      <c r="HS64" s="404"/>
      <c r="HT64" s="404"/>
      <c r="HU64" s="404"/>
      <c r="HV64" s="404"/>
      <c r="HW64" s="404"/>
      <c r="HX64" s="404"/>
      <c r="HY64" s="404"/>
      <c r="HZ64" s="404"/>
      <c r="IA64" s="404"/>
      <c r="IB64" s="404"/>
      <c r="IC64" s="404"/>
      <c r="ID64" s="404"/>
      <c r="IE64" s="404"/>
      <c r="IF64" s="404"/>
      <c r="IG64" s="404"/>
      <c r="IH64" s="404"/>
      <c r="II64" s="404"/>
      <c r="IJ64" s="404"/>
      <c r="IK64" s="404"/>
      <c r="IL64" s="404"/>
      <c r="IM64" s="404"/>
      <c r="IN64" s="404"/>
      <c r="IO64" s="404"/>
      <c r="IP64" s="404"/>
      <c r="IQ64" s="404"/>
      <c r="IR64" s="404"/>
      <c r="IS64" s="404"/>
      <c r="IT64" s="404"/>
      <c r="IU64" s="404"/>
      <c r="IV64" s="404"/>
      <c r="IW64" s="404"/>
      <c r="IX64" s="404"/>
      <c r="IY64" s="404"/>
      <c r="IZ64" s="404"/>
      <c r="JA64" s="404"/>
      <c r="JB64" s="404"/>
      <c r="JC64" s="404"/>
      <c r="JD64" s="404"/>
      <c r="JE64" s="404"/>
      <c r="JF64" s="404"/>
      <c r="JG64" s="404"/>
      <c r="JH64" s="404"/>
      <c r="JI64" s="404"/>
      <c r="JJ64" s="404"/>
      <c r="JK64" s="404"/>
      <c r="JL64" s="404"/>
      <c r="JM64" s="404"/>
      <c r="JN64" s="404"/>
      <c r="JO64" s="404"/>
      <c r="JP64" s="404"/>
      <c r="JQ64" s="404"/>
      <c r="JR64" s="404"/>
      <c r="JS64" s="404"/>
      <c r="JT64" s="404"/>
      <c r="JU64" s="404"/>
      <c r="JV64" s="404"/>
      <c r="JW64" s="404"/>
      <c r="JX64" s="404"/>
      <c r="JY64" s="404"/>
      <c r="JZ64" s="404"/>
      <c r="KA64" s="404"/>
      <c r="KB64" s="404"/>
      <c r="KC64" s="404"/>
      <c r="KD64" s="404"/>
      <c r="KE64" s="404"/>
      <c r="KF64" s="404"/>
      <c r="KG64" s="404"/>
      <c r="KH64" s="404"/>
      <c r="KI64" s="404"/>
      <c r="KJ64" s="404"/>
      <c r="KK64" s="404"/>
      <c r="KL64" s="404"/>
      <c r="KM64" s="404"/>
      <c r="KN64" s="404"/>
      <c r="KO64" s="404"/>
      <c r="KP64" s="404"/>
      <c r="KQ64" s="404"/>
      <c r="KR64" s="404"/>
      <c r="KS64" s="404"/>
      <c r="KT64" s="404"/>
      <c r="KU64" s="404"/>
      <c r="KV64" s="404"/>
      <c r="KW64" s="404"/>
      <c r="KX64" s="404"/>
      <c r="KY64" s="404"/>
      <c r="KZ64" s="404"/>
      <c r="LA64" s="404"/>
      <c r="LB64" s="404"/>
      <c r="LC64" s="404"/>
      <c r="LD64" s="404"/>
      <c r="LE64" s="404"/>
      <c r="LF64" s="404"/>
      <c r="LG64" s="404"/>
      <c r="LH64" s="404"/>
      <c r="LI64" s="404"/>
      <c r="LJ64" s="404"/>
      <c r="LK64" s="404"/>
      <c r="LL64" s="404"/>
      <c r="LM64" s="404"/>
      <c r="LN64" s="404"/>
      <c r="LO64" s="404"/>
      <c r="LP64" s="404"/>
      <c r="LQ64" s="404"/>
      <c r="LR64" s="404"/>
      <c r="LS64" s="404"/>
      <c r="LT64" s="404"/>
      <c r="LU64" s="404"/>
      <c r="LV64" s="404"/>
      <c r="LW64" s="404"/>
      <c r="LX64" s="404"/>
      <c r="LY64" s="404"/>
      <c r="LZ64" s="404"/>
      <c r="MA64" s="404"/>
      <c r="MB64" s="404"/>
      <c r="MC64" s="404"/>
      <c r="MD64" s="404"/>
      <c r="ME64" s="404"/>
      <c r="MF64" s="404"/>
      <c r="MG64" s="404"/>
      <c r="MH64" s="404"/>
      <c r="MI64" s="404"/>
      <c r="MJ64" s="404"/>
      <c r="MK64" s="404"/>
      <c r="ML64" s="404"/>
      <c r="MM64" s="404"/>
      <c r="MN64" s="404"/>
      <c r="MO64" s="404"/>
      <c r="MP64" s="404"/>
      <c r="MQ64" s="404"/>
      <c r="MR64" s="404"/>
      <c r="MS64" s="404"/>
      <c r="MT64" s="404"/>
      <c r="MU64" s="404"/>
      <c r="MV64" s="404"/>
      <c r="MW64" s="404"/>
      <c r="MX64" s="404"/>
      <c r="MY64" s="404"/>
      <c r="MZ64" s="404"/>
      <c r="NA64" s="404"/>
      <c r="NB64" s="404"/>
      <c r="NC64" s="404"/>
      <c r="ND64" s="404"/>
      <c r="NE64" s="404"/>
      <c r="NF64" s="404"/>
      <c r="NG64" s="404"/>
      <c r="NH64" s="404"/>
      <c r="NI64" s="404"/>
      <c r="NJ64" s="404"/>
      <c r="NK64" s="404"/>
      <c r="NL64" s="404"/>
      <c r="NM64" s="404"/>
      <c r="NN64" s="404"/>
      <c r="NO64" s="404"/>
      <c r="NP64" s="404"/>
      <c r="NQ64" s="404"/>
      <c r="NR64" s="404"/>
      <c r="NS64" s="404"/>
      <c r="NT64" s="404"/>
      <c r="NU64" s="404"/>
      <c r="NV64" s="404"/>
      <c r="NW64" s="404"/>
      <c r="NX64" s="404"/>
      <c r="NY64" s="404"/>
      <c r="NZ64" s="404"/>
      <c r="OA64" s="404"/>
      <c r="OB64" s="404"/>
      <c r="OC64" s="404"/>
      <c r="OD64" s="404"/>
      <c r="OE64" s="404"/>
      <c r="OF64" s="404"/>
      <c r="OG64" s="404"/>
      <c r="OH64" s="404"/>
      <c r="OI64" s="404"/>
      <c r="OJ64" s="404"/>
      <c r="OK64" s="404"/>
      <c r="OL64" s="404"/>
      <c r="OM64" s="404"/>
      <c r="ON64" s="404"/>
      <c r="OO64" s="404"/>
      <c r="OP64" s="404"/>
      <c r="OQ64" s="404"/>
      <c r="OR64" s="404"/>
      <c r="OS64" s="404"/>
      <c r="OT64" s="404"/>
      <c r="OU64" s="404"/>
      <c r="OV64" s="404"/>
      <c r="OW64" s="404"/>
      <c r="OX64" s="404"/>
      <c r="OY64" s="404"/>
      <c r="OZ64" s="404"/>
      <c r="PA64" s="404"/>
      <c r="PB64" s="404"/>
      <c r="PC64" s="404"/>
      <c r="PD64" s="404"/>
      <c r="PE64" s="404"/>
      <c r="PF64" s="404"/>
      <c r="PG64" s="404"/>
      <c r="PH64" s="404"/>
      <c r="PI64" s="404"/>
      <c r="PJ64" s="404"/>
      <c r="PK64" s="404"/>
      <c r="PL64" s="404"/>
      <c r="PM64" s="404"/>
      <c r="PN64" s="404"/>
      <c r="PO64" s="404"/>
      <c r="PP64" s="404"/>
      <c r="PQ64" s="404"/>
      <c r="PR64" s="404"/>
      <c r="PS64" s="404"/>
      <c r="PT64" s="404"/>
      <c r="PU64" s="404"/>
      <c r="PV64" s="404"/>
      <c r="PW64" s="404"/>
      <c r="PX64" s="404"/>
      <c r="PY64" s="404"/>
      <c r="PZ64" s="404"/>
      <c r="QA64" s="404"/>
      <c r="QB64" s="404"/>
      <c r="QC64" s="404"/>
      <c r="QD64" s="404"/>
      <c r="QE64" s="404"/>
      <c r="QF64" s="404"/>
      <c r="QG64" s="404"/>
      <c r="QH64" s="404"/>
      <c r="QI64" s="404"/>
      <c r="QJ64" s="404"/>
      <c r="QK64" s="404"/>
      <c r="QL64" s="404"/>
      <c r="QM64" s="404"/>
      <c r="QN64" s="404"/>
      <c r="QO64" s="404"/>
      <c r="QP64" s="404"/>
      <c r="QQ64" s="404"/>
      <c r="QR64" s="404"/>
      <c r="QS64" s="404"/>
      <c r="QT64" s="404"/>
      <c r="QU64" s="404"/>
      <c r="QV64" s="404"/>
      <c r="QW64" s="404"/>
      <c r="QX64" s="404"/>
      <c r="QY64" s="404"/>
      <c r="QZ64" s="404"/>
      <c r="RA64" s="404"/>
      <c r="RB64" s="404"/>
      <c r="RC64" s="404"/>
      <c r="RD64" s="404"/>
      <c r="RE64" s="404"/>
      <c r="RF64" s="404"/>
      <c r="RG64" s="404"/>
      <c r="RH64" s="404"/>
      <c r="RI64" s="404"/>
      <c r="RJ64" s="404"/>
      <c r="RK64" s="404"/>
      <c r="RL64" s="404"/>
      <c r="RM64" s="404"/>
      <c r="RN64" s="404"/>
      <c r="RO64" s="404"/>
      <c r="RP64" s="404"/>
      <c r="RQ64" s="404"/>
      <c r="RR64" s="404"/>
      <c r="RS64" s="404"/>
      <c r="RT64" s="404"/>
      <c r="RU64" s="404"/>
      <c r="RV64" s="404"/>
      <c r="RW64" s="404"/>
      <c r="RX64" s="404"/>
      <c r="RY64" s="404"/>
      <c r="RZ64" s="404"/>
      <c r="SA64" s="404"/>
      <c r="SB64" s="404"/>
      <c r="SC64" s="404"/>
      <c r="SD64" s="404"/>
      <c r="SE64" s="404"/>
      <c r="SF64" s="404"/>
      <c r="SG64" s="404"/>
      <c r="SH64" s="404"/>
      <c r="SI64" s="404"/>
      <c r="SJ64" s="404"/>
      <c r="SK64" s="404"/>
      <c r="SL64" s="404"/>
      <c r="SM64" s="404"/>
      <c r="SN64" s="404"/>
      <c r="SO64" s="404"/>
      <c r="SP64" s="404"/>
      <c r="SQ64" s="404"/>
      <c r="SR64" s="404"/>
      <c r="SS64" s="404"/>
      <c r="ST64" s="404"/>
      <c r="SU64" s="404"/>
      <c r="SV64" s="404"/>
      <c r="SW64" s="404"/>
      <c r="SX64" s="404"/>
      <c r="SY64" s="404"/>
      <c r="SZ64" s="404"/>
      <c r="TA64" s="404"/>
      <c r="TB64" s="404"/>
      <c r="TC64" s="404"/>
      <c r="TD64" s="404"/>
      <c r="TE64" s="404"/>
      <c r="TF64" s="404"/>
      <c r="TG64" s="404"/>
      <c r="TH64" s="404"/>
      <c r="TI64" s="404"/>
      <c r="TJ64" s="404"/>
      <c r="TK64" s="404"/>
      <c r="TL64" s="404"/>
      <c r="TM64" s="404"/>
      <c r="TN64" s="404"/>
      <c r="TO64" s="404"/>
      <c r="TP64" s="404"/>
      <c r="TQ64" s="404"/>
      <c r="TR64" s="404"/>
      <c r="TS64" s="404"/>
      <c r="TT64" s="404"/>
      <c r="TU64" s="404"/>
      <c r="TV64" s="404"/>
      <c r="TW64" s="404"/>
      <c r="TX64" s="404"/>
      <c r="TY64" s="404"/>
      <c r="TZ64" s="404"/>
      <c r="UA64" s="404"/>
      <c r="UB64" s="404"/>
      <c r="UC64" s="404"/>
      <c r="UD64" s="404"/>
      <c r="UE64" s="404"/>
      <c r="UF64" s="404"/>
      <c r="UG64" s="404"/>
      <c r="UH64" s="404"/>
      <c r="UI64" s="404"/>
      <c r="UJ64" s="404"/>
      <c r="UK64" s="404"/>
      <c r="UL64" s="404"/>
      <c r="UM64" s="404"/>
      <c r="UN64" s="404"/>
      <c r="UO64" s="404"/>
      <c r="UP64" s="404"/>
      <c r="UQ64" s="404"/>
      <c r="UR64" s="404"/>
      <c r="US64" s="404"/>
      <c r="UT64" s="404"/>
      <c r="UU64" s="404"/>
      <c r="UV64" s="404"/>
      <c r="UW64" s="404"/>
      <c r="UX64" s="404"/>
      <c r="UY64" s="404"/>
      <c r="UZ64" s="404"/>
      <c r="VA64" s="404"/>
      <c r="VB64" s="404"/>
      <c r="VC64" s="404"/>
      <c r="VD64" s="404"/>
      <c r="VE64" s="404"/>
      <c r="VF64" s="404"/>
      <c r="VG64" s="404"/>
      <c r="VH64" s="404"/>
      <c r="VI64" s="404"/>
      <c r="VJ64" s="404"/>
      <c r="VK64" s="404"/>
      <c r="VL64" s="404"/>
      <c r="VM64" s="404"/>
      <c r="VN64" s="404"/>
      <c r="VO64" s="404"/>
      <c r="VP64" s="404"/>
      <c r="VQ64" s="404"/>
      <c r="VR64" s="404"/>
      <c r="VS64" s="404"/>
      <c r="VT64" s="404"/>
      <c r="VU64" s="404"/>
      <c r="VV64" s="404"/>
      <c r="VW64" s="404"/>
      <c r="VX64" s="404"/>
      <c r="VY64" s="404"/>
      <c r="VZ64" s="404"/>
      <c r="WA64" s="404"/>
      <c r="WB64" s="404"/>
      <c r="WC64" s="404"/>
      <c r="WD64" s="404"/>
      <c r="WE64" s="404"/>
      <c r="WF64" s="404"/>
      <c r="WG64" s="404"/>
      <c r="WH64" s="404"/>
      <c r="WI64" s="404"/>
      <c r="WJ64" s="404"/>
      <c r="WK64" s="404"/>
      <c r="WL64" s="404"/>
      <c r="WM64" s="404"/>
      <c r="WN64" s="404"/>
      <c r="WO64" s="404"/>
      <c r="WP64" s="404"/>
      <c r="WQ64" s="404"/>
      <c r="WR64" s="404"/>
      <c r="WS64" s="404"/>
      <c r="WT64" s="404"/>
      <c r="WU64" s="404"/>
      <c r="WV64" s="404"/>
      <c r="WW64" s="404"/>
      <c r="WX64" s="404"/>
      <c r="WY64" s="404"/>
      <c r="WZ64" s="404"/>
      <c r="XA64" s="404"/>
      <c r="XB64" s="404"/>
      <c r="XC64" s="404"/>
      <c r="XD64" s="404"/>
      <c r="XE64" s="404"/>
      <c r="XF64" s="404"/>
      <c r="XG64" s="404"/>
      <c r="XH64" s="404"/>
      <c r="XI64" s="404"/>
      <c r="XJ64" s="404"/>
      <c r="XK64" s="404"/>
      <c r="XL64" s="404"/>
      <c r="XM64" s="404"/>
      <c r="XN64" s="404"/>
      <c r="XO64" s="404"/>
      <c r="XP64" s="404"/>
      <c r="XQ64" s="404"/>
      <c r="XR64" s="404"/>
      <c r="XS64" s="404"/>
      <c r="XT64" s="404"/>
      <c r="XU64" s="404"/>
      <c r="XV64" s="404"/>
      <c r="XW64" s="404"/>
      <c r="XX64" s="404"/>
      <c r="XY64" s="404"/>
      <c r="XZ64" s="404"/>
      <c r="YA64" s="404"/>
      <c r="YB64" s="404"/>
      <c r="YC64" s="404"/>
      <c r="YD64" s="404"/>
      <c r="YE64" s="404"/>
      <c r="YF64" s="404"/>
      <c r="YG64" s="404"/>
      <c r="YH64" s="404"/>
      <c r="YI64" s="404"/>
      <c r="YJ64" s="404"/>
      <c r="YK64" s="404"/>
      <c r="YL64" s="404"/>
      <c r="YM64" s="404"/>
      <c r="YN64" s="404"/>
      <c r="YO64" s="404"/>
      <c r="YP64" s="404"/>
      <c r="YQ64" s="404"/>
      <c r="YR64" s="404"/>
      <c r="YS64" s="404"/>
      <c r="YT64" s="404"/>
      <c r="YU64" s="404"/>
      <c r="YV64" s="404"/>
      <c r="YW64" s="404"/>
      <c r="YX64" s="404"/>
      <c r="YY64" s="404"/>
      <c r="YZ64" s="404"/>
      <c r="ZA64" s="404"/>
      <c r="ZB64" s="404"/>
      <c r="ZC64" s="404"/>
      <c r="ZD64" s="404"/>
      <c r="ZE64" s="404"/>
      <c r="ZF64" s="404"/>
      <c r="ZG64" s="404"/>
      <c r="ZH64" s="404"/>
      <c r="ZI64" s="404"/>
      <c r="ZJ64" s="404"/>
      <c r="ZK64" s="404"/>
      <c r="ZL64" s="404"/>
      <c r="ZM64" s="404"/>
      <c r="ZN64" s="404"/>
      <c r="ZO64" s="404"/>
      <c r="ZP64" s="404"/>
      <c r="ZQ64" s="404"/>
      <c r="ZR64" s="404"/>
      <c r="ZS64" s="404"/>
      <c r="ZT64" s="404"/>
      <c r="ZU64" s="404"/>
      <c r="ZV64" s="404"/>
      <c r="ZW64" s="404"/>
      <c r="ZX64" s="404"/>
      <c r="ZY64" s="404"/>
      <c r="ZZ64" s="404"/>
      <c r="AAA64" s="404"/>
      <c r="AAB64" s="404"/>
      <c r="AAC64" s="404"/>
      <c r="AAD64" s="404"/>
      <c r="AAE64" s="404"/>
      <c r="AAF64" s="404"/>
      <c r="AAG64" s="404"/>
      <c r="AAH64" s="404"/>
      <c r="AAI64" s="404"/>
      <c r="AAJ64" s="404"/>
      <c r="AAK64" s="404"/>
      <c r="AAL64" s="404"/>
      <c r="AAM64" s="404"/>
      <c r="AAN64" s="404"/>
      <c r="AAO64" s="404"/>
      <c r="AAP64" s="404"/>
      <c r="AAQ64" s="404"/>
      <c r="AAR64" s="404"/>
      <c r="AAS64" s="404"/>
      <c r="AAT64" s="404"/>
      <c r="AAU64" s="404"/>
      <c r="AAV64" s="404"/>
      <c r="AAW64" s="404"/>
      <c r="AAX64" s="404"/>
      <c r="AAY64" s="404"/>
      <c r="AAZ64" s="404"/>
      <c r="ABA64" s="404"/>
      <c r="ABB64" s="404"/>
      <c r="ABC64" s="404"/>
      <c r="ABD64" s="404"/>
      <c r="ABE64" s="404"/>
      <c r="ABF64" s="404"/>
      <c r="ABG64" s="404"/>
      <c r="ABH64" s="404"/>
      <c r="ABI64" s="404"/>
      <c r="ABJ64" s="404"/>
      <c r="ABK64" s="404"/>
      <c r="ABL64" s="404"/>
      <c r="ABM64" s="404"/>
      <c r="ABN64" s="404"/>
      <c r="ABO64" s="404"/>
      <c r="ABP64" s="404"/>
      <c r="ABQ64" s="404"/>
      <c r="ABR64" s="404"/>
      <c r="ABS64" s="404"/>
      <c r="ABT64" s="404"/>
      <c r="ABU64" s="404"/>
      <c r="ABV64" s="404"/>
      <c r="ABW64" s="404"/>
      <c r="ABX64" s="404"/>
      <c r="ABY64" s="404"/>
      <c r="ABZ64" s="404"/>
      <c r="ACA64" s="404"/>
      <c r="ACB64" s="404"/>
      <c r="ACC64" s="404"/>
      <c r="ACD64" s="404"/>
      <c r="ACE64" s="404"/>
      <c r="ACF64" s="404"/>
      <c r="ACG64" s="404"/>
      <c r="ACH64" s="404"/>
      <c r="ACI64" s="404"/>
      <c r="ACJ64" s="404"/>
      <c r="ACK64" s="404"/>
      <c r="ACL64" s="404"/>
      <c r="ACM64" s="404"/>
      <c r="ACN64" s="404"/>
      <c r="ACO64" s="404"/>
      <c r="ACP64" s="404"/>
      <c r="ACQ64" s="404"/>
      <c r="ACR64" s="404"/>
      <c r="ACS64" s="404"/>
      <c r="ACT64" s="404"/>
      <c r="ACU64" s="404"/>
      <c r="ACV64" s="404"/>
      <c r="ACW64" s="404"/>
      <c r="ACX64" s="404"/>
      <c r="ACY64" s="404"/>
      <c r="ACZ64" s="404"/>
      <c r="ADA64" s="404"/>
      <c r="ADB64" s="404"/>
      <c r="ADC64" s="404"/>
      <c r="ADD64" s="404"/>
      <c r="ADE64" s="404"/>
      <c r="ADF64" s="404"/>
      <c r="ADG64" s="404"/>
      <c r="ADH64" s="404"/>
      <c r="ADI64" s="404"/>
      <c r="ADJ64" s="404"/>
      <c r="ADK64" s="404"/>
      <c r="ADL64" s="404"/>
      <c r="ADM64" s="404"/>
      <c r="ADN64" s="404"/>
      <c r="ADO64" s="404"/>
      <c r="ADP64" s="404"/>
      <c r="ADQ64" s="404"/>
      <c r="ADR64" s="404"/>
      <c r="ADS64" s="404"/>
      <c r="ADT64" s="404"/>
      <c r="ADU64" s="404"/>
      <c r="ADV64" s="404"/>
      <c r="ADW64" s="404"/>
      <c r="ADX64" s="404"/>
      <c r="ADY64" s="404"/>
      <c r="ADZ64" s="404"/>
      <c r="AEA64" s="404"/>
      <c r="AEB64" s="404"/>
      <c r="AEC64" s="404"/>
      <c r="AED64" s="404"/>
      <c r="AEE64" s="404"/>
      <c r="AEF64" s="404"/>
      <c r="AEG64" s="404"/>
      <c r="AEH64" s="404"/>
      <c r="AEI64" s="404"/>
      <c r="AEJ64" s="404"/>
      <c r="AEK64" s="404"/>
      <c r="AEL64" s="404"/>
      <c r="AEM64" s="404"/>
      <c r="AEN64" s="404"/>
      <c r="AEO64" s="404"/>
      <c r="AEP64" s="404"/>
      <c r="AEQ64" s="404"/>
      <c r="AER64" s="404"/>
      <c r="AES64" s="404"/>
      <c r="AET64" s="404"/>
      <c r="AEU64" s="404"/>
      <c r="AEV64" s="404"/>
      <c r="AEW64" s="404"/>
      <c r="AEX64" s="404"/>
      <c r="AEY64" s="404"/>
      <c r="AEZ64" s="404"/>
      <c r="AFA64" s="404"/>
      <c r="AFB64" s="404"/>
      <c r="AFC64" s="404"/>
      <c r="AFD64" s="404"/>
      <c r="AFE64" s="404"/>
      <c r="AFF64" s="404"/>
      <c r="AFG64" s="404"/>
      <c r="AFH64" s="404"/>
      <c r="AFI64" s="404"/>
      <c r="AFJ64" s="404"/>
      <c r="AFK64" s="404"/>
      <c r="AFL64" s="404"/>
      <c r="AFM64" s="404"/>
      <c r="AFN64" s="404"/>
      <c r="AFO64" s="404"/>
      <c r="AFP64" s="404"/>
      <c r="AFQ64" s="404"/>
      <c r="AFR64" s="404"/>
      <c r="AFS64" s="404"/>
      <c r="AFT64" s="404"/>
      <c r="AFU64" s="404"/>
      <c r="AFV64" s="404"/>
      <c r="AFW64" s="404"/>
      <c r="AFX64" s="404"/>
      <c r="AFY64" s="404"/>
      <c r="AFZ64" s="404"/>
      <c r="AGA64" s="404"/>
      <c r="AGB64" s="404"/>
      <c r="AGC64" s="404"/>
      <c r="AGD64" s="404"/>
      <c r="AGE64" s="404"/>
      <c r="AGF64" s="404"/>
      <c r="AGG64" s="404"/>
      <c r="AGH64" s="404"/>
      <c r="AGI64" s="404"/>
      <c r="AGJ64" s="404"/>
      <c r="AGK64" s="404"/>
      <c r="AGL64" s="404"/>
      <c r="AGM64" s="404"/>
      <c r="AGN64" s="404"/>
      <c r="AGO64" s="404"/>
      <c r="AGP64" s="404"/>
      <c r="AGQ64" s="404"/>
      <c r="AGR64" s="404"/>
      <c r="AGS64" s="404"/>
      <c r="AGT64" s="404"/>
      <c r="AGU64" s="404"/>
      <c r="AGV64" s="404"/>
      <c r="AGW64" s="404"/>
      <c r="AGX64" s="404"/>
      <c r="AGY64" s="404"/>
      <c r="AGZ64" s="404"/>
      <c r="AHA64" s="404"/>
      <c r="AHB64" s="404"/>
      <c r="AHC64" s="404"/>
      <c r="AHD64" s="404"/>
      <c r="AHE64" s="404"/>
      <c r="AHF64" s="404"/>
      <c r="AHG64" s="404"/>
      <c r="AHH64" s="404"/>
      <c r="AHI64" s="404"/>
      <c r="AHJ64" s="404"/>
      <c r="AHK64" s="404"/>
      <c r="AHL64" s="404"/>
      <c r="AHM64" s="404"/>
      <c r="AHN64" s="404"/>
      <c r="AHO64" s="404"/>
      <c r="AHP64" s="404"/>
      <c r="AHQ64" s="404"/>
      <c r="AHR64" s="404"/>
      <c r="AHS64" s="404"/>
      <c r="AHT64" s="404"/>
      <c r="AHU64" s="404"/>
      <c r="AHV64" s="404"/>
      <c r="AHW64" s="404"/>
      <c r="AHX64" s="404"/>
      <c r="AHY64" s="404"/>
      <c r="AHZ64" s="404"/>
      <c r="AIA64" s="404"/>
      <c r="AIB64" s="404"/>
      <c r="AIC64" s="404"/>
      <c r="AID64" s="404"/>
      <c r="AIE64" s="404"/>
      <c r="AIF64" s="404"/>
      <c r="AIG64" s="404"/>
      <c r="AIH64" s="404"/>
      <c r="AII64" s="404"/>
      <c r="AIJ64" s="404"/>
      <c r="AIK64" s="404"/>
      <c r="AIL64" s="404"/>
      <c r="AIM64" s="404"/>
      <c r="AIN64" s="404"/>
      <c r="AIO64" s="404"/>
      <c r="AIP64" s="404"/>
      <c r="AIQ64" s="404"/>
      <c r="AIR64" s="404"/>
      <c r="AIS64" s="404"/>
      <c r="AIT64" s="404"/>
      <c r="AIU64" s="404"/>
      <c r="AIV64" s="404"/>
      <c r="AIW64" s="404"/>
      <c r="AIX64" s="404"/>
      <c r="AIY64" s="404"/>
      <c r="AIZ64" s="404"/>
      <c r="AJA64" s="404"/>
      <c r="AJB64" s="404"/>
      <c r="AJC64" s="404"/>
      <c r="AJD64" s="404"/>
      <c r="AJE64" s="404"/>
      <c r="AJF64" s="404"/>
      <c r="AJG64" s="404"/>
      <c r="AJH64" s="404"/>
      <c r="AJI64" s="404"/>
      <c r="AJJ64" s="404"/>
      <c r="AJK64" s="404"/>
      <c r="AJL64" s="404"/>
      <c r="AJM64" s="404"/>
      <c r="AJN64" s="404"/>
      <c r="AJO64" s="404"/>
      <c r="AJP64" s="404"/>
      <c r="AJQ64" s="404"/>
      <c r="AJR64" s="404"/>
      <c r="AJS64" s="404"/>
      <c r="AJT64" s="404"/>
      <c r="AJU64" s="404"/>
      <c r="AJV64" s="404"/>
      <c r="AJW64" s="404"/>
      <c r="AJX64" s="404"/>
      <c r="AJY64" s="404"/>
      <c r="AJZ64" s="404"/>
      <c r="AKA64" s="404"/>
      <c r="AKB64" s="404"/>
      <c r="AKC64" s="404"/>
      <c r="AKD64" s="404"/>
      <c r="AKE64" s="404"/>
      <c r="AKF64" s="404"/>
      <c r="AKG64" s="404"/>
      <c r="AKH64" s="404"/>
      <c r="AKI64" s="404"/>
      <c r="AKJ64" s="404"/>
      <c r="AKK64" s="404"/>
      <c r="AKL64" s="404"/>
      <c r="AKM64" s="404"/>
      <c r="AKN64" s="404"/>
      <c r="AKO64" s="404"/>
      <c r="AKP64" s="404"/>
      <c r="AKQ64" s="404"/>
      <c r="AKR64" s="404"/>
      <c r="AKS64" s="404"/>
      <c r="AKT64" s="404"/>
      <c r="AKU64" s="404"/>
      <c r="AKV64" s="404"/>
      <c r="AKW64" s="404"/>
      <c r="AKX64" s="404"/>
      <c r="AKY64" s="404"/>
      <c r="AKZ64" s="404"/>
      <c r="ALA64" s="404"/>
      <c r="ALB64" s="404"/>
      <c r="ALC64" s="404"/>
      <c r="ALD64" s="404"/>
      <c r="ALE64" s="404"/>
      <c r="ALF64" s="404"/>
      <c r="ALG64" s="404"/>
      <c r="ALH64" s="404"/>
      <c r="ALI64" s="404"/>
      <c r="ALJ64" s="404"/>
      <c r="ALK64" s="404"/>
      <c r="ALL64" s="404"/>
      <c r="ALM64" s="404"/>
      <c r="ALN64" s="404"/>
      <c r="ALO64" s="404"/>
      <c r="ALP64" s="404"/>
      <c r="ALQ64" s="404"/>
      <c r="ALR64" s="404"/>
      <c r="ALS64" s="404"/>
      <c r="ALT64" s="404"/>
      <c r="ALU64" s="404"/>
      <c r="ALV64" s="404"/>
      <c r="ALW64" s="404"/>
      <c r="ALX64" s="404"/>
      <c r="ALY64" s="404"/>
      <c r="ALZ64" s="404"/>
      <c r="AMA64" s="404"/>
      <c r="AMB64" s="404"/>
      <c r="AMC64" s="404"/>
      <c r="AMD64" s="404"/>
      <c r="AME64" s="404"/>
      <c r="AMF64" s="404"/>
      <c r="AMG64" s="404"/>
      <c r="AMH64" s="404"/>
      <c r="AMI64" s="404"/>
      <c r="AMJ64" s="404"/>
      <c r="AMK64" s="404"/>
      <c r="AML64" s="404"/>
      <c r="AMM64" s="404"/>
      <c r="AMN64" s="404"/>
      <c r="AMO64" s="404"/>
      <c r="AMP64" s="404"/>
      <c r="AMQ64" s="404"/>
      <c r="AMR64" s="404"/>
      <c r="AMS64" s="404"/>
      <c r="AMT64" s="404"/>
      <c r="AMU64" s="404"/>
      <c r="AMV64" s="404"/>
      <c r="AMW64" s="404"/>
      <c r="AMX64" s="404"/>
      <c r="AMY64" s="404"/>
      <c r="AMZ64" s="404"/>
      <c r="ANA64" s="404"/>
      <c r="ANB64" s="404"/>
      <c r="ANC64" s="404"/>
      <c r="AND64" s="404"/>
      <c r="ANE64" s="404"/>
      <c r="ANF64" s="404"/>
      <c r="ANG64" s="404"/>
      <c r="ANH64" s="404"/>
      <c r="ANI64" s="404"/>
      <c r="ANJ64" s="404"/>
      <c r="ANK64" s="404"/>
      <c r="ANL64" s="404"/>
      <c r="ANM64" s="404"/>
      <c r="ANN64" s="404"/>
      <c r="ANO64" s="404"/>
      <c r="ANP64" s="404"/>
      <c r="ANQ64" s="404"/>
      <c r="ANR64" s="404"/>
      <c r="ANS64" s="404"/>
      <c r="ANT64" s="404"/>
      <c r="ANU64" s="404"/>
      <c r="ANV64" s="404"/>
      <c r="ANW64" s="404"/>
      <c r="ANX64" s="404"/>
      <c r="ANY64" s="404"/>
      <c r="ANZ64" s="404"/>
      <c r="AOA64" s="404"/>
      <c r="AOB64" s="404"/>
      <c r="AOC64" s="404"/>
      <c r="AOD64" s="404"/>
      <c r="AOE64" s="404"/>
      <c r="AOF64" s="404"/>
      <c r="AOG64" s="404"/>
      <c r="AOH64" s="404"/>
      <c r="AOI64" s="404"/>
      <c r="AOJ64" s="404"/>
      <c r="AOK64" s="404"/>
      <c r="AOL64" s="404"/>
      <c r="AOM64" s="404"/>
      <c r="AON64" s="404"/>
      <c r="AOO64" s="404"/>
      <c r="AOP64" s="404"/>
      <c r="AOQ64" s="404"/>
      <c r="AOR64" s="404"/>
      <c r="AOS64" s="404"/>
      <c r="AOT64" s="404"/>
      <c r="AOU64" s="404"/>
      <c r="AOV64" s="404"/>
      <c r="AOW64" s="404"/>
      <c r="AOX64" s="404"/>
      <c r="AOY64" s="404"/>
      <c r="AOZ64" s="404"/>
      <c r="APA64" s="404"/>
      <c r="APB64" s="404"/>
      <c r="APC64" s="404"/>
      <c r="APD64" s="404"/>
      <c r="APE64" s="404"/>
      <c r="APF64" s="404"/>
      <c r="APG64" s="404"/>
      <c r="APH64" s="404"/>
      <c r="API64" s="404"/>
      <c r="APJ64" s="404"/>
      <c r="APK64" s="404"/>
      <c r="APL64" s="404"/>
      <c r="APM64" s="404"/>
      <c r="APN64" s="404"/>
      <c r="APO64" s="404"/>
      <c r="APP64" s="404"/>
      <c r="APQ64" s="404"/>
      <c r="APR64" s="404"/>
      <c r="APS64" s="404"/>
      <c r="APT64" s="404"/>
      <c r="APU64" s="404"/>
      <c r="APV64" s="404"/>
      <c r="APW64" s="404"/>
      <c r="APX64" s="404"/>
      <c r="APY64" s="404"/>
      <c r="APZ64" s="404"/>
      <c r="AQA64" s="404"/>
      <c r="AQB64" s="404"/>
      <c r="AQC64" s="404"/>
      <c r="AQD64" s="404"/>
      <c r="AQE64" s="404"/>
      <c r="AQF64" s="404"/>
      <c r="AQG64" s="404"/>
      <c r="AQH64" s="404"/>
      <c r="AQI64" s="404"/>
      <c r="AQJ64" s="404"/>
      <c r="AQK64" s="404"/>
      <c r="AQL64" s="404"/>
      <c r="AQM64" s="404"/>
      <c r="AQN64" s="404"/>
      <c r="AQO64" s="404"/>
      <c r="AQP64" s="404"/>
      <c r="AQQ64" s="404"/>
      <c r="AQR64" s="404"/>
      <c r="AQS64" s="404"/>
      <c r="AQT64" s="404"/>
      <c r="AQU64" s="404"/>
      <c r="AQV64" s="404"/>
      <c r="AQW64" s="404"/>
      <c r="AQX64" s="404"/>
      <c r="AQY64" s="404"/>
      <c r="AQZ64" s="404"/>
      <c r="ARA64" s="404"/>
      <c r="ARB64" s="404"/>
      <c r="ARC64" s="404"/>
      <c r="ARD64" s="404"/>
      <c r="ARE64" s="404"/>
      <c r="ARF64" s="404"/>
      <c r="ARG64" s="404"/>
      <c r="ARH64" s="404"/>
      <c r="ARI64" s="404"/>
      <c r="ARJ64" s="404"/>
      <c r="ARK64" s="404"/>
      <c r="ARL64" s="404"/>
      <c r="ARM64" s="404"/>
      <c r="ARN64" s="404"/>
      <c r="ARO64" s="404"/>
      <c r="ARP64" s="404"/>
      <c r="ARQ64" s="404"/>
      <c r="ARR64" s="404"/>
      <c r="ARS64" s="404"/>
      <c r="ART64" s="404"/>
      <c r="ARU64" s="404"/>
      <c r="ARV64" s="404"/>
      <c r="ARW64" s="404"/>
      <c r="ARX64" s="404"/>
      <c r="ARY64" s="404"/>
      <c r="ARZ64" s="404"/>
      <c r="ASA64" s="404"/>
      <c r="ASB64" s="404"/>
      <c r="ASC64" s="404"/>
      <c r="ASD64" s="404"/>
      <c r="ASE64" s="404"/>
      <c r="ASF64" s="404"/>
      <c r="ASG64" s="404"/>
      <c r="ASH64" s="404"/>
      <c r="ASI64" s="404"/>
      <c r="ASJ64" s="404"/>
      <c r="ASK64" s="404"/>
      <c r="ASL64" s="404"/>
      <c r="ASM64" s="404"/>
      <c r="ASN64" s="404"/>
      <c r="ASO64" s="404"/>
      <c r="ASP64" s="404"/>
      <c r="ASQ64" s="404"/>
      <c r="ASR64" s="404"/>
      <c r="ASS64" s="404"/>
      <c r="AST64" s="404"/>
      <c r="ASU64" s="404"/>
      <c r="ASV64" s="404"/>
      <c r="ASW64" s="404"/>
      <c r="ASX64" s="404"/>
      <c r="ASY64" s="404"/>
      <c r="ASZ64" s="404"/>
      <c r="ATA64" s="404"/>
      <c r="ATB64" s="404"/>
      <c r="ATC64" s="404"/>
      <c r="ATD64" s="404"/>
      <c r="ATE64" s="404"/>
      <c r="ATF64" s="404"/>
      <c r="ATG64" s="404"/>
      <c r="ATH64" s="404"/>
      <c r="ATI64" s="404"/>
      <c r="ATJ64" s="404"/>
      <c r="ATK64" s="404"/>
      <c r="ATL64" s="404"/>
      <c r="ATM64" s="404"/>
      <c r="ATN64" s="404"/>
      <c r="ATO64" s="404"/>
      <c r="ATP64" s="404"/>
      <c r="ATQ64" s="404"/>
      <c r="ATR64" s="404"/>
      <c r="ATS64" s="404"/>
      <c r="ATT64" s="404"/>
      <c r="ATU64" s="404"/>
      <c r="ATV64" s="404"/>
      <c r="ATW64" s="404"/>
      <c r="ATX64" s="404"/>
      <c r="ATY64" s="404"/>
      <c r="ATZ64" s="404"/>
      <c r="AUA64" s="404"/>
      <c r="AUB64" s="404"/>
      <c r="AUC64" s="404"/>
      <c r="AUD64" s="404"/>
      <c r="AUE64" s="404"/>
      <c r="AUF64" s="404"/>
      <c r="AUG64" s="404"/>
      <c r="AUH64" s="404"/>
      <c r="AUI64" s="404"/>
      <c r="AUJ64" s="404"/>
      <c r="AUK64" s="404"/>
      <c r="AUL64" s="404"/>
      <c r="AUM64" s="404"/>
      <c r="AUN64" s="404"/>
      <c r="AUO64" s="404"/>
      <c r="AUP64" s="404"/>
      <c r="AUQ64" s="404"/>
      <c r="AUR64" s="404"/>
      <c r="AUS64" s="404"/>
      <c r="AUT64" s="404"/>
      <c r="AUU64" s="404"/>
      <c r="AUV64" s="404"/>
      <c r="AUW64" s="404"/>
      <c r="AUX64" s="404"/>
      <c r="AUY64" s="404"/>
      <c r="AUZ64" s="404"/>
      <c r="AVA64" s="404"/>
      <c r="AVB64" s="404"/>
      <c r="AVC64" s="404"/>
      <c r="AVD64" s="404"/>
      <c r="AVE64" s="404"/>
      <c r="AVF64" s="404"/>
      <c r="AVG64" s="404"/>
      <c r="AVH64" s="404"/>
      <c r="AVI64" s="404"/>
      <c r="AVJ64" s="404"/>
      <c r="AVK64" s="404"/>
      <c r="AVL64" s="404"/>
      <c r="AVM64" s="404"/>
      <c r="AVN64" s="404"/>
      <c r="AVO64" s="404"/>
      <c r="AVP64" s="404"/>
      <c r="AVQ64" s="404"/>
      <c r="AVR64" s="404"/>
      <c r="AVS64" s="404"/>
      <c r="AVT64" s="404"/>
      <c r="AVU64" s="404"/>
      <c r="AVV64" s="404"/>
      <c r="AVW64" s="404"/>
      <c r="AVX64" s="404"/>
      <c r="AVY64" s="404"/>
      <c r="AVZ64" s="404"/>
      <c r="AWA64" s="404"/>
      <c r="AWB64" s="404"/>
      <c r="AWC64" s="404"/>
      <c r="AWD64" s="404"/>
      <c r="AWE64" s="404"/>
      <c r="AWF64" s="404"/>
      <c r="AWG64" s="404"/>
      <c r="AWH64" s="404"/>
      <c r="AWI64" s="404"/>
      <c r="AWJ64" s="404"/>
      <c r="AWK64" s="404"/>
      <c r="AWL64" s="404"/>
      <c r="AWM64" s="404"/>
      <c r="AWN64" s="404"/>
      <c r="AWO64" s="404"/>
      <c r="AWP64" s="404"/>
      <c r="AWQ64" s="404"/>
      <c r="AWR64" s="404"/>
      <c r="AWS64" s="404"/>
      <c r="AWT64" s="404"/>
      <c r="AWU64" s="404"/>
      <c r="AWV64" s="404"/>
      <c r="AWW64" s="404"/>
      <c r="AWX64" s="404"/>
      <c r="AWY64" s="404"/>
      <c r="AWZ64" s="404"/>
      <c r="AXA64" s="404"/>
      <c r="AXB64" s="404"/>
      <c r="AXC64" s="404"/>
      <c r="AXD64" s="404"/>
      <c r="AXE64" s="404"/>
      <c r="AXF64" s="404"/>
      <c r="AXG64" s="404"/>
      <c r="AXH64" s="404"/>
      <c r="AXI64" s="404"/>
      <c r="AXJ64" s="404"/>
      <c r="AXK64" s="404"/>
      <c r="AXL64" s="404"/>
      <c r="AXM64" s="404"/>
      <c r="AXN64" s="404"/>
      <c r="AXO64" s="404"/>
      <c r="AXP64" s="404"/>
      <c r="AXQ64" s="404"/>
      <c r="AXR64" s="404"/>
      <c r="AXS64" s="404"/>
      <c r="AXT64" s="404"/>
      <c r="AXU64" s="404"/>
      <c r="AXV64" s="404"/>
      <c r="AXW64" s="404"/>
      <c r="AXX64" s="404"/>
      <c r="AXY64" s="404"/>
      <c r="AXZ64" s="404"/>
      <c r="AYA64" s="404"/>
      <c r="AYB64" s="404"/>
      <c r="AYC64" s="404"/>
      <c r="AYD64" s="404"/>
      <c r="AYE64" s="404"/>
      <c r="AYF64" s="404"/>
      <c r="AYG64" s="404"/>
      <c r="AYH64" s="404"/>
      <c r="AYI64" s="404"/>
      <c r="AYJ64" s="404"/>
      <c r="AYK64" s="404"/>
      <c r="AYL64" s="404"/>
      <c r="AYM64" s="404"/>
      <c r="AYN64" s="404"/>
      <c r="AYO64" s="404"/>
      <c r="AYP64" s="404"/>
      <c r="AYQ64" s="404"/>
      <c r="AYR64" s="404"/>
      <c r="AYS64" s="404"/>
      <c r="AYT64" s="404"/>
      <c r="AYU64" s="404"/>
      <c r="AYV64" s="404"/>
      <c r="AYW64" s="404"/>
      <c r="AYX64" s="404"/>
      <c r="AYY64" s="404"/>
      <c r="AYZ64" s="404"/>
      <c r="AZA64" s="404"/>
      <c r="AZB64" s="404"/>
      <c r="AZC64" s="404"/>
      <c r="AZD64" s="404"/>
      <c r="AZE64" s="404"/>
      <c r="AZF64" s="404"/>
      <c r="AZG64" s="404"/>
      <c r="AZH64" s="404"/>
      <c r="AZI64" s="404"/>
      <c r="AZJ64" s="404"/>
      <c r="AZK64" s="404"/>
      <c r="AZL64" s="404"/>
      <c r="AZM64" s="404"/>
      <c r="AZN64" s="404"/>
      <c r="AZO64" s="404"/>
      <c r="AZP64" s="404"/>
      <c r="AZQ64" s="404"/>
      <c r="AZR64" s="404"/>
      <c r="AZS64" s="404"/>
      <c r="AZT64" s="404"/>
      <c r="AZU64" s="404"/>
      <c r="AZV64" s="404"/>
      <c r="AZW64" s="404"/>
      <c r="AZX64" s="404"/>
      <c r="AZY64" s="404"/>
      <c r="AZZ64" s="404"/>
      <c r="BAA64" s="404"/>
      <c r="BAB64" s="404"/>
      <c r="BAC64" s="404"/>
      <c r="BAD64" s="404"/>
      <c r="BAE64" s="404"/>
      <c r="BAF64" s="404"/>
      <c r="BAG64" s="404"/>
      <c r="BAH64" s="404"/>
      <c r="BAI64" s="404"/>
      <c r="BAJ64" s="404"/>
      <c r="BAK64" s="404"/>
      <c r="BAL64" s="404"/>
      <c r="BAM64" s="404"/>
      <c r="BAN64" s="404"/>
      <c r="BAO64" s="404"/>
      <c r="BAP64" s="404"/>
      <c r="BAQ64" s="404"/>
      <c r="BAR64" s="404"/>
      <c r="BAS64" s="404"/>
      <c r="BAT64" s="404"/>
      <c r="BAU64" s="404"/>
      <c r="BAV64" s="404"/>
      <c r="BAW64" s="404"/>
      <c r="BAX64" s="404"/>
      <c r="BAY64" s="404"/>
      <c r="BAZ64" s="404"/>
      <c r="BBA64" s="404"/>
      <c r="BBB64" s="404"/>
      <c r="BBC64" s="404"/>
      <c r="BBD64" s="404"/>
      <c r="BBE64" s="404"/>
      <c r="BBF64" s="404"/>
      <c r="BBG64" s="404"/>
      <c r="BBH64" s="404"/>
      <c r="BBI64" s="404"/>
      <c r="BBJ64" s="404"/>
      <c r="BBK64" s="404"/>
      <c r="BBL64" s="404"/>
      <c r="BBM64" s="404"/>
      <c r="BBN64" s="404"/>
      <c r="BBO64" s="404"/>
      <c r="BBP64" s="404"/>
      <c r="BBQ64" s="404"/>
      <c r="BBR64" s="404"/>
      <c r="BBS64" s="404"/>
      <c r="BBT64" s="404"/>
      <c r="BBU64" s="404"/>
      <c r="BBV64" s="404"/>
      <c r="BBW64" s="404"/>
      <c r="BBX64" s="404"/>
      <c r="BBY64" s="404"/>
      <c r="BBZ64" s="404"/>
      <c r="BCA64" s="404"/>
      <c r="BCB64" s="404"/>
      <c r="BCC64" s="404"/>
      <c r="BCD64" s="404"/>
      <c r="BCE64" s="404"/>
      <c r="BCF64" s="404"/>
      <c r="BCG64" s="404"/>
      <c r="BCH64" s="404"/>
      <c r="BCI64" s="404"/>
      <c r="BCJ64" s="404"/>
      <c r="BCK64" s="404"/>
      <c r="BCL64" s="404"/>
      <c r="BCM64" s="404"/>
      <c r="BCN64" s="404"/>
      <c r="BCO64" s="404"/>
      <c r="BCP64" s="404"/>
      <c r="BCQ64" s="404"/>
      <c r="BCR64" s="404"/>
      <c r="BCS64" s="404"/>
      <c r="BCT64" s="404"/>
      <c r="BCU64" s="404"/>
      <c r="BCV64" s="404"/>
      <c r="BCW64" s="404"/>
      <c r="BCX64" s="404"/>
      <c r="BCY64" s="404"/>
      <c r="BCZ64" s="404"/>
      <c r="BDA64" s="404"/>
      <c r="BDB64" s="404"/>
      <c r="BDC64" s="404"/>
      <c r="BDD64" s="404"/>
      <c r="BDE64" s="404"/>
      <c r="BDF64" s="404"/>
      <c r="BDG64" s="404"/>
      <c r="BDH64" s="404"/>
      <c r="BDI64" s="404"/>
      <c r="BDJ64" s="404"/>
      <c r="BDK64" s="404"/>
      <c r="BDL64" s="404"/>
      <c r="BDM64" s="404"/>
      <c r="BDN64" s="404"/>
      <c r="BDO64" s="404"/>
      <c r="BDP64" s="404"/>
      <c r="BDQ64" s="404"/>
      <c r="BDR64" s="404"/>
      <c r="BDS64" s="404"/>
      <c r="BDT64" s="404"/>
      <c r="BDU64" s="404"/>
      <c r="BDV64" s="404"/>
      <c r="BDW64" s="404"/>
      <c r="BDX64" s="404"/>
      <c r="BDY64" s="404"/>
      <c r="BDZ64" s="404"/>
      <c r="BEA64" s="404"/>
      <c r="BEB64" s="404"/>
      <c r="BEC64" s="404"/>
      <c r="BED64" s="404"/>
      <c r="BEE64" s="404"/>
      <c r="BEF64" s="404"/>
      <c r="BEG64" s="404"/>
      <c r="BEH64" s="404"/>
      <c r="BEI64" s="404"/>
      <c r="BEJ64" s="404"/>
      <c r="BEK64" s="404"/>
      <c r="BEL64" s="404"/>
      <c r="BEM64" s="404"/>
      <c r="BEN64" s="404"/>
      <c r="BEO64" s="404"/>
      <c r="BEP64" s="404"/>
      <c r="BEQ64" s="404"/>
      <c r="BER64" s="404"/>
      <c r="BES64" s="404"/>
      <c r="BET64" s="404"/>
      <c r="BEU64" s="404"/>
      <c r="BEV64" s="404"/>
      <c r="BEW64" s="404"/>
      <c r="BEX64" s="404"/>
      <c r="BEY64" s="404"/>
      <c r="BEZ64" s="404"/>
      <c r="BFA64" s="404"/>
      <c r="BFB64" s="404"/>
      <c r="BFC64" s="404"/>
      <c r="BFD64" s="404"/>
      <c r="BFE64" s="404"/>
      <c r="BFF64" s="404"/>
      <c r="BFG64" s="404"/>
      <c r="BFH64" s="404"/>
      <c r="BFI64" s="404"/>
      <c r="BFJ64" s="404"/>
      <c r="BFK64" s="404"/>
      <c r="BFL64" s="404"/>
      <c r="BFM64" s="404"/>
      <c r="BFN64" s="404"/>
      <c r="BFO64" s="404"/>
      <c r="BFP64" s="404"/>
      <c r="BFQ64" s="404"/>
      <c r="BFR64" s="404"/>
      <c r="BFS64" s="404"/>
      <c r="BFT64" s="404"/>
      <c r="BFU64" s="404"/>
      <c r="BFV64" s="404"/>
      <c r="BFW64" s="404"/>
      <c r="BFX64" s="404"/>
      <c r="BFY64" s="404"/>
      <c r="BFZ64" s="404"/>
      <c r="BGA64" s="404"/>
      <c r="BGB64" s="404"/>
      <c r="BGC64" s="404"/>
      <c r="BGD64" s="404"/>
      <c r="BGE64" s="404"/>
      <c r="BGF64" s="404"/>
      <c r="BGG64" s="404"/>
      <c r="BGH64" s="404"/>
      <c r="BGI64" s="404"/>
      <c r="BGJ64" s="404"/>
      <c r="BGK64" s="404"/>
      <c r="BGL64" s="404"/>
      <c r="BGM64" s="404"/>
      <c r="BGN64" s="404"/>
      <c r="BGO64" s="404"/>
      <c r="BGP64" s="404"/>
      <c r="BGQ64" s="404"/>
      <c r="BGR64" s="404"/>
      <c r="BGS64" s="404"/>
      <c r="BGT64" s="404"/>
      <c r="BGU64" s="404"/>
      <c r="BGV64" s="404"/>
      <c r="BGW64" s="404"/>
      <c r="BGX64" s="404"/>
      <c r="BGY64" s="404"/>
      <c r="BGZ64" s="404"/>
      <c r="BHA64" s="404"/>
      <c r="BHB64" s="404"/>
      <c r="BHC64" s="404"/>
      <c r="BHD64" s="404"/>
      <c r="BHE64" s="404"/>
      <c r="BHF64" s="404"/>
      <c r="BHG64" s="404"/>
      <c r="BHH64" s="404"/>
      <c r="BHI64" s="404"/>
      <c r="BHJ64" s="404"/>
      <c r="BHK64" s="404"/>
      <c r="BHL64" s="404"/>
      <c r="BHM64" s="404"/>
      <c r="BHN64" s="404"/>
      <c r="BHO64" s="404"/>
      <c r="BHP64" s="404"/>
      <c r="BHQ64" s="404"/>
      <c r="BHR64" s="404"/>
      <c r="BHS64" s="404"/>
      <c r="BHT64" s="404"/>
      <c r="BHU64" s="404"/>
      <c r="BHV64" s="404"/>
      <c r="BHW64" s="404"/>
      <c r="BHX64" s="404"/>
      <c r="BHY64" s="404"/>
      <c r="BHZ64" s="404"/>
      <c r="BIA64" s="404"/>
      <c r="BIB64" s="404"/>
      <c r="BIC64" s="404"/>
      <c r="BID64" s="404"/>
      <c r="BIE64" s="404"/>
      <c r="BIF64" s="404"/>
      <c r="BIG64" s="404"/>
      <c r="BIH64" s="404"/>
      <c r="BII64" s="404"/>
      <c r="BIJ64" s="404"/>
      <c r="BIK64" s="404"/>
      <c r="BIL64" s="404"/>
      <c r="BIM64" s="404"/>
      <c r="BIN64" s="404"/>
      <c r="BIO64" s="404"/>
      <c r="BIP64" s="404"/>
      <c r="BIQ64" s="404"/>
      <c r="BIR64" s="404"/>
      <c r="BIS64" s="404"/>
      <c r="BIT64" s="404"/>
      <c r="BIU64" s="404"/>
      <c r="BIV64" s="404"/>
      <c r="BIW64" s="404"/>
      <c r="BIX64" s="404"/>
      <c r="BIY64" s="404"/>
      <c r="BIZ64" s="404"/>
      <c r="BJA64" s="404"/>
      <c r="BJB64" s="404"/>
      <c r="BJC64" s="404"/>
      <c r="BJD64" s="404"/>
      <c r="BJE64" s="404"/>
      <c r="BJF64" s="404"/>
      <c r="BJG64" s="404"/>
      <c r="BJH64" s="404"/>
      <c r="BJI64" s="404"/>
      <c r="BJJ64" s="404"/>
      <c r="BJK64" s="404"/>
      <c r="BJL64" s="404"/>
      <c r="BJM64" s="404"/>
      <c r="BJN64" s="404"/>
      <c r="BJO64" s="404"/>
      <c r="BJP64" s="404"/>
      <c r="BJQ64" s="404"/>
      <c r="BJR64" s="404"/>
      <c r="BJS64" s="404"/>
      <c r="BJT64" s="404"/>
      <c r="BJU64" s="404"/>
      <c r="BJV64" s="404"/>
      <c r="BJW64" s="404"/>
      <c r="BJX64" s="404"/>
      <c r="BJY64" s="404"/>
      <c r="BJZ64" s="404"/>
      <c r="BKA64" s="404"/>
      <c r="BKB64" s="404"/>
      <c r="BKC64" s="404"/>
      <c r="BKD64" s="404"/>
      <c r="BKE64" s="404"/>
      <c r="BKF64" s="404"/>
      <c r="BKG64" s="404"/>
      <c r="BKH64" s="404"/>
      <c r="BKI64" s="404"/>
      <c r="BKJ64" s="404"/>
      <c r="BKK64" s="404"/>
      <c r="BKL64" s="404"/>
      <c r="BKM64" s="404"/>
      <c r="BKN64" s="404"/>
      <c r="BKO64" s="404"/>
      <c r="BKP64" s="404"/>
      <c r="BKQ64" s="404"/>
      <c r="BKR64" s="404"/>
      <c r="BKS64" s="404"/>
      <c r="BKT64" s="404"/>
      <c r="BKU64" s="404"/>
      <c r="BKV64" s="404"/>
      <c r="BKW64" s="404"/>
      <c r="BKX64" s="404"/>
      <c r="BKY64" s="404"/>
      <c r="BKZ64" s="404"/>
      <c r="BLA64" s="404"/>
      <c r="BLB64" s="404"/>
      <c r="BLC64" s="404"/>
      <c r="BLD64" s="404"/>
      <c r="BLE64" s="404"/>
      <c r="BLF64" s="404"/>
      <c r="BLG64" s="404"/>
      <c r="BLH64" s="404"/>
      <c r="BLI64" s="404"/>
      <c r="BLJ64" s="404"/>
      <c r="BLK64" s="404"/>
      <c r="BLL64" s="404"/>
      <c r="BLM64" s="404"/>
      <c r="BLN64" s="404"/>
      <c r="BLO64" s="404"/>
      <c r="BLP64" s="404"/>
      <c r="BLQ64" s="404"/>
      <c r="BLR64" s="404"/>
      <c r="BLS64" s="404"/>
      <c r="BLT64" s="404"/>
      <c r="BLU64" s="404"/>
      <c r="BLV64" s="404"/>
      <c r="BLW64" s="404"/>
      <c r="BLX64" s="404"/>
      <c r="BLY64" s="404"/>
      <c r="BLZ64" s="404"/>
      <c r="BMA64" s="404"/>
      <c r="BMB64" s="404"/>
      <c r="BMC64" s="404"/>
      <c r="BMD64" s="404"/>
      <c r="BME64" s="404"/>
      <c r="BMF64" s="404"/>
      <c r="BMG64" s="404"/>
      <c r="BMH64" s="404"/>
      <c r="BMI64" s="404"/>
      <c r="BMJ64" s="404"/>
      <c r="BMK64" s="404"/>
      <c r="BML64" s="404"/>
      <c r="BMM64" s="404"/>
      <c r="BMN64" s="404"/>
      <c r="BMO64" s="404"/>
      <c r="BMP64" s="404"/>
      <c r="BMQ64" s="404"/>
      <c r="BMR64" s="404"/>
      <c r="BMS64" s="404"/>
      <c r="BMT64" s="404"/>
      <c r="BMU64" s="404"/>
      <c r="BMV64" s="404"/>
      <c r="BMW64" s="404"/>
      <c r="BMX64" s="404"/>
      <c r="BMY64" s="404"/>
      <c r="BMZ64" s="404"/>
      <c r="BNA64" s="404"/>
      <c r="BNB64" s="404"/>
      <c r="BNC64" s="404"/>
      <c r="BND64" s="404"/>
      <c r="BNE64" s="404"/>
      <c r="BNF64" s="404"/>
      <c r="BNG64" s="404"/>
      <c r="BNH64" s="404"/>
      <c r="BNI64" s="404"/>
      <c r="BNJ64" s="404"/>
      <c r="BNK64" s="404"/>
      <c r="BNL64" s="404"/>
      <c r="BNM64" s="404"/>
      <c r="BNN64" s="404"/>
      <c r="BNO64" s="404"/>
      <c r="BNP64" s="404"/>
      <c r="BNQ64" s="404"/>
      <c r="BNR64" s="404"/>
      <c r="BNS64" s="404"/>
      <c r="BNT64" s="404"/>
      <c r="BNU64" s="404"/>
      <c r="BNV64" s="404"/>
      <c r="BNW64" s="404"/>
      <c r="BNX64" s="404"/>
      <c r="BNY64" s="404"/>
      <c r="BNZ64" s="404"/>
      <c r="BOA64" s="404"/>
      <c r="BOB64" s="404"/>
      <c r="BOC64" s="404"/>
      <c r="BOD64" s="404"/>
      <c r="BOE64" s="404"/>
      <c r="BOF64" s="404"/>
      <c r="BOG64" s="404"/>
      <c r="BOH64" s="404"/>
      <c r="BOI64" s="404"/>
      <c r="BOJ64" s="404"/>
      <c r="BOK64" s="404"/>
      <c r="BOL64" s="404"/>
      <c r="BOM64" s="404"/>
      <c r="BON64" s="404"/>
      <c r="BOO64" s="404"/>
      <c r="BOP64" s="404"/>
      <c r="BOQ64" s="404"/>
      <c r="BOR64" s="404"/>
      <c r="BOS64" s="404"/>
      <c r="BOT64" s="404"/>
      <c r="BOU64" s="404"/>
      <c r="BOV64" s="404"/>
      <c r="BOW64" s="404"/>
      <c r="BOX64" s="404"/>
      <c r="BOY64" s="404"/>
      <c r="BOZ64" s="404"/>
      <c r="BPA64" s="404"/>
      <c r="BPB64" s="404"/>
      <c r="BPC64" s="404"/>
      <c r="BPD64" s="404"/>
      <c r="BPE64" s="404"/>
      <c r="BPF64" s="404"/>
      <c r="BPG64" s="404"/>
      <c r="BPH64" s="404"/>
      <c r="BPI64" s="404"/>
      <c r="BPJ64" s="404"/>
      <c r="BPK64" s="404"/>
      <c r="BPL64" s="404"/>
      <c r="BPM64" s="404"/>
      <c r="BPN64" s="404"/>
      <c r="BPO64" s="404"/>
      <c r="BPP64" s="404"/>
      <c r="BPQ64" s="404"/>
      <c r="BPR64" s="404"/>
      <c r="BPS64" s="404"/>
      <c r="BPT64" s="404"/>
      <c r="BPU64" s="404"/>
      <c r="BPV64" s="404"/>
      <c r="BPW64" s="404"/>
      <c r="BPX64" s="404"/>
      <c r="BPY64" s="404"/>
      <c r="BPZ64" s="404"/>
      <c r="BQA64" s="404"/>
      <c r="BQB64" s="404"/>
      <c r="BQC64" s="404"/>
      <c r="BQD64" s="404"/>
      <c r="BQE64" s="404"/>
      <c r="BQF64" s="404"/>
      <c r="BQG64" s="404"/>
      <c r="BQH64" s="404"/>
      <c r="BQI64" s="404"/>
      <c r="BQJ64" s="404"/>
      <c r="BQK64" s="404"/>
      <c r="BQL64" s="404"/>
      <c r="BQM64" s="404"/>
      <c r="BQN64" s="404"/>
      <c r="BQO64" s="404"/>
      <c r="BQP64" s="404"/>
      <c r="BQQ64" s="404"/>
      <c r="BQR64" s="404"/>
      <c r="BQS64" s="404"/>
      <c r="BQT64" s="404"/>
      <c r="BQU64" s="404"/>
      <c r="BQV64" s="404"/>
      <c r="BQW64" s="404"/>
      <c r="BQX64" s="404"/>
      <c r="BQY64" s="404"/>
      <c r="BQZ64" s="404"/>
      <c r="BRA64" s="404"/>
      <c r="BRB64" s="404"/>
      <c r="BRC64" s="404"/>
      <c r="BRD64" s="404"/>
      <c r="BRE64" s="404"/>
      <c r="BRF64" s="404"/>
      <c r="BRG64" s="404"/>
      <c r="BRH64" s="404"/>
      <c r="BRI64" s="404"/>
      <c r="BRJ64" s="404"/>
      <c r="BRK64" s="404"/>
      <c r="BRL64" s="404"/>
      <c r="BRM64" s="404"/>
      <c r="BRN64" s="404"/>
      <c r="BRO64" s="404"/>
      <c r="BRP64" s="404"/>
      <c r="BRQ64" s="404"/>
      <c r="BRR64" s="404"/>
      <c r="BRS64" s="404"/>
      <c r="BRT64" s="404"/>
      <c r="BRU64" s="404"/>
      <c r="BRV64" s="404"/>
      <c r="BRW64" s="404"/>
      <c r="BRX64" s="404"/>
      <c r="BRY64" s="404"/>
      <c r="BRZ64" s="404"/>
      <c r="BSA64" s="404"/>
      <c r="BSB64" s="404"/>
      <c r="BSC64" s="404"/>
      <c r="BSD64" s="404"/>
      <c r="BSE64" s="404"/>
      <c r="BSF64" s="404"/>
      <c r="BSG64" s="404"/>
      <c r="BSH64" s="404"/>
      <c r="BSI64" s="404"/>
      <c r="BSJ64" s="404"/>
      <c r="BSK64" s="404"/>
      <c r="BSL64" s="404"/>
      <c r="BSM64" s="404"/>
      <c r="BSN64" s="404"/>
      <c r="BSO64" s="404"/>
      <c r="BSP64" s="404"/>
      <c r="BSQ64" s="404"/>
      <c r="BSR64" s="404"/>
      <c r="BSS64" s="404"/>
      <c r="BST64" s="404"/>
      <c r="BSU64" s="404"/>
      <c r="BSV64" s="404"/>
      <c r="BSW64" s="404"/>
      <c r="BSX64" s="404"/>
      <c r="BSY64" s="404"/>
      <c r="BSZ64" s="404"/>
      <c r="BTA64" s="404"/>
      <c r="BTB64" s="404"/>
      <c r="BTC64" s="404"/>
      <c r="BTD64" s="404"/>
      <c r="BTE64" s="404"/>
      <c r="BTF64" s="404"/>
      <c r="BTG64" s="404"/>
      <c r="BTH64" s="404"/>
      <c r="BTI64" s="404"/>
      <c r="BTJ64" s="404"/>
      <c r="BTK64" s="404"/>
      <c r="BTL64" s="404"/>
      <c r="BTM64" s="404"/>
      <c r="BTN64" s="404"/>
      <c r="BTO64" s="404"/>
      <c r="BTP64" s="404"/>
      <c r="BTQ64" s="404"/>
      <c r="BTR64" s="404"/>
      <c r="BTS64" s="404"/>
      <c r="BTT64" s="404"/>
      <c r="BTU64" s="404"/>
      <c r="BTV64" s="404"/>
      <c r="BTW64" s="404"/>
      <c r="BTX64" s="404"/>
      <c r="BTY64" s="404"/>
      <c r="BTZ64" s="404"/>
      <c r="BUA64" s="404"/>
      <c r="BUB64" s="404"/>
      <c r="BUC64" s="404"/>
      <c r="BUD64" s="404"/>
      <c r="BUE64" s="404"/>
      <c r="BUF64" s="404"/>
      <c r="BUG64" s="404"/>
      <c r="BUH64" s="404"/>
      <c r="BUI64" s="404"/>
      <c r="BUJ64" s="404"/>
      <c r="BUK64" s="404"/>
      <c r="BUL64" s="404"/>
      <c r="BUM64" s="404"/>
      <c r="BUN64" s="404"/>
      <c r="BUO64" s="404"/>
      <c r="BUP64" s="404"/>
      <c r="BUQ64" s="404"/>
      <c r="BUR64" s="404"/>
      <c r="BUS64" s="404"/>
      <c r="BUT64" s="404"/>
      <c r="BUU64" s="404"/>
      <c r="BUV64" s="404"/>
      <c r="BUW64" s="404"/>
      <c r="BUX64" s="404"/>
      <c r="BUY64" s="404"/>
      <c r="BUZ64" s="404"/>
      <c r="BVA64" s="404"/>
      <c r="BVB64" s="404"/>
      <c r="BVC64" s="404"/>
      <c r="BVD64" s="404"/>
      <c r="BVE64" s="404"/>
      <c r="BVF64" s="404"/>
      <c r="BVG64" s="404"/>
      <c r="BVH64" s="404"/>
      <c r="BVI64" s="404"/>
      <c r="BVJ64" s="404"/>
      <c r="BVK64" s="404"/>
      <c r="BVL64" s="404"/>
      <c r="BVM64" s="404"/>
      <c r="BVN64" s="404"/>
      <c r="BVO64" s="404"/>
      <c r="BVP64" s="404"/>
      <c r="BVQ64" s="404"/>
      <c r="BVR64" s="404"/>
      <c r="BVS64" s="404"/>
      <c r="BVT64" s="404"/>
      <c r="BVU64" s="404"/>
      <c r="BVV64" s="404"/>
      <c r="BVW64" s="404"/>
      <c r="BVX64" s="404"/>
      <c r="BVY64" s="404"/>
      <c r="BVZ64" s="404"/>
      <c r="BWA64" s="404"/>
      <c r="BWB64" s="404"/>
      <c r="BWC64" s="404"/>
      <c r="BWD64" s="404"/>
      <c r="BWE64" s="404"/>
      <c r="BWF64" s="404"/>
      <c r="BWG64" s="404"/>
      <c r="BWH64" s="404"/>
      <c r="BWI64" s="404"/>
      <c r="BWJ64" s="404"/>
      <c r="BWK64" s="404"/>
      <c r="BWL64" s="404"/>
      <c r="BWM64" s="404"/>
      <c r="BWN64" s="404"/>
      <c r="BWO64" s="404"/>
      <c r="BWP64" s="404"/>
      <c r="BWQ64" s="404"/>
      <c r="BWR64" s="404"/>
      <c r="BWS64" s="404"/>
      <c r="BWT64" s="404"/>
      <c r="BWU64" s="404"/>
      <c r="BWV64" s="404"/>
      <c r="BWW64" s="404"/>
      <c r="BWX64" s="404"/>
      <c r="BWY64" s="404"/>
      <c r="BWZ64" s="404"/>
      <c r="BXA64" s="404"/>
      <c r="BXB64" s="404"/>
      <c r="BXC64" s="404"/>
      <c r="BXD64" s="404"/>
      <c r="BXE64" s="404"/>
      <c r="BXF64" s="404"/>
      <c r="BXG64" s="404"/>
      <c r="BXH64" s="404"/>
      <c r="BXI64" s="404"/>
      <c r="BXJ64" s="404"/>
      <c r="BXK64" s="404"/>
      <c r="BXL64" s="404"/>
      <c r="BXM64" s="404"/>
      <c r="BXN64" s="404"/>
      <c r="BXO64" s="404"/>
      <c r="BXP64" s="404"/>
      <c r="BXQ64" s="404"/>
      <c r="BXR64" s="404"/>
      <c r="BXS64" s="404"/>
      <c r="BXT64" s="404"/>
      <c r="BXU64" s="404"/>
      <c r="BXV64" s="404"/>
      <c r="BXW64" s="404"/>
      <c r="BXX64" s="404"/>
      <c r="BXY64" s="404"/>
      <c r="BXZ64" s="404"/>
      <c r="BYA64" s="404"/>
      <c r="BYB64" s="404"/>
      <c r="BYC64" s="404"/>
      <c r="BYD64" s="404"/>
      <c r="BYE64" s="404"/>
      <c r="BYF64" s="404"/>
      <c r="BYG64" s="404"/>
      <c r="BYH64" s="404"/>
      <c r="BYI64" s="404"/>
      <c r="BYJ64" s="404"/>
      <c r="BYK64" s="404"/>
      <c r="BYL64" s="404"/>
      <c r="BYM64" s="404"/>
      <c r="BYN64" s="404"/>
      <c r="BYO64" s="404"/>
      <c r="BYP64" s="404"/>
      <c r="BYQ64" s="404"/>
      <c r="BYR64" s="404"/>
      <c r="BYS64" s="404"/>
      <c r="BYT64" s="404"/>
      <c r="BYU64" s="404"/>
      <c r="BYV64" s="404"/>
      <c r="BYW64" s="404"/>
      <c r="BYX64" s="404"/>
      <c r="BYY64" s="404"/>
      <c r="BYZ64" s="404"/>
      <c r="BZA64" s="404"/>
      <c r="BZB64" s="404"/>
      <c r="BZC64" s="404"/>
      <c r="BZD64" s="404"/>
      <c r="BZE64" s="404"/>
      <c r="BZF64" s="404"/>
      <c r="BZG64" s="404"/>
      <c r="BZH64" s="404"/>
      <c r="BZI64" s="404"/>
      <c r="BZJ64" s="404"/>
      <c r="BZK64" s="404"/>
      <c r="BZL64" s="404"/>
      <c r="BZM64" s="404"/>
      <c r="BZN64" s="404"/>
      <c r="BZO64" s="404"/>
      <c r="BZP64" s="404"/>
      <c r="BZQ64" s="404"/>
      <c r="BZR64" s="404"/>
      <c r="BZS64" s="404"/>
      <c r="BZT64" s="404"/>
      <c r="BZU64" s="404"/>
      <c r="BZV64" s="404"/>
      <c r="BZW64" s="404"/>
      <c r="BZX64" s="404"/>
      <c r="BZY64" s="404"/>
      <c r="BZZ64" s="404"/>
      <c r="CAA64" s="404"/>
      <c r="CAB64" s="404"/>
      <c r="CAC64" s="404"/>
      <c r="CAD64" s="404"/>
      <c r="CAE64" s="404"/>
      <c r="CAF64" s="404"/>
      <c r="CAG64" s="404"/>
      <c r="CAH64" s="404"/>
      <c r="CAI64" s="404"/>
      <c r="CAJ64" s="404"/>
      <c r="CAK64" s="404"/>
      <c r="CAL64" s="404"/>
      <c r="CAM64" s="404"/>
      <c r="CAN64" s="404"/>
      <c r="CAO64" s="404"/>
      <c r="CAP64" s="404"/>
      <c r="CAQ64" s="404"/>
      <c r="CAR64" s="404"/>
      <c r="CAS64" s="404"/>
      <c r="CAT64" s="404"/>
      <c r="CAU64" s="404"/>
      <c r="CAV64" s="404"/>
      <c r="CAW64" s="404"/>
      <c r="CAX64" s="404"/>
      <c r="CAY64" s="404"/>
      <c r="CAZ64" s="404"/>
      <c r="CBA64" s="404"/>
      <c r="CBB64" s="404"/>
      <c r="CBC64" s="404"/>
      <c r="CBD64" s="404"/>
      <c r="CBE64" s="404"/>
      <c r="CBF64" s="404"/>
      <c r="CBG64" s="404"/>
      <c r="CBH64" s="404"/>
      <c r="CBI64" s="404"/>
      <c r="CBJ64" s="404"/>
      <c r="CBK64" s="404"/>
      <c r="CBL64" s="404"/>
      <c r="CBM64" s="404"/>
      <c r="CBN64" s="404"/>
      <c r="CBO64" s="404"/>
      <c r="CBP64" s="404"/>
      <c r="CBQ64" s="404"/>
      <c r="CBR64" s="404"/>
      <c r="CBS64" s="404"/>
      <c r="CBT64" s="404"/>
      <c r="CBU64" s="404"/>
      <c r="CBV64" s="404"/>
      <c r="CBW64" s="404"/>
      <c r="CBX64" s="404"/>
      <c r="CBY64" s="404"/>
      <c r="CBZ64" s="404"/>
      <c r="CCA64" s="404"/>
      <c r="CCB64" s="404"/>
      <c r="CCC64" s="404"/>
      <c r="CCD64" s="404"/>
      <c r="CCE64" s="404"/>
      <c r="CCF64" s="404"/>
      <c r="CCG64" s="404"/>
      <c r="CCH64" s="404"/>
      <c r="CCI64" s="404"/>
      <c r="CCJ64" s="404"/>
      <c r="CCK64" s="404"/>
      <c r="CCL64" s="404"/>
      <c r="CCM64" s="404"/>
      <c r="CCN64" s="404"/>
      <c r="CCO64" s="404"/>
      <c r="CCP64" s="404"/>
      <c r="CCQ64" s="404"/>
      <c r="CCR64" s="404"/>
      <c r="CCS64" s="404"/>
      <c r="CCT64" s="404"/>
      <c r="CCU64" s="404"/>
      <c r="CCV64" s="404"/>
      <c r="CCW64" s="404"/>
      <c r="CCX64" s="404"/>
      <c r="CCY64" s="404"/>
      <c r="CCZ64" s="404"/>
      <c r="CDA64" s="404"/>
      <c r="CDB64" s="404"/>
      <c r="CDC64" s="404"/>
      <c r="CDD64" s="404"/>
      <c r="CDE64" s="404"/>
      <c r="CDF64" s="404"/>
      <c r="CDG64" s="404"/>
      <c r="CDH64" s="404"/>
      <c r="CDI64" s="404"/>
      <c r="CDJ64" s="404"/>
      <c r="CDK64" s="404"/>
      <c r="CDL64" s="404"/>
      <c r="CDM64" s="404"/>
      <c r="CDN64" s="404"/>
      <c r="CDO64" s="404"/>
      <c r="CDP64" s="404"/>
      <c r="CDQ64" s="404"/>
      <c r="CDR64" s="404"/>
      <c r="CDS64" s="404"/>
      <c r="CDT64" s="404"/>
      <c r="CDU64" s="404"/>
      <c r="CDV64" s="404"/>
      <c r="CDW64" s="404"/>
      <c r="CDX64" s="404"/>
      <c r="CDY64" s="404"/>
      <c r="CDZ64" s="404"/>
      <c r="CEA64" s="404"/>
      <c r="CEB64" s="404"/>
      <c r="CEC64" s="404"/>
      <c r="CED64" s="404"/>
      <c r="CEE64" s="404"/>
      <c r="CEF64" s="404"/>
      <c r="CEG64" s="404"/>
      <c r="CEH64" s="404"/>
      <c r="CEI64" s="404"/>
      <c r="CEJ64" s="404"/>
      <c r="CEK64" s="404"/>
      <c r="CEL64" s="404"/>
      <c r="CEM64" s="404"/>
      <c r="CEN64" s="404"/>
      <c r="CEO64" s="404"/>
      <c r="CEP64" s="404"/>
      <c r="CEQ64" s="404"/>
      <c r="CER64" s="404"/>
      <c r="CES64" s="404"/>
      <c r="CET64" s="404"/>
      <c r="CEU64" s="404"/>
      <c r="CEV64" s="404"/>
      <c r="CEW64" s="404"/>
      <c r="CEX64" s="404"/>
      <c r="CEY64" s="404"/>
      <c r="CEZ64" s="404"/>
      <c r="CFA64" s="404"/>
      <c r="CFB64" s="404"/>
      <c r="CFC64" s="404"/>
      <c r="CFD64" s="404"/>
      <c r="CFE64" s="404"/>
      <c r="CFF64" s="404"/>
      <c r="CFG64" s="404"/>
      <c r="CFH64" s="404"/>
      <c r="CFI64" s="404"/>
      <c r="CFJ64" s="404"/>
      <c r="CFK64" s="404"/>
      <c r="CFL64" s="404"/>
      <c r="CFM64" s="404"/>
      <c r="CFN64" s="404"/>
      <c r="CFO64" s="404"/>
      <c r="CFP64" s="404"/>
      <c r="CFQ64" s="404"/>
      <c r="CFR64" s="404"/>
      <c r="CFS64" s="404"/>
      <c r="CFT64" s="404"/>
      <c r="CFU64" s="404"/>
      <c r="CFV64" s="404"/>
      <c r="CFW64" s="404"/>
      <c r="CFX64" s="404"/>
      <c r="CFY64" s="404"/>
      <c r="CFZ64" s="404"/>
      <c r="CGA64" s="404"/>
      <c r="CGB64" s="404"/>
      <c r="CGC64" s="404"/>
      <c r="CGD64" s="404"/>
      <c r="CGE64" s="404"/>
      <c r="CGF64" s="404"/>
      <c r="CGG64" s="404"/>
      <c r="CGH64" s="404"/>
      <c r="CGI64" s="404"/>
      <c r="CGJ64" s="404"/>
      <c r="CGK64" s="404"/>
      <c r="CGL64" s="404"/>
      <c r="CGM64" s="404"/>
      <c r="CGN64" s="404"/>
      <c r="CGO64" s="404"/>
      <c r="CGP64" s="404"/>
      <c r="CGQ64" s="404"/>
      <c r="CGR64" s="404"/>
      <c r="CGS64" s="404"/>
      <c r="CGT64" s="404"/>
      <c r="CGU64" s="404"/>
      <c r="CGV64" s="404"/>
      <c r="CGW64" s="404"/>
      <c r="CGX64" s="404"/>
      <c r="CGY64" s="404"/>
      <c r="CGZ64" s="404"/>
      <c r="CHA64" s="404"/>
      <c r="CHB64" s="404"/>
      <c r="CHC64" s="404"/>
      <c r="CHD64" s="404"/>
      <c r="CHE64" s="404"/>
      <c r="CHF64" s="404"/>
      <c r="CHG64" s="404"/>
      <c r="CHH64" s="404"/>
      <c r="CHI64" s="404"/>
      <c r="CHJ64" s="404"/>
      <c r="CHK64" s="404"/>
      <c r="CHL64" s="404"/>
      <c r="CHM64" s="404"/>
      <c r="CHN64" s="404"/>
      <c r="CHO64" s="404"/>
      <c r="CHP64" s="404"/>
      <c r="CHQ64" s="404"/>
      <c r="CHR64" s="404"/>
      <c r="CHS64" s="404"/>
      <c r="CHT64" s="404"/>
      <c r="CHU64" s="404"/>
      <c r="CHV64" s="404"/>
      <c r="CHW64" s="404"/>
      <c r="CHX64" s="404"/>
      <c r="CHY64" s="404"/>
      <c r="CHZ64" s="404"/>
      <c r="CIA64" s="404"/>
      <c r="CIB64" s="404"/>
      <c r="CIC64" s="404"/>
      <c r="CID64" s="404"/>
      <c r="CIE64" s="404"/>
      <c r="CIF64" s="404"/>
      <c r="CIG64" s="404"/>
      <c r="CIH64" s="404"/>
      <c r="CII64" s="404"/>
      <c r="CIJ64" s="404"/>
      <c r="CIK64" s="404"/>
      <c r="CIL64" s="404"/>
      <c r="CIM64" s="404"/>
      <c r="CIN64" s="404"/>
      <c r="CIO64" s="404"/>
      <c r="CIP64" s="404"/>
      <c r="CIQ64" s="404"/>
      <c r="CIR64" s="404"/>
      <c r="CIS64" s="404"/>
      <c r="CIT64" s="404"/>
      <c r="CIU64" s="404"/>
      <c r="CIV64" s="404"/>
      <c r="CIW64" s="404"/>
      <c r="CIX64" s="404"/>
      <c r="CIY64" s="404"/>
      <c r="CIZ64" s="404"/>
      <c r="CJA64" s="404"/>
      <c r="CJB64" s="404"/>
      <c r="CJC64" s="404"/>
      <c r="CJD64" s="404"/>
      <c r="CJE64" s="404"/>
      <c r="CJF64" s="404"/>
      <c r="CJG64" s="404"/>
      <c r="CJH64" s="404"/>
      <c r="CJI64" s="404"/>
      <c r="CJJ64" s="404"/>
      <c r="CJK64" s="404"/>
      <c r="CJL64" s="404"/>
      <c r="CJM64" s="404"/>
      <c r="CJN64" s="404"/>
      <c r="CJO64" s="404"/>
      <c r="CJP64" s="404"/>
      <c r="CJQ64" s="404"/>
      <c r="CJR64" s="404"/>
      <c r="CJS64" s="404"/>
      <c r="CJT64" s="404"/>
      <c r="CJU64" s="404"/>
      <c r="CJV64" s="404"/>
      <c r="CJW64" s="404"/>
      <c r="CJX64" s="404"/>
      <c r="CJY64" s="404"/>
      <c r="CJZ64" s="404"/>
      <c r="CKA64" s="404"/>
      <c r="CKB64" s="404"/>
      <c r="CKC64" s="404"/>
      <c r="CKD64" s="404"/>
      <c r="CKE64" s="404"/>
      <c r="CKF64" s="404"/>
      <c r="CKG64" s="404"/>
      <c r="CKH64" s="404"/>
      <c r="CKI64" s="404"/>
      <c r="CKJ64" s="404"/>
      <c r="CKK64" s="404"/>
      <c r="CKL64" s="404"/>
      <c r="CKM64" s="404"/>
      <c r="CKN64" s="404"/>
      <c r="CKO64" s="404"/>
      <c r="CKP64" s="404"/>
      <c r="CKQ64" s="404"/>
      <c r="CKR64" s="404"/>
      <c r="CKS64" s="404"/>
      <c r="CKT64" s="404"/>
      <c r="CKU64" s="404"/>
      <c r="CKV64" s="404"/>
      <c r="CKW64" s="404"/>
      <c r="CKX64" s="404"/>
      <c r="CKY64" s="404"/>
      <c r="CKZ64" s="404"/>
      <c r="CLA64" s="404"/>
      <c r="CLB64" s="404"/>
      <c r="CLC64" s="404"/>
      <c r="CLD64" s="404"/>
      <c r="CLE64" s="404"/>
      <c r="CLF64" s="404"/>
      <c r="CLG64" s="404"/>
      <c r="CLH64" s="404"/>
      <c r="CLI64" s="404"/>
      <c r="CLJ64" s="404"/>
      <c r="CLK64" s="404"/>
      <c r="CLL64" s="404"/>
      <c r="CLM64" s="404"/>
      <c r="CLN64" s="404"/>
      <c r="CLO64" s="404"/>
      <c r="CLP64" s="404"/>
      <c r="CLQ64" s="404"/>
      <c r="CLR64" s="404"/>
      <c r="CLS64" s="404"/>
      <c r="CLT64" s="404"/>
      <c r="CLU64" s="404"/>
      <c r="CLV64" s="404"/>
      <c r="CLW64" s="404"/>
      <c r="CLX64" s="404"/>
      <c r="CLY64" s="404"/>
      <c r="CLZ64" s="404"/>
      <c r="CMA64" s="404"/>
      <c r="CMB64" s="404"/>
      <c r="CMC64" s="404"/>
      <c r="CMD64" s="404"/>
      <c r="CME64" s="404"/>
      <c r="CMF64" s="404"/>
      <c r="CMG64" s="404"/>
      <c r="CMH64" s="404"/>
      <c r="CMI64" s="404"/>
      <c r="CMJ64" s="404"/>
      <c r="CMK64" s="404"/>
      <c r="CML64" s="404"/>
      <c r="CMM64" s="404"/>
      <c r="CMN64" s="404"/>
      <c r="CMO64" s="404"/>
      <c r="CMP64" s="404"/>
      <c r="CMQ64" s="404"/>
      <c r="CMR64" s="404"/>
      <c r="CMS64" s="404"/>
      <c r="CMT64" s="404"/>
      <c r="CMU64" s="404"/>
      <c r="CMV64" s="404"/>
      <c r="CMW64" s="404"/>
      <c r="CMX64" s="404"/>
      <c r="CMY64" s="404"/>
      <c r="CMZ64" s="404"/>
      <c r="CNA64" s="404"/>
      <c r="CNB64" s="404"/>
      <c r="CNC64" s="404"/>
      <c r="CND64" s="404"/>
      <c r="CNE64" s="404"/>
      <c r="CNF64" s="404"/>
      <c r="CNG64" s="404"/>
      <c r="CNH64" s="404"/>
      <c r="CNI64" s="404"/>
      <c r="CNJ64" s="404"/>
      <c r="CNK64" s="404"/>
      <c r="CNL64" s="404"/>
      <c r="CNM64" s="404"/>
      <c r="CNN64" s="404"/>
      <c r="CNO64" s="404"/>
      <c r="CNP64" s="404"/>
      <c r="CNQ64" s="404"/>
      <c r="CNR64" s="404"/>
      <c r="CNS64" s="404"/>
      <c r="CNT64" s="404"/>
      <c r="CNU64" s="404"/>
      <c r="CNV64" s="404"/>
      <c r="CNW64" s="404"/>
      <c r="CNX64" s="404"/>
      <c r="CNY64" s="404"/>
      <c r="CNZ64" s="404"/>
      <c r="COA64" s="404"/>
      <c r="COB64" s="404"/>
      <c r="COC64" s="404"/>
      <c r="COD64" s="404"/>
      <c r="COE64" s="404"/>
      <c r="COF64" s="404"/>
      <c r="COG64" s="404"/>
      <c r="COH64" s="404"/>
      <c r="COI64" s="404"/>
      <c r="COJ64" s="404"/>
      <c r="COK64" s="404"/>
      <c r="COL64" s="404"/>
      <c r="COM64" s="404"/>
      <c r="CON64" s="404"/>
      <c r="COO64" s="404"/>
      <c r="COP64" s="404"/>
      <c r="COQ64" s="404"/>
      <c r="COR64" s="404"/>
      <c r="COS64" s="404"/>
      <c r="COT64" s="404"/>
      <c r="COU64" s="404"/>
      <c r="COV64" s="404"/>
      <c r="COW64" s="404"/>
      <c r="COX64" s="404"/>
      <c r="COY64" s="404"/>
      <c r="COZ64" s="404"/>
      <c r="CPA64" s="404"/>
      <c r="CPB64" s="404"/>
      <c r="CPC64" s="404"/>
      <c r="CPD64" s="404"/>
      <c r="CPE64" s="404"/>
      <c r="CPF64" s="404"/>
      <c r="CPG64" s="404"/>
      <c r="CPH64" s="404"/>
      <c r="CPI64" s="404"/>
      <c r="CPJ64" s="404"/>
      <c r="CPK64" s="404"/>
      <c r="CPL64" s="404"/>
      <c r="CPM64" s="404"/>
      <c r="CPN64" s="404"/>
      <c r="CPO64" s="404"/>
      <c r="CPP64" s="404"/>
      <c r="CPQ64" s="404"/>
      <c r="CPR64" s="404"/>
      <c r="CPS64" s="404"/>
      <c r="CPT64" s="404"/>
      <c r="CPU64" s="404"/>
      <c r="CPV64" s="404"/>
      <c r="CPW64" s="404"/>
      <c r="CPX64" s="404"/>
      <c r="CPY64" s="404"/>
      <c r="CPZ64" s="404"/>
      <c r="CQA64" s="404"/>
      <c r="CQB64" s="404"/>
      <c r="CQC64" s="404"/>
      <c r="CQD64" s="404"/>
      <c r="CQE64" s="404"/>
      <c r="CQF64" s="404"/>
      <c r="CQG64" s="404"/>
      <c r="CQH64" s="404"/>
      <c r="CQI64" s="404"/>
      <c r="CQJ64" s="404"/>
      <c r="CQK64" s="404"/>
      <c r="CQL64" s="404"/>
      <c r="CQM64" s="404"/>
      <c r="CQN64" s="404"/>
      <c r="CQO64" s="404"/>
      <c r="CQP64" s="404"/>
      <c r="CQQ64" s="404"/>
      <c r="CQR64" s="404"/>
      <c r="CQS64" s="404"/>
      <c r="CQT64" s="404"/>
      <c r="CQU64" s="404"/>
      <c r="CQV64" s="404"/>
      <c r="CQW64" s="404"/>
      <c r="CQX64" s="404"/>
      <c r="CQY64" s="404"/>
      <c r="CQZ64" s="404"/>
      <c r="CRA64" s="404"/>
      <c r="CRB64" s="404"/>
      <c r="CRC64" s="404"/>
      <c r="CRD64" s="404"/>
      <c r="CRE64" s="404"/>
      <c r="CRF64" s="404"/>
      <c r="CRG64" s="404"/>
      <c r="CRH64" s="404"/>
      <c r="CRI64" s="404"/>
      <c r="CRJ64" s="404"/>
      <c r="CRK64" s="404"/>
      <c r="CRL64" s="404"/>
      <c r="CRM64" s="404"/>
      <c r="CRN64" s="404"/>
      <c r="CRO64" s="404"/>
      <c r="CRP64" s="404"/>
      <c r="CRQ64" s="404"/>
      <c r="CRR64" s="404"/>
      <c r="CRS64" s="404"/>
      <c r="CRT64" s="404"/>
      <c r="CRU64" s="404"/>
      <c r="CRV64" s="404"/>
      <c r="CRW64" s="404"/>
      <c r="CRX64" s="404"/>
      <c r="CRY64" s="404"/>
      <c r="CRZ64" s="404"/>
      <c r="CSA64" s="404"/>
      <c r="CSB64" s="404"/>
      <c r="CSC64" s="404"/>
      <c r="CSD64" s="404"/>
      <c r="CSE64" s="404"/>
      <c r="CSF64" s="404"/>
      <c r="CSG64" s="404"/>
      <c r="CSH64" s="404"/>
      <c r="CSI64" s="404"/>
      <c r="CSJ64" s="404"/>
      <c r="CSK64" s="404"/>
      <c r="CSL64" s="404"/>
      <c r="CSM64" s="404"/>
      <c r="CSN64" s="404"/>
      <c r="CSO64" s="404"/>
      <c r="CSP64" s="404"/>
      <c r="CSQ64" s="404"/>
      <c r="CSR64" s="404"/>
      <c r="CSS64" s="404"/>
      <c r="CST64" s="404"/>
      <c r="CSU64" s="404"/>
      <c r="CSV64" s="404"/>
      <c r="CSW64" s="404"/>
      <c r="CSX64" s="404"/>
      <c r="CSY64" s="404"/>
      <c r="CSZ64" s="404"/>
      <c r="CTA64" s="404"/>
      <c r="CTB64" s="404"/>
      <c r="CTC64" s="404"/>
      <c r="CTD64" s="404"/>
      <c r="CTE64" s="404"/>
      <c r="CTF64" s="404"/>
      <c r="CTG64" s="404"/>
      <c r="CTH64" s="404"/>
      <c r="CTI64" s="404"/>
      <c r="CTJ64" s="404"/>
      <c r="CTK64" s="404"/>
      <c r="CTL64" s="404"/>
      <c r="CTM64" s="404"/>
      <c r="CTN64" s="404"/>
      <c r="CTO64" s="404"/>
      <c r="CTP64" s="404"/>
      <c r="CTQ64" s="404"/>
      <c r="CTR64" s="404"/>
      <c r="CTS64" s="404"/>
      <c r="CTT64" s="404"/>
      <c r="CTU64" s="404"/>
      <c r="CTV64" s="404"/>
      <c r="CTW64" s="404"/>
      <c r="CTX64" s="404"/>
      <c r="CTY64" s="404"/>
      <c r="CTZ64" s="404"/>
      <c r="CUA64" s="404"/>
      <c r="CUB64" s="404"/>
      <c r="CUC64" s="404"/>
      <c r="CUD64" s="404"/>
      <c r="CUE64" s="404"/>
      <c r="CUF64" s="404"/>
      <c r="CUG64" s="404"/>
      <c r="CUH64" s="404"/>
      <c r="CUI64" s="404"/>
      <c r="CUJ64" s="404"/>
      <c r="CUK64" s="404"/>
      <c r="CUL64" s="404"/>
      <c r="CUM64" s="404"/>
      <c r="CUN64" s="404"/>
      <c r="CUO64" s="404"/>
      <c r="CUP64" s="404"/>
      <c r="CUQ64" s="404"/>
      <c r="CUR64" s="404"/>
      <c r="CUS64" s="404"/>
      <c r="CUT64" s="404"/>
      <c r="CUU64" s="404"/>
      <c r="CUV64" s="404"/>
      <c r="CUW64" s="404"/>
      <c r="CUX64" s="404"/>
      <c r="CUY64" s="404"/>
      <c r="CUZ64" s="404"/>
      <c r="CVA64" s="404"/>
      <c r="CVB64" s="404"/>
      <c r="CVC64" s="404"/>
      <c r="CVD64" s="404"/>
      <c r="CVE64" s="404"/>
      <c r="CVF64" s="404"/>
      <c r="CVG64" s="404"/>
      <c r="CVH64" s="404"/>
      <c r="CVI64" s="404"/>
      <c r="CVJ64" s="404"/>
      <c r="CVK64" s="404"/>
      <c r="CVL64" s="404"/>
      <c r="CVM64" s="404"/>
      <c r="CVN64" s="404"/>
      <c r="CVO64" s="404"/>
      <c r="CVP64" s="404"/>
      <c r="CVQ64" s="404"/>
      <c r="CVR64" s="404"/>
      <c r="CVS64" s="404"/>
      <c r="CVT64" s="404"/>
      <c r="CVU64" s="404"/>
      <c r="CVV64" s="404"/>
      <c r="CVW64" s="404"/>
      <c r="CVX64" s="404"/>
      <c r="CVY64" s="404"/>
      <c r="CVZ64" s="404"/>
      <c r="CWA64" s="404"/>
      <c r="CWB64" s="404"/>
      <c r="CWC64" s="404"/>
      <c r="CWD64" s="404"/>
      <c r="CWE64" s="404"/>
      <c r="CWF64" s="404"/>
      <c r="CWG64" s="404"/>
      <c r="CWH64" s="404"/>
      <c r="CWI64" s="404"/>
      <c r="CWJ64" s="404"/>
      <c r="CWK64" s="404"/>
      <c r="CWL64" s="404"/>
      <c r="CWM64" s="404"/>
      <c r="CWN64" s="404"/>
      <c r="CWO64" s="404"/>
      <c r="CWP64" s="404"/>
      <c r="CWQ64" s="404"/>
      <c r="CWR64" s="404"/>
      <c r="CWS64" s="404"/>
      <c r="CWT64" s="404"/>
      <c r="CWU64" s="404"/>
      <c r="CWV64" s="404"/>
      <c r="CWW64" s="404"/>
      <c r="CWX64" s="404"/>
      <c r="CWY64" s="404"/>
      <c r="CWZ64" s="404"/>
      <c r="CXA64" s="404"/>
      <c r="CXB64" s="404"/>
      <c r="CXC64" s="404"/>
      <c r="CXD64" s="404"/>
      <c r="CXE64" s="404"/>
      <c r="CXF64" s="404"/>
      <c r="CXG64" s="404"/>
      <c r="CXH64" s="404"/>
      <c r="CXI64" s="404"/>
      <c r="CXJ64" s="404"/>
      <c r="CXK64" s="404"/>
      <c r="CXL64" s="404"/>
      <c r="CXM64" s="404"/>
      <c r="CXN64" s="404"/>
      <c r="CXO64" s="404"/>
      <c r="CXP64" s="404"/>
      <c r="CXQ64" s="404"/>
      <c r="CXR64" s="404"/>
      <c r="CXS64" s="404"/>
      <c r="CXT64" s="404"/>
      <c r="CXU64" s="404"/>
      <c r="CXV64" s="404"/>
      <c r="CXW64" s="404"/>
      <c r="CXX64" s="404"/>
      <c r="CXY64" s="404"/>
      <c r="CXZ64" s="404"/>
      <c r="CYA64" s="404"/>
      <c r="CYB64" s="404"/>
      <c r="CYC64" s="404"/>
      <c r="CYD64" s="404"/>
      <c r="CYE64" s="404"/>
      <c r="CYF64" s="404"/>
      <c r="CYG64" s="404"/>
      <c r="CYH64" s="404"/>
      <c r="CYI64" s="404"/>
      <c r="CYJ64" s="404"/>
      <c r="CYK64" s="404"/>
      <c r="CYL64" s="404"/>
      <c r="CYM64" s="404"/>
      <c r="CYN64" s="404"/>
      <c r="CYO64" s="404"/>
      <c r="CYP64" s="404"/>
      <c r="CYQ64" s="404"/>
      <c r="CYR64" s="404"/>
      <c r="CYS64" s="404"/>
      <c r="CYT64" s="404"/>
      <c r="CYU64" s="404"/>
      <c r="CYV64" s="404"/>
      <c r="CYW64" s="404"/>
      <c r="CYX64" s="404"/>
      <c r="CYY64" s="404"/>
      <c r="CYZ64" s="404"/>
      <c r="CZA64" s="404"/>
      <c r="CZB64" s="404"/>
      <c r="CZC64" s="404"/>
      <c r="CZD64" s="404"/>
      <c r="CZE64" s="404"/>
      <c r="CZF64" s="404"/>
      <c r="CZG64" s="404"/>
      <c r="CZH64" s="404"/>
      <c r="CZI64" s="404"/>
      <c r="CZJ64" s="404"/>
      <c r="CZK64" s="404"/>
      <c r="CZL64" s="404"/>
      <c r="CZM64" s="404"/>
      <c r="CZN64" s="404"/>
      <c r="CZO64" s="404"/>
      <c r="CZP64" s="404"/>
      <c r="CZQ64" s="404"/>
      <c r="CZR64" s="404"/>
      <c r="CZS64" s="404"/>
      <c r="CZT64" s="404"/>
      <c r="CZU64" s="404"/>
      <c r="CZV64" s="404"/>
      <c r="CZW64" s="404"/>
      <c r="CZX64" s="404"/>
      <c r="CZY64" s="404"/>
      <c r="CZZ64" s="404"/>
      <c r="DAA64" s="404"/>
      <c r="DAB64" s="404"/>
      <c r="DAC64" s="404"/>
      <c r="DAD64" s="404"/>
      <c r="DAE64" s="404"/>
      <c r="DAF64" s="404"/>
      <c r="DAG64" s="404"/>
      <c r="DAH64" s="404"/>
      <c r="DAI64" s="404"/>
      <c r="DAJ64" s="404"/>
      <c r="DAK64" s="404"/>
      <c r="DAL64" s="404"/>
      <c r="DAM64" s="404"/>
      <c r="DAN64" s="404"/>
      <c r="DAO64" s="404"/>
      <c r="DAP64" s="404"/>
      <c r="DAQ64" s="404"/>
      <c r="DAR64" s="404"/>
      <c r="DAS64" s="404"/>
      <c r="DAT64" s="404"/>
      <c r="DAU64" s="404"/>
      <c r="DAV64" s="404"/>
      <c r="DAW64" s="404"/>
      <c r="DAX64" s="404"/>
      <c r="DAY64" s="404"/>
      <c r="DAZ64" s="404"/>
      <c r="DBA64" s="404"/>
      <c r="DBB64" s="404"/>
      <c r="DBC64" s="404"/>
      <c r="DBD64" s="404"/>
      <c r="DBE64" s="404"/>
      <c r="DBF64" s="404"/>
      <c r="DBG64" s="404"/>
      <c r="DBH64" s="404"/>
      <c r="DBI64" s="404"/>
      <c r="DBJ64" s="404"/>
      <c r="DBK64" s="404"/>
      <c r="DBL64" s="404"/>
      <c r="DBM64" s="404"/>
      <c r="DBN64" s="404"/>
      <c r="DBO64" s="404"/>
      <c r="DBP64" s="404"/>
      <c r="DBQ64" s="404"/>
      <c r="DBR64" s="404"/>
      <c r="DBS64" s="404"/>
      <c r="DBT64" s="404"/>
      <c r="DBU64" s="404"/>
      <c r="DBV64" s="404"/>
      <c r="DBW64" s="404"/>
      <c r="DBX64" s="404"/>
      <c r="DBY64" s="404"/>
      <c r="DBZ64" s="404"/>
      <c r="DCA64" s="404"/>
      <c r="DCB64" s="404"/>
      <c r="DCC64" s="404"/>
      <c r="DCD64" s="404"/>
      <c r="DCE64" s="404"/>
      <c r="DCF64" s="404"/>
      <c r="DCG64" s="404"/>
      <c r="DCH64" s="404"/>
      <c r="DCI64" s="404"/>
      <c r="DCJ64" s="404"/>
      <c r="DCK64" s="404"/>
      <c r="DCL64" s="404"/>
      <c r="DCM64" s="404"/>
      <c r="DCN64" s="404"/>
      <c r="DCO64" s="404"/>
      <c r="DCP64" s="404"/>
      <c r="DCQ64" s="404"/>
      <c r="DCR64" s="404"/>
      <c r="DCS64" s="404"/>
      <c r="DCT64" s="404"/>
      <c r="DCU64" s="404"/>
      <c r="DCV64" s="404"/>
      <c r="DCW64" s="404"/>
      <c r="DCX64" s="404"/>
      <c r="DCY64" s="404"/>
      <c r="DCZ64" s="404"/>
      <c r="DDA64" s="404"/>
      <c r="DDB64" s="404"/>
      <c r="DDC64" s="404"/>
      <c r="DDD64" s="404"/>
      <c r="DDE64" s="404"/>
      <c r="DDF64" s="404"/>
      <c r="DDG64" s="404"/>
      <c r="DDH64" s="404"/>
      <c r="DDI64" s="404"/>
      <c r="DDJ64" s="404"/>
      <c r="DDK64" s="404"/>
      <c r="DDL64" s="404"/>
      <c r="DDM64" s="404"/>
      <c r="DDN64" s="404"/>
      <c r="DDO64" s="404"/>
      <c r="DDP64" s="404"/>
      <c r="DDQ64" s="404"/>
      <c r="DDR64" s="404"/>
      <c r="DDS64" s="404"/>
      <c r="DDT64" s="404"/>
      <c r="DDU64" s="404"/>
      <c r="DDV64" s="404"/>
      <c r="DDW64" s="404"/>
      <c r="DDX64" s="404"/>
      <c r="DDY64" s="404"/>
      <c r="DDZ64" s="404"/>
      <c r="DEA64" s="404"/>
      <c r="DEB64" s="404"/>
      <c r="DEC64" s="404"/>
      <c r="DED64" s="404"/>
      <c r="DEE64" s="404"/>
      <c r="DEF64" s="404"/>
      <c r="DEG64" s="404"/>
      <c r="DEH64" s="404"/>
      <c r="DEI64" s="404"/>
      <c r="DEJ64" s="404"/>
      <c r="DEK64" s="404"/>
      <c r="DEL64" s="404"/>
      <c r="DEM64" s="404"/>
      <c r="DEN64" s="404"/>
      <c r="DEO64" s="404"/>
      <c r="DEP64" s="404"/>
      <c r="DEQ64" s="404"/>
      <c r="DER64" s="404"/>
      <c r="DES64" s="404"/>
      <c r="DET64" s="404"/>
      <c r="DEU64" s="404"/>
      <c r="DEV64" s="404"/>
      <c r="DEW64" s="404"/>
      <c r="DEX64" s="404"/>
      <c r="DEY64" s="404"/>
      <c r="DEZ64" s="404"/>
      <c r="DFA64" s="404"/>
      <c r="DFB64" s="404"/>
      <c r="DFC64" s="404"/>
      <c r="DFD64" s="404"/>
      <c r="DFE64" s="404"/>
      <c r="DFF64" s="404"/>
      <c r="DFG64" s="404"/>
      <c r="DFH64" s="404"/>
      <c r="DFI64" s="404"/>
      <c r="DFJ64" s="404"/>
      <c r="DFK64" s="404"/>
      <c r="DFL64" s="404"/>
      <c r="DFM64" s="404"/>
      <c r="DFN64" s="404"/>
      <c r="DFO64" s="404"/>
      <c r="DFP64" s="404"/>
      <c r="DFQ64" s="404"/>
      <c r="DFR64" s="404"/>
      <c r="DFS64" s="404"/>
      <c r="DFT64" s="404"/>
      <c r="DFU64" s="404"/>
      <c r="DFV64" s="404"/>
      <c r="DFW64" s="404"/>
      <c r="DFX64" s="404"/>
      <c r="DFY64" s="404"/>
      <c r="DFZ64" s="404"/>
      <c r="DGA64" s="404"/>
      <c r="DGB64" s="404"/>
      <c r="DGC64" s="404"/>
      <c r="DGD64" s="404"/>
      <c r="DGE64" s="404"/>
      <c r="DGF64" s="404"/>
      <c r="DGG64" s="404"/>
      <c r="DGH64" s="404"/>
      <c r="DGI64" s="404"/>
      <c r="DGJ64" s="404"/>
      <c r="DGK64" s="404"/>
      <c r="DGL64" s="404"/>
      <c r="DGM64" s="404"/>
      <c r="DGN64" s="404"/>
      <c r="DGO64" s="404"/>
      <c r="DGP64" s="404"/>
      <c r="DGQ64" s="404"/>
      <c r="DGR64" s="404"/>
      <c r="DGS64" s="404"/>
      <c r="DGT64" s="404"/>
      <c r="DGU64" s="404"/>
      <c r="DGV64" s="404"/>
      <c r="DGW64" s="404"/>
      <c r="DGX64" s="404"/>
      <c r="DGY64" s="404"/>
      <c r="DGZ64" s="404"/>
      <c r="DHA64" s="404"/>
      <c r="DHB64" s="404"/>
      <c r="DHC64" s="404"/>
      <c r="DHD64" s="404"/>
      <c r="DHE64" s="404"/>
      <c r="DHF64" s="404"/>
      <c r="DHG64" s="404"/>
      <c r="DHH64" s="404"/>
      <c r="DHI64" s="404"/>
      <c r="DHJ64" s="404"/>
      <c r="DHK64" s="404"/>
      <c r="DHL64" s="404"/>
      <c r="DHM64" s="404"/>
      <c r="DHN64" s="404"/>
      <c r="DHO64" s="404"/>
      <c r="DHP64" s="404"/>
      <c r="DHQ64" s="404"/>
      <c r="DHR64" s="404"/>
      <c r="DHS64" s="404"/>
      <c r="DHT64" s="404"/>
      <c r="DHU64" s="404"/>
      <c r="DHV64" s="404"/>
      <c r="DHW64" s="404"/>
      <c r="DHX64" s="404"/>
      <c r="DHY64" s="404"/>
      <c r="DHZ64" s="404"/>
      <c r="DIA64" s="404"/>
      <c r="DIB64" s="404"/>
      <c r="DIC64" s="404"/>
      <c r="DID64" s="404"/>
      <c r="DIE64" s="404"/>
      <c r="DIF64" s="404"/>
      <c r="DIG64" s="404"/>
      <c r="DIH64" s="404"/>
      <c r="DII64" s="404"/>
      <c r="DIJ64" s="404"/>
      <c r="DIK64" s="404"/>
      <c r="DIL64" s="404"/>
      <c r="DIM64" s="404"/>
      <c r="DIN64" s="404"/>
      <c r="DIO64" s="404"/>
      <c r="DIP64" s="404"/>
      <c r="DIQ64" s="404"/>
      <c r="DIR64" s="404"/>
      <c r="DIS64" s="404"/>
      <c r="DIT64" s="404"/>
      <c r="DIU64" s="404"/>
      <c r="DIV64" s="404"/>
      <c r="DIW64" s="404"/>
      <c r="DIX64" s="404"/>
      <c r="DIY64" s="404"/>
      <c r="DIZ64" s="404"/>
      <c r="DJA64" s="404"/>
      <c r="DJB64" s="404"/>
      <c r="DJC64" s="404"/>
      <c r="DJD64" s="404"/>
      <c r="DJE64" s="404"/>
      <c r="DJF64" s="404"/>
      <c r="DJG64" s="404"/>
      <c r="DJH64" s="404"/>
      <c r="DJI64" s="404"/>
      <c r="DJJ64" s="404"/>
      <c r="DJK64" s="404"/>
      <c r="DJL64" s="404"/>
      <c r="DJM64" s="404"/>
      <c r="DJN64" s="404"/>
      <c r="DJO64" s="404"/>
      <c r="DJP64" s="404"/>
      <c r="DJQ64" s="404"/>
      <c r="DJR64" s="404"/>
      <c r="DJS64" s="404"/>
      <c r="DJT64" s="404"/>
      <c r="DJU64" s="404"/>
      <c r="DJV64" s="404"/>
      <c r="DJW64" s="404"/>
      <c r="DJX64" s="404"/>
      <c r="DJY64" s="404"/>
      <c r="DJZ64" s="404"/>
      <c r="DKA64" s="404"/>
      <c r="DKB64" s="404"/>
      <c r="DKC64" s="404"/>
      <c r="DKD64" s="404"/>
      <c r="DKE64" s="404"/>
      <c r="DKF64" s="404"/>
      <c r="DKG64" s="404"/>
      <c r="DKH64" s="404"/>
      <c r="DKI64" s="404"/>
      <c r="DKJ64" s="404"/>
      <c r="DKK64" s="404"/>
      <c r="DKL64" s="404"/>
      <c r="DKM64" s="404"/>
      <c r="DKN64" s="404"/>
      <c r="DKO64" s="404"/>
      <c r="DKP64" s="404"/>
      <c r="DKQ64" s="404"/>
      <c r="DKR64" s="404"/>
      <c r="DKS64" s="404"/>
      <c r="DKT64" s="404"/>
      <c r="DKU64" s="404"/>
      <c r="DKV64" s="404"/>
      <c r="DKW64" s="404"/>
      <c r="DKX64" s="404"/>
      <c r="DKY64" s="404"/>
      <c r="DKZ64" s="404"/>
      <c r="DLA64" s="404"/>
      <c r="DLB64" s="404"/>
      <c r="DLC64" s="404"/>
      <c r="DLD64" s="404"/>
      <c r="DLE64" s="404"/>
      <c r="DLF64" s="404"/>
      <c r="DLG64" s="404"/>
      <c r="DLH64" s="404"/>
      <c r="DLI64" s="404"/>
      <c r="DLJ64" s="404"/>
      <c r="DLK64" s="404"/>
      <c r="DLL64" s="404"/>
      <c r="DLM64" s="404"/>
      <c r="DLN64" s="404"/>
      <c r="DLO64" s="404"/>
      <c r="DLP64" s="404"/>
      <c r="DLQ64" s="404"/>
      <c r="DLR64" s="404"/>
      <c r="DLS64" s="404"/>
      <c r="DLT64" s="404"/>
      <c r="DLU64" s="404"/>
      <c r="DLV64" s="404"/>
      <c r="DLW64" s="404"/>
      <c r="DLX64" s="404"/>
      <c r="DLY64" s="404"/>
      <c r="DLZ64" s="404"/>
      <c r="DMA64" s="404"/>
      <c r="DMB64" s="404"/>
      <c r="DMC64" s="404"/>
      <c r="DMD64" s="404"/>
      <c r="DME64" s="404"/>
      <c r="DMF64" s="404"/>
      <c r="DMG64" s="404"/>
      <c r="DMH64" s="404"/>
      <c r="DMI64" s="404"/>
      <c r="DMJ64" s="404"/>
      <c r="DMK64" s="404"/>
      <c r="DML64" s="404"/>
      <c r="DMM64" s="404"/>
      <c r="DMN64" s="404"/>
      <c r="DMO64" s="404"/>
      <c r="DMP64" s="404"/>
      <c r="DMQ64" s="404"/>
      <c r="DMR64" s="404"/>
      <c r="DMS64" s="404"/>
      <c r="DMT64" s="404"/>
      <c r="DMU64" s="404"/>
      <c r="DMV64" s="404"/>
      <c r="DMW64" s="404"/>
      <c r="DMX64" s="404"/>
      <c r="DMY64" s="404"/>
      <c r="DMZ64" s="404"/>
      <c r="DNA64" s="404"/>
      <c r="DNB64" s="404"/>
      <c r="DNC64" s="404"/>
      <c r="DND64" s="404"/>
      <c r="DNE64" s="404"/>
      <c r="DNF64" s="404"/>
      <c r="DNG64" s="404"/>
      <c r="DNH64" s="404"/>
      <c r="DNI64" s="404"/>
      <c r="DNJ64" s="404"/>
      <c r="DNK64" s="404"/>
      <c r="DNL64" s="404"/>
      <c r="DNM64" s="404"/>
      <c r="DNN64" s="404"/>
      <c r="DNO64" s="404"/>
      <c r="DNP64" s="404"/>
      <c r="DNQ64" s="404"/>
      <c r="DNR64" s="404"/>
      <c r="DNS64" s="404"/>
      <c r="DNT64" s="404"/>
      <c r="DNU64" s="404"/>
      <c r="DNV64" s="404"/>
      <c r="DNW64" s="404"/>
      <c r="DNX64" s="404"/>
      <c r="DNY64" s="404"/>
      <c r="DNZ64" s="404"/>
      <c r="DOA64" s="404"/>
      <c r="DOB64" s="404"/>
      <c r="DOC64" s="404"/>
      <c r="DOD64" s="404"/>
      <c r="DOE64" s="404"/>
      <c r="DOF64" s="404"/>
      <c r="DOG64" s="404"/>
      <c r="DOH64" s="404"/>
      <c r="DOI64" s="404"/>
      <c r="DOJ64" s="404"/>
      <c r="DOK64" s="404"/>
      <c r="DOL64" s="404"/>
      <c r="DOM64" s="404"/>
      <c r="DON64" s="404"/>
      <c r="DOO64" s="404"/>
      <c r="DOP64" s="404"/>
      <c r="DOQ64" s="404"/>
      <c r="DOR64" s="404"/>
      <c r="DOS64" s="404"/>
      <c r="DOT64" s="404"/>
      <c r="DOU64" s="404"/>
      <c r="DOV64" s="404"/>
      <c r="DOW64" s="404"/>
      <c r="DOX64" s="404"/>
      <c r="DOY64" s="404"/>
      <c r="DOZ64" s="404"/>
      <c r="DPA64" s="404"/>
      <c r="DPB64" s="404"/>
      <c r="DPC64" s="404"/>
      <c r="DPD64" s="404"/>
      <c r="DPE64" s="404"/>
      <c r="DPF64" s="404"/>
      <c r="DPG64" s="404"/>
      <c r="DPH64" s="404"/>
      <c r="DPI64" s="404"/>
      <c r="DPJ64" s="404"/>
      <c r="DPK64" s="404"/>
      <c r="DPL64" s="404"/>
      <c r="DPM64" s="404"/>
      <c r="DPN64" s="404"/>
      <c r="DPO64" s="404"/>
      <c r="DPP64" s="404"/>
      <c r="DPQ64" s="404"/>
      <c r="DPR64" s="404"/>
      <c r="DPS64" s="404"/>
      <c r="DPT64" s="404"/>
      <c r="DPU64" s="404"/>
      <c r="DPV64" s="404"/>
      <c r="DPW64" s="404"/>
      <c r="DPX64" s="404"/>
      <c r="DPY64" s="404"/>
      <c r="DPZ64" s="404"/>
      <c r="DQA64" s="404"/>
      <c r="DQB64" s="404"/>
      <c r="DQC64" s="404"/>
      <c r="DQD64" s="404"/>
      <c r="DQE64" s="404"/>
      <c r="DQF64" s="404"/>
      <c r="DQG64" s="404"/>
      <c r="DQH64" s="404"/>
      <c r="DQI64" s="404"/>
      <c r="DQJ64" s="404"/>
      <c r="DQK64" s="404"/>
      <c r="DQL64" s="404"/>
      <c r="DQM64" s="404"/>
      <c r="DQN64" s="404"/>
      <c r="DQO64" s="404"/>
      <c r="DQP64" s="404"/>
      <c r="DQQ64" s="404"/>
      <c r="DQR64" s="404"/>
      <c r="DQS64" s="404"/>
      <c r="DQT64" s="404"/>
      <c r="DQU64" s="404"/>
      <c r="DQV64" s="404"/>
      <c r="DQW64" s="404"/>
      <c r="DQX64" s="404"/>
      <c r="DQY64" s="404"/>
      <c r="DQZ64" s="404"/>
      <c r="DRA64" s="404"/>
      <c r="DRB64" s="404"/>
      <c r="DRC64" s="404"/>
      <c r="DRD64" s="404"/>
      <c r="DRE64" s="404"/>
      <c r="DRF64" s="404"/>
      <c r="DRG64" s="404"/>
      <c r="DRH64" s="404"/>
      <c r="DRI64" s="404"/>
      <c r="DRJ64" s="404"/>
      <c r="DRK64" s="404"/>
      <c r="DRL64" s="404"/>
      <c r="DRM64" s="404"/>
      <c r="DRN64" s="404"/>
      <c r="DRO64" s="404"/>
      <c r="DRP64" s="404"/>
      <c r="DRQ64" s="404"/>
      <c r="DRR64" s="404"/>
      <c r="DRS64" s="404"/>
      <c r="DRT64" s="404"/>
      <c r="DRU64" s="404"/>
      <c r="DRV64" s="404"/>
      <c r="DRW64" s="404"/>
      <c r="DRX64" s="404"/>
      <c r="DRY64" s="404"/>
      <c r="DRZ64" s="404"/>
      <c r="DSA64" s="404"/>
      <c r="DSB64" s="404"/>
      <c r="DSC64" s="404"/>
      <c r="DSD64" s="404"/>
      <c r="DSE64" s="404"/>
      <c r="DSF64" s="404"/>
      <c r="DSG64" s="404"/>
      <c r="DSH64" s="404"/>
      <c r="DSI64" s="404"/>
      <c r="DSJ64" s="404"/>
      <c r="DSK64" s="404"/>
      <c r="DSL64" s="404"/>
      <c r="DSM64" s="404"/>
      <c r="DSN64" s="404"/>
      <c r="DSO64" s="404"/>
      <c r="DSP64" s="404"/>
      <c r="DSQ64" s="404"/>
      <c r="DSR64" s="404"/>
      <c r="DSS64" s="404"/>
      <c r="DST64" s="404"/>
      <c r="DSU64" s="404"/>
      <c r="DSV64" s="404"/>
      <c r="DSW64" s="404"/>
      <c r="DSX64" s="404"/>
      <c r="DSY64" s="404"/>
      <c r="DSZ64" s="404"/>
      <c r="DTA64" s="404"/>
      <c r="DTB64" s="404"/>
      <c r="DTC64" s="404"/>
      <c r="DTD64" s="404"/>
      <c r="DTE64" s="404"/>
      <c r="DTF64" s="404"/>
      <c r="DTG64" s="404"/>
      <c r="DTH64" s="404"/>
      <c r="DTI64" s="404"/>
      <c r="DTJ64" s="404"/>
      <c r="DTK64" s="404"/>
      <c r="DTL64" s="404"/>
      <c r="DTM64" s="404"/>
      <c r="DTN64" s="404"/>
      <c r="DTO64" s="404"/>
      <c r="DTP64" s="404"/>
      <c r="DTQ64" s="404"/>
      <c r="DTR64" s="404"/>
      <c r="DTS64" s="404"/>
      <c r="DTT64" s="404"/>
      <c r="DTU64" s="404"/>
      <c r="DTV64" s="404"/>
      <c r="DTW64" s="404"/>
      <c r="DTX64" s="404"/>
      <c r="DTY64" s="404"/>
      <c r="DTZ64" s="404"/>
      <c r="DUA64" s="404"/>
      <c r="DUB64" s="404"/>
      <c r="DUC64" s="404"/>
      <c r="DUD64" s="404"/>
      <c r="DUE64" s="404"/>
      <c r="DUF64" s="404"/>
      <c r="DUG64" s="404"/>
      <c r="DUH64" s="404"/>
      <c r="DUI64" s="404"/>
      <c r="DUJ64" s="404"/>
      <c r="DUK64" s="404"/>
      <c r="DUL64" s="404"/>
      <c r="DUM64" s="404"/>
      <c r="DUN64" s="404"/>
      <c r="DUO64" s="404"/>
      <c r="DUP64" s="404"/>
      <c r="DUQ64" s="404"/>
      <c r="DUR64" s="404"/>
      <c r="DUS64" s="404"/>
      <c r="DUT64" s="404"/>
      <c r="DUU64" s="404"/>
      <c r="DUV64" s="404"/>
      <c r="DUW64" s="404"/>
      <c r="DUX64" s="404"/>
      <c r="DUY64" s="404"/>
      <c r="DUZ64" s="404"/>
      <c r="DVA64" s="404"/>
      <c r="DVB64" s="404"/>
      <c r="DVC64" s="404"/>
      <c r="DVD64" s="404"/>
      <c r="DVE64" s="404"/>
      <c r="DVF64" s="404"/>
      <c r="DVG64" s="404"/>
      <c r="DVH64" s="404"/>
      <c r="DVI64" s="404"/>
      <c r="DVJ64" s="404"/>
      <c r="DVK64" s="404"/>
      <c r="DVL64" s="404"/>
      <c r="DVM64" s="404"/>
      <c r="DVN64" s="404"/>
      <c r="DVO64" s="404"/>
      <c r="DVP64" s="404"/>
      <c r="DVQ64" s="404"/>
      <c r="DVR64" s="404"/>
      <c r="DVS64" s="404"/>
      <c r="DVT64" s="404"/>
      <c r="DVU64" s="404"/>
      <c r="DVV64" s="404"/>
      <c r="DVW64" s="404"/>
      <c r="DVX64" s="404"/>
      <c r="DVY64" s="404"/>
      <c r="DVZ64" s="404"/>
      <c r="DWA64" s="404"/>
      <c r="DWB64" s="404"/>
      <c r="DWC64" s="404"/>
      <c r="DWD64" s="404"/>
      <c r="DWE64" s="404"/>
      <c r="DWF64" s="404"/>
      <c r="DWG64" s="404"/>
      <c r="DWH64" s="404"/>
      <c r="DWI64" s="404"/>
      <c r="DWJ64" s="404"/>
      <c r="DWK64" s="404"/>
      <c r="DWL64" s="404"/>
      <c r="DWM64" s="404"/>
      <c r="DWN64" s="404"/>
      <c r="DWO64" s="404"/>
      <c r="DWP64" s="404"/>
      <c r="DWQ64" s="404"/>
      <c r="DWR64" s="404"/>
      <c r="DWS64" s="404"/>
      <c r="DWT64" s="404"/>
      <c r="DWU64" s="404"/>
      <c r="DWV64" s="404"/>
      <c r="DWW64" s="404"/>
      <c r="DWX64" s="404"/>
      <c r="DWY64" s="404"/>
      <c r="DWZ64" s="404"/>
      <c r="DXA64" s="404"/>
      <c r="DXB64" s="404"/>
      <c r="DXC64" s="404"/>
      <c r="DXD64" s="404"/>
      <c r="DXE64" s="404"/>
      <c r="DXF64" s="404"/>
      <c r="DXG64" s="404"/>
      <c r="DXH64" s="404"/>
      <c r="DXI64" s="404"/>
      <c r="DXJ64" s="404"/>
      <c r="DXK64" s="404"/>
      <c r="DXL64" s="404"/>
      <c r="DXM64" s="404"/>
      <c r="DXN64" s="404"/>
      <c r="DXO64" s="404"/>
      <c r="DXP64" s="404"/>
      <c r="DXQ64" s="404"/>
      <c r="DXR64" s="404"/>
      <c r="DXS64" s="404"/>
      <c r="DXT64" s="404"/>
      <c r="DXU64" s="404"/>
      <c r="DXV64" s="404"/>
      <c r="DXW64" s="404"/>
      <c r="DXX64" s="404"/>
      <c r="DXY64" s="404"/>
      <c r="DXZ64" s="404"/>
      <c r="DYA64" s="404"/>
      <c r="DYB64" s="404"/>
      <c r="DYC64" s="404"/>
      <c r="DYD64" s="404"/>
      <c r="DYE64" s="404"/>
      <c r="DYF64" s="404"/>
      <c r="DYG64" s="404"/>
      <c r="DYH64" s="404"/>
      <c r="DYI64" s="404"/>
      <c r="DYJ64" s="404"/>
      <c r="DYK64" s="404"/>
      <c r="DYL64" s="404"/>
      <c r="DYM64" s="404"/>
      <c r="DYN64" s="404"/>
      <c r="DYO64" s="404"/>
      <c r="DYP64" s="404"/>
      <c r="DYQ64" s="404"/>
      <c r="DYR64" s="404"/>
      <c r="DYS64" s="404"/>
      <c r="DYT64" s="404"/>
      <c r="DYU64" s="404"/>
      <c r="DYV64" s="404"/>
      <c r="DYW64" s="404"/>
      <c r="DYX64" s="404"/>
      <c r="DYY64" s="404"/>
      <c r="DYZ64" s="404"/>
      <c r="DZA64" s="404"/>
      <c r="DZB64" s="404"/>
      <c r="DZC64" s="404"/>
      <c r="DZD64" s="404"/>
      <c r="DZE64" s="404"/>
      <c r="DZF64" s="404"/>
      <c r="DZG64" s="404"/>
      <c r="DZH64" s="404"/>
      <c r="DZI64" s="404"/>
      <c r="DZJ64" s="404"/>
      <c r="DZK64" s="404"/>
      <c r="DZL64" s="404"/>
      <c r="DZM64" s="404"/>
      <c r="DZN64" s="404"/>
      <c r="DZO64" s="404"/>
      <c r="DZP64" s="404"/>
      <c r="DZQ64" s="404"/>
      <c r="DZR64" s="404"/>
      <c r="DZS64" s="404"/>
      <c r="DZT64" s="404"/>
      <c r="DZU64" s="404"/>
      <c r="DZV64" s="404"/>
      <c r="DZW64" s="404"/>
      <c r="DZX64" s="404"/>
      <c r="DZY64" s="404"/>
      <c r="DZZ64" s="404"/>
      <c r="EAA64" s="404"/>
      <c r="EAB64" s="404"/>
      <c r="EAC64" s="404"/>
      <c r="EAD64" s="404"/>
      <c r="EAE64" s="404"/>
      <c r="EAF64" s="404"/>
      <c r="EAG64" s="404"/>
      <c r="EAH64" s="404"/>
      <c r="EAI64" s="404"/>
      <c r="EAJ64" s="404"/>
      <c r="EAK64" s="404"/>
      <c r="EAL64" s="404"/>
      <c r="EAM64" s="404"/>
      <c r="EAN64" s="404"/>
      <c r="EAO64" s="404"/>
      <c r="EAP64" s="404"/>
      <c r="EAQ64" s="404"/>
      <c r="EAR64" s="404"/>
      <c r="EAS64" s="404"/>
      <c r="EAT64" s="404"/>
      <c r="EAU64" s="404"/>
      <c r="EAV64" s="404"/>
      <c r="EAW64" s="404"/>
      <c r="EAX64" s="404"/>
      <c r="EAY64" s="404"/>
      <c r="EAZ64" s="404"/>
      <c r="EBA64" s="404"/>
      <c r="EBB64" s="404"/>
      <c r="EBC64" s="404"/>
      <c r="EBD64" s="404"/>
      <c r="EBE64" s="404"/>
      <c r="EBF64" s="404"/>
      <c r="EBG64" s="404"/>
      <c r="EBH64" s="404"/>
      <c r="EBI64" s="404"/>
      <c r="EBJ64" s="404"/>
      <c r="EBK64" s="404"/>
      <c r="EBL64" s="404"/>
      <c r="EBM64" s="404"/>
      <c r="EBN64" s="404"/>
      <c r="EBO64" s="404"/>
      <c r="EBP64" s="404"/>
      <c r="EBQ64" s="404"/>
      <c r="EBR64" s="404"/>
      <c r="EBS64" s="404"/>
      <c r="EBT64" s="404"/>
      <c r="EBU64" s="404"/>
      <c r="EBV64" s="404"/>
      <c r="EBW64" s="404"/>
      <c r="EBX64" s="404"/>
      <c r="EBY64" s="404"/>
      <c r="EBZ64" s="404"/>
      <c r="ECA64" s="404"/>
      <c r="ECB64" s="404"/>
      <c r="ECC64" s="404"/>
      <c r="ECD64" s="404"/>
      <c r="ECE64" s="404"/>
      <c r="ECF64" s="404"/>
      <c r="ECG64" s="404"/>
      <c r="ECH64" s="404"/>
      <c r="ECI64" s="404"/>
      <c r="ECJ64" s="404"/>
      <c r="ECK64" s="404"/>
      <c r="ECL64" s="404"/>
      <c r="ECM64" s="404"/>
      <c r="ECN64" s="404"/>
      <c r="ECO64" s="404"/>
      <c r="ECP64" s="404"/>
      <c r="ECQ64" s="404"/>
      <c r="ECR64" s="404"/>
      <c r="ECS64" s="404"/>
      <c r="ECT64" s="404"/>
      <c r="ECU64" s="404"/>
      <c r="ECV64" s="404"/>
      <c r="ECW64" s="404"/>
      <c r="ECX64" s="404"/>
      <c r="ECY64" s="404"/>
      <c r="ECZ64" s="404"/>
      <c r="EDA64" s="404"/>
      <c r="EDB64" s="404"/>
      <c r="EDC64" s="404"/>
      <c r="EDD64" s="404"/>
      <c r="EDE64" s="404"/>
      <c r="EDF64" s="404"/>
      <c r="EDG64" s="404"/>
      <c r="EDH64" s="404"/>
      <c r="EDI64" s="404"/>
      <c r="EDJ64" s="404"/>
      <c r="EDK64" s="404"/>
      <c r="EDL64" s="404"/>
      <c r="EDM64" s="404"/>
      <c r="EDN64" s="404"/>
      <c r="EDO64" s="404"/>
      <c r="EDP64" s="404"/>
      <c r="EDQ64" s="404"/>
      <c r="EDR64" s="404"/>
      <c r="EDS64" s="404"/>
      <c r="EDT64" s="404"/>
      <c r="EDU64" s="404"/>
      <c r="EDV64" s="404"/>
      <c r="EDW64" s="404"/>
      <c r="EDX64" s="404"/>
      <c r="EDY64" s="404"/>
      <c r="EDZ64" s="404"/>
      <c r="EEA64" s="404"/>
      <c r="EEB64" s="404"/>
      <c r="EEC64" s="404"/>
      <c r="EED64" s="404"/>
      <c r="EEE64" s="404"/>
      <c r="EEF64" s="404"/>
      <c r="EEG64" s="404"/>
      <c r="EEH64" s="404"/>
      <c r="EEI64" s="404"/>
      <c r="EEJ64" s="404"/>
      <c r="EEK64" s="404"/>
      <c r="EEL64" s="404"/>
      <c r="EEM64" s="404"/>
      <c r="EEN64" s="404"/>
      <c r="EEO64" s="404"/>
      <c r="EEP64" s="404"/>
      <c r="EEQ64" s="404"/>
      <c r="EER64" s="404"/>
      <c r="EES64" s="404"/>
      <c r="EET64" s="404"/>
      <c r="EEU64" s="404"/>
      <c r="EEV64" s="404"/>
      <c r="EEW64" s="404"/>
      <c r="EEX64" s="404"/>
      <c r="EEY64" s="404"/>
      <c r="EEZ64" s="404"/>
      <c r="EFA64" s="404"/>
      <c r="EFB64" s="404"/>
      <c r="EFC64" s="404"/>
      <c r="EFD64" s="404"/>
      <c r="EFE64" s="404"/>
      <c r="EFF64" s="404"/>
      <c r="EFG64" s="404"/>
      <c r="EFH64" s="404"/>
      <c r="EFI64" s="404"/>
      <c r="EFJ64" s="404"/>
      <c r="EFK64" s="404"/>
      <c r="EFL64" s="404"/>
      <c r="EFM64" s="404"/>
      <c r="EFN64" s="404"/>
      <c r="EFO64" s="404"/>
      <c r="EFP64" s="404"/>
      <c r="EFQ64" s="404"/>
      <c r="EFR64" s="404"/>
      <c r="EFS64" s="404"/>
      <c r="EFT64" s="404"/>
      <c r="EFU64" s="404"/>
      <c r="EFV64" s="404"/>
      <c r="EFW64" s="404"/>
      <c r="EFX64" s="404"/>
      <c r="EFY64" s="404"/>
      <c r="EFZ64" s="404"/>
      <c r="EGA64" s="404"/>
      <c r="EGB64" s="404"/>
      <c r="EGC64" s="404"/>
      <c r="EGD64" s="404"/>
      <c r="EGE64" s="404"/>
      <c r="EGF64" s="404"/>
      <c r="EGG64" s="404"/>
      <c r="EGH64" s="404"/>
      <c r="EGI64" s="404"/>
      <c r="EGJ64" s="404"/>
      <c r="EGK64" s="404"/>
      <c r="EGL64" s="404"/>
      <c r="EGM64" s="404"/>
      <c r="EGN64" s="404"/>
      <c r="EGO64" s="404"/>
      <c r="EGP64" s="404"/>
      <c r="EGQ64" s="404"/>
      <c r="EGR64" s="404"/>
      <c r="EGS64" s="404"/>
      <c r="EGT64" s="404"/>
      <c r="EGU64" s="404"/>
      <c r="EGV64" s="404"/>
      <c r="EGW64" s="404"/>
      <c r="EGX64" s="404"/>
      <c r="EGY64" s="404"/>
      <c r="EGZ64" s="404"/>
      <c r="EHA64" s="404"/>
      <c r="EHB64" s="404"/>
      <c r="EHC64" s="404"/>
      <c r="EHD64" s="404"/>
      <c r="EHE64" s="404"/>
      <c r="EHF64" s="404"/>
      <c r="EHG64" s="404"/>
      <c r="EHH64" s="404"/>
      <c r="EHI64" s="404"/>
      <c r="EHJ64" s="404"/>
      <c r="EHK64" s="404"/>
      <c r="EHL64" s="404"/>
      <c r="EHM64" s="404"/>
      <c r="EHN64" s="404"/>
      <c r="EHO64" s="404"/>
      <c r="EHP64" s="404"/>
      <c r="EHQ64" s="404"/>
      <c r="EHR64" s="404"/>
      <c r="EHS64" s="404"/>
      <c r="EHT64" s="404"/>
      <c r="EHU64" s="404"/>
      <c r="EHV64" s="404"/>
      <c r="EHW64" s="404"/>
      <c r="EHX64" s="404"/>
      <c r="EHY64" s="404"/>
      <c r="EHZ64" s="404"/>
      <c r="EIA64" s="404"/>
      <c r="EIB64" s="404"/>
      <c r="EIC64" s="404"/>
      <c r="EID64" s="404"/>
      <c r="EIE64" s="404"/>
      <c r="EIF64" s="404"/>
      <c r="EIG64" s="404"/>
      <c r="EIH64" s="404"/>
      <c r="EII64" s="404"/>
      <c r="EIJ64" s="404"/>
      <c r="EIK64" s="404"/>
      <c r="EIL64" s="404"/>
      <c r="EIM64" s="404"/>
      <c r="EIN64" s="404"/>
      <c r="EIO64" s="404"/>
      <c r="EIP64" s="404"/>
      <c r="EIQ64" s="404"/>
      <c r="EIR64" s="404"/>
      <c r="EIS64" s="404"/>
      <c r="EIT64" s="404"/>
      <c r="EIU64" s="404"/>
      <c r="EIV64" s="404"/>
      <c r="EIW64" s="404"/>
      <c r="EIX64" s="404"/>
      <c r="EIY64" s="404"/>
      <c r="EIZ64" s="404"/>
      <c r="EJA64" s="404"/>
      <c r="EJB64" s="404"/>
      <c r="EJC64" s="404"/>
      <c r="EJD64" s="404"/>
      <c r="EJE64" s="404"/>
      <c r="EJF64" s="404"/>
      <c r="EJG64" s="404"/>
      <c r="EJH64" s="404"/>
      <c r="EJI64" s="404"/>
      <c r="EJJ64" s="404"/>
      <c r="EJK64" s="404"/>
      <c r="EJL64" s="404"/>
      <c r="EJM64" s="404"/>
      <c r="EJN64" s="404"/>
      <c r="EJO64" s="404"/>
      <c r="EJP64" s="404"/>
      <c r="EJQ64" s="404"/>
      <c r="EJR64" s="404"/>
      <c r="EJS64" s="404"/>
      <c r="EJT64" s="404"/>
      <c r="EJU64" s="404"/>
      <c r="EJV64" s="404"/>
      <c r="EJW64" s="404"/>
      <c r="EJX64" s="404"/>
      <c r="EJY64" s="404"/>
      <c r="EJZ64" s="404"/>
      <c r="EKA64" s="404"/>
      <c r="EKB64" s="404"/>
      <c r="EKC64" s="404"/>
      <c r="EKD64" s="404"/>
      <c r="EKE64" s="404"/>
      <c r="EKF64" s="404"/>
      <c r="EKG64" s="404"/>
      <c r="EKH64" s="404"/>
      <c r="EKI64" s="404"/>
      <c r="EKJ64" s="404"/>
      <c r="EKK64" s="404"/>
      <c r="EKL64" s="404"/>
      <c r="EKM64" s="404"/>
      <c r="EKN64" s="404"/>
      <c r="EKO64" s="404"/>
      <c r="EKP64" s="404"/>
      <c r="EKQ64" s="404"/>
      <c r="EKR64" s="404"/>
      <c r="EKS64" s="404"/>
      <c r="EKT64" s="404"/>
      <c r="EKU64" s="404"/>
      <c r="EKV64" s="404"/>
      <c r="EKW64" s="404"/>
      <c r="EKX64" s="404"/>
      <c r="EKY64" s="404"/>
      <c r="EKZ64" s="404"/>
      <c r="ELA64" s="404"/>
      <c r="ELB64" s="404"/>
      <c r="ELC64" s="404"/>
      <c r="ELD64" s="404"/>
      <c r="ELE64" s="404"/>
      <c r="ELF64" s="404"/>
      <c r="ELG64" s="404"/>
      <c r="ELH64" s="404"/>
      <c r="ELI64" s="404"/>
      <c r="ELJ64" s="404"/>
      <c r="ELK64" s="404"/>
      <c r="ELL64" s="404"/>
      <c r="ELM64" s="404"/>
      <c r="ELN64" s="404"/>
      <c r="ELO64" s="404"/>
      <c r="ELP64" s="404"/>
      <c r="ELQ64" s="404"/>
      <c r="ELR64" s="404"/>
      <c r="ELS64" s="404"/>
      <c r="ELT64" s="404"/>
      <c r="ELU64" s="404"/>
      <c r="ELV64" s="404"/>
      <c r="ELW64" s="404"/>
      <c r="ELX64" s="404"/>
      <c r="ELY64" s="404"/>
      <c r="ELZ64" s="404"/>
      <c r="EMA64" s="404"/>
      <c r="EMB64" s="404"/>
      <c r="EMC64" s="404"/>
      <c r="EMD64" s="404"/>
      <c r="EME64" s="404"/>
      <c r="EMF64" s="404"/>
      <c r="EMG64" s="404"/>
      <c r="EMH64" s="404"/>
      <c r="EMI64" s="404"/>
      <c r="EMJ64" s="404"/>
      <c r="EMK64" s="404"/>
      <c r="EML64" s="404"/>
      <c r="EMM64" s="404"/>
      <c r="EMN64" s="404"/>
      <c r="EMO64" s="404"/>
      <c r="EMP64" s="404"/>
      <c r="EMQ64" s="404"/>
      <c r="EMR64" s="404"/>
      <c r="EMS64" s="404"/>
      <c r="EMT64" s="404"/>
      <c r="EMU64" s="404"/>
      <c r="EMV64" s="404"/>
      <c r="EMW64" s="404"/>
      <c r="EMX64" s="404"/>
      <c r="EMY64" s="404"/>
      <c r="EMZ64" s="404"/>
      <c r="ENA64" s="404"/>
      <c r="ENB64" s="404"/>
      <c r="ENC64" s="404"/>
      <c r="END64" s="404"/>
      <c r="ENE64" s="404"/>
      <c r="ENF64" s="404"/>
      <c r="ENG64" s="404"/>
      <c r="ENH64" s="404"/>
      <c r="ENI64" s="404"/>
      <c r="ENJ64" s="404"/>
      <c r="ENK64" s="404"/>
      <c r="ENL64" s="404"/>
      <c r="ENM64" s="404"/>
      <c r="ENN64" s="404"/>
      <c r="ENO64" s="404"/>
      <c r="ENP64" s="404"/>
      <c r="ENQ64" s="404"/>
      <c r="ENR64" s="404"/>
      <c r="ENS64" s="404"/>
      <c r="ENT64" s="404"/>
      <c r="ENU64" s="404"/>
      <c r="ENV64" s="404"/>
      <c r="ENW64" s="404"/>
      <c r="ENX64" s="404"/>
      <c r="ENY64" s="404"/>
      <c r="ENZ64" s="404"/>
      <c r="EOA64" s="404"/>
      <c r="EOB64" s="404"/>
      <c r="EOC64" s="404"/>
      <c r="EOD64" s="404"/>
      <c r="EOE64" s="404"/>
      <c r="EOF64" s="404"/>
      <c r="EOG64" s="404"/>
      <c r="EOH64" s="404"/>
      <c r="EOI64" s="404"/>
      <c r="EOJ64" s="404"/>
      <c r="EOK64" s="404"/>
      <c r="EOL64" s="404"/>
      <c r="EOM64" s="404"/>
      <c r="EON64" s="404"/>
      <c r="EOO64" s="404"/>
      <c r="EOP64" s="404"/>
      <c r="EOQ64" s="404"/>
      <c r="EOR64" s="404"/>
      <c r="EOS64" s="404"/>
      <c r="EOT64" s="404"/>
      <c r="EOU64" s="404"/>
      <c r="EOV64" s="404"/>
      <c r="EOW64" s="404"/>
      <c r="EOX64" s="404"/>
      <c r="EOY64" s="404"/>
      <c r="EOZ64" s="404"/>
      <c r="EPA64" s="404"/>
      <c r="EPB64" s="404"/>
      <c r="EPC64" s="404"/>
      <c r="EPD64" s="404"/>
      <c r="EPE64" s="404"/>
      <c r="EPF64" s="404"/>
      <c r="EPG64" s="404"/>
      <c r="EPH64" s="404"/>
      <c r="EPI64" s="404"/>
      <c r="EPJ64" s="404"/>
      <c r="EPK64" s="404"/>
      <c r="EPL64" s="404"/>
      <c r="EPM64" s="404"/>
      <c r="EPN64" s="404"/>
      <c r="EPO64" s="404"/>
      <c r="EPP64" s="404"/>
      <c r="EPQ64" s="404"/>
      <c r="EPR64" s="404"/>
      <c r="EPS64" s="404"/>
      <c r="EPT64" s="404"/>
      <c r="EPU64" s="404"/>
      <c r="EPV64" s="404"/>
      <c r="EPW64" s="404"/>
      <c r="EPX64" s="404"/>
      <c r="EPY64" s="404"/>
      <c r="EPZ64" s="404"/>
      <c r="EQA64" s="404"/>
      <c r="EQB64" s="404"/>
      <c r="EQC64" s="404"/>
      <c r="EQD64" s="404"/>
      <c r="EQE64" s="404"/>
      <c r="EQF64" s="404"/>
      <c r="EQG64" s="404"/>
      <c r="EQH64" s="404"/>
      <c r="EQI64" s="404"/>
      <c r="EQJ64" s="404"/>
      <c r="EQK64" s="404"/>
      <c r="EQL64" s="404"/>
      <c r="EQM64" s="404"/>
      <c r="EQN64" s="404"/>
      <c r="EQO64" s="404"/>
      <c r="EQP64" s="404"/>
      <c r="EQQ64" s="404"/>
      <c r="EQR64" s="404"/>
      <c r="EQS64" s="404"/>
      <c r="EQT64" s="404"/>
      <c r="EQU64" s="404"/>
      <c r="EQV64" s="404"/>
      <c r="EQW64" s="404"/>
      <c r="EQX64" s="404"/>
      <c r="EQY64" s="404"/>
      <c r="EQZ64" s="404"/>
      <c r="ERA64" s="404"/>
      <c r="ERB64" s="404"/>
      <c r="ERC64" s="404"/>
      <c r="ERD64" s="404"/>
      <c r="ERE64" s="404"/>
      <c r="ERF64" s="404"/>
      <c r="ERG64" s="404"/>
      <c r="ERH64" s="404"/>
      <c r="ERI64" s="404"/>
      <c r="ERJ64" s="404"/>
      <c r="ERK64" s="404"/>
      <c r="ERL64" s="404"/>
      <c r="ERM64" s="404"/>
      <c r="ERN64" s="404"/>
      <c r="ERO64" s="404"/>
      <c r="ERP64" s="404"/>
      <c r="ERQ64" s="404"/>
      <c r="ERR64" s="404"/>
      <c r="ERS64" s="404"/>
      <c r="ERT64" s="404"/>
      <c r="ERU64" s="404"/>
      <c r="ERV64" s="404"/>
      <c r="ERW64" s="404"/>
      <c r="ERX64" s="404"/>
      <c r="ERY64" s="404"/>
      <c r="ERZ64" s="404"/>
      <c r="ESA64" s="404"/>
      <c r="ESB64" s="404"/>
      <c r="ESC64" s="404"/>
      <c r="ESD64" s="404"/>
      <c r="ESE64" s="404"/>
      <c r="ESF64" s="404"/>
      <c r="ESG64" s="404"/>
      <c r="ESH64" s="404"/>
      <c r="ESI64" s="404"/>
      <c r="ESJ64" s="404"/>
      <c r="ESK64" s="404"/>
      <c r="ESL64" s="404"/>
      <c r="ESM64" s="404"/>
      <c r="ESN64" s="404"/>
      <c r="ESO64" s="404"/>
      <c r="ESP64" s="404"/>
      <c r="ESQ64" s="404"/>
      <c r="ESR64" s="404"/>
      <c r="ESS64" s="404"/>
      <c r="EST64" s="404"/>
      <c r="ESU64" s="404"/>
      <c r="ESV64" s="404"/>
      <c r="ESW64" s="404"/>
      <c r="ESX64" s="404"/>
      <c r="ESY64" s="404"/>
      <c r="ESZ64" s="404"/>
      <c r="ETA64" s="404"/>
      <c r="ETB64" s="404"/>
      <c r="ETC64" s="404"/>
      <c r="ETD64" s="404"/>
      <c r="ETE64" s="404"/>
      <c r="ETF64" s="404"/>
      <c r="ETG64" s="404"/>
      <c r="ETH64" s="404"/>
      <c r="ETI64" s="404"/>
      <c r="ETJ64" s="404"/>
      <c r="ETK64" s="404"/>
      <c r="ETL64" s="404"/>
      <c r="ETM64" s="404"/>
      <c r="ETN64" s="404"/>
      <c r="ETO64" s="404"/>
      <c r="ETP64" s="404"/>
      <c r="ETQ64" s="404"/>
      <c r="ETR64" s="404"/>
      <c r="ETS64" s="404"/>
      <c r="ETT64" s="404"/>
      <c r="ETU64" s="404"/>
      <c r="ETV64" s="404"/>
      <c r="ETW64" s="404"/>
      <c r="ETX64" s="404"/>
      <c r="ETY64" s="404"/>
      <c r="ETZ64" s="404"/>
      <c r="EUA64" s="404"/>
      <c r="EUB64" s="404"/>
      <c r="EUC64" s="404"/>
      <c r="EUD64" s="404"/>
      <c r="EUE64" s="404"/>
      <c r="EUF64" s="404"/>
      <c r="EUG64" s="404"/>
      <c r="EUH64" s="404"/>
      <c r="EUI64" s="404"/>
      <c r="EUJ64" s="404"/>
      <c r="EUK64" s="404"/>
      <c r="EUL64" s="404"/>
      <c r="EUM64" s="404"/>
      <c r="EUN64" s="404"/>
      <c r="EUO64" s="404"/>
      <c r="EUP64" s="404"/>
      <c r="EUQ64" s="404"/>
      <c r="EUR64" s="404"/>
      <c r="EUS64" s="404"/>
      <c r="EUT64" s="404"/>
      <c r="EUU64" s="404"/>
      <c r="EUV64" s="404"/>
      <c r="EUW64" s="404"/>
      <c r="EUX64" s="404"/>
      <c r="EUY64" s="404"/>
      <c r="EUZ64" s="404"/>
      <c r="EVA64" s="404"/>
      <c r="EVB64" s="404"/>
      <c r="EVC64" s="404"/>
      <c r="EVD64" s="404"/>
      <c r="EVE64" s="404"/>
      <c r="EVF64" s="404"/>
      <c r="EVG64" s="404"/>
      <c r="EVH64" s="404"/>
      <c r="EVI64" s="404"/>
      <c r="EVJ64" s="404"/>
      <c r="EVK64" s="404"/>
      <c r="EVL64" s="404"/>
      <c r="EVM64" s="404"/>
      <c r="EVN64" s="404"/>
      <c r="EVO64" s="404"/>
      <c r="EVP64" s="404"/>
      <c r="EVQ64" s="404"/>
      <c r="EVR64" s="404"/>
      <c r="EVS64" s="404"/>
      <c r="EVT64" s="404"/>
      <c r="EVU64" s="404"/>
      <c r="EVV64" s="404"/>
      <c r="EVW64" s="404"/>
      <c r="EVX64" s="404"/>
      <c r="EVY64" s="404"/>
      <c r="EVZ64" s="404"/>
      <c r="EWA64" s="404"/>
      <c r="EWB64" s="404"/>
      <c r="EWC64" s="404"/>
      <c r="EWD64" s="404"/>
      <c r="EWE64" s="404"/>
      <c r="EWF64" s="404"/>
      <c r="EWG64" s="404"/>
      <c r="EWH64" s="404"/>
      <c r="EWI64" s="404"/>
      <c r="EWJ64" s="404"/>
      <c r="EWK64" s="404"/>
      <c r="EWL64" s="404"/>
      <c r="EWM64" s="404"/>
      <c r="EWN64" s="404"/>
      <c r="EWO64" s="404"/>
      <c r="EWP64" s="404"/>
      <c r="EWQ64" s="404"/>
      <c r="EWR64" s="404"/>
      <c r="EWS64" s="404"/>
      <c r="EWT64" s="404"/>
      <c r="EWU64" s="404"/>
      <c r="EWV64" s="404"/>
      <c r="EWW64" s="404"/>
      <c r="EWX64" s="404"/>
      <c r="EWY64" s="404"/>
      <c r="EWZ64" s="404"/>
      <c r="EXA64" s="404"/>
      <c r="EXB64" s="404"/>
      <c r="EXC64" s="404"/>
      <c r="EXD64" s="404"/>
      <c r="EXE64" s="404"/>
      <c r="EXF64" s="404"/>
      <c r="EXG64" s="404"/>
      <c r="EXH64" s="404"/>
      <c r="EXI64" s="404"/>
      <c r="EXJ64" s="404"/>
      <c r="EXK64" s="404"/>
      <c r="EXL64" s="404"/>
      <c r="EXM64" s="404"/>
      <c r="EXN64" s="404"/>
      <c r="EXO64" s="404"/>
      <c r="EXP64" s="404"/>
      <c r="EXQ64" s="404"/>
      <c r="EXR64" s="404"/>
      <c r="EXS64" s="404"/>
      <c r="EXT64" s="404"/>
      <c r="EXU64" s="404"/>
      <c r="EXV64" s="404"/>
      <c r="EXW64" s="404"/>
      <c r="EXX64" s="404"/>
      <c r="EXY64" s="404"/>
      <c r="EXZ64" s="404"/>
      <c r="EYA64" s="404"/>
      <c r="EYB64" s="404"/>
      <c r="EYC64" s="404"/>
      <c r="EYD64" s="404"/>
      <c r="EYE64" s="404"/>
      <c r="EYF64" s="404"/>
      <c r="EYG64" s="404"/>
      <c r="EYH64" s="404"/>
      <c r="EYI64" s="404"/>
      <c r="EYJ64" s="404"/>
      <c r="EYK64" s="404"/>
      <c r="EYL64" s="404"/>
      <c r="EYM64" s="404"/>
      <c r="EYN64" s="404"/>
      <c r="EYO64" s="404"/>
      <c r="EYP64" s="404"/>
      <c r="EYQ64" s="404"/>
      <c r="EYR64" s="404"/>
      <c r="EYS64" s="404"/>
      <c r="EYT64" s="404"/>
      <c r="EYU64" s="404"/>
      <c r="EYV64" s="404"/>
      <c r="EYW64" s="404"/>
      <c r="EYX64" s="404"/>
      <c r="EYY64" s="404"/>
      <c r="EYZ64" s="404"/>
      <c r="EZA64" s="404"/>
      <c r="EZB64" s="404"/>
      <c r="EZC64" s="404"/>
      <c r="EZD64" s="404"/>
      <c r="EZE64" s="404"/>
      <c r="EZF64" s="404"/>
      <c r="EZG64" s="404"/>
      <c r="EZH64" s="404"/>
      <c r="EZI64" s="404"/>
      <c r="EZJ64" s="404"/>
      <c r="EZK64" s="404"/>
      <c r="EZL64" s="404"/>
      <c r="EZM64" s="404"/>
      <c r="EZN64" s="404"/>
      <c r="EZO64" s="404"/>
      <c r="EZP64" s="404"/>
      <c r="EZQ64" s="404"/>
      <c r="EZR64" s="404"/>
      <c r="EZS64" s="404"/>
      <c r="EZT64" s="404"/>
      <c r="EZU64" s="404"/>
      <c r="EZV64" s="404"/>
      <c r="EZW64" s="404"/>
      <c r="EZX64" s="404"/>
      <c r="EZY64" s="404"/>
      <c r="EZZ64" s="404"/>
      <c r="FAA64" s="404"/>
      <c r="FAB64" s="404"/>
      <c r="FAC64" s="404"/>
      <c r="FAD64" s="404"/>
      <c r="FAE64" s="404"/>
      <c r="FAF64" s="404"/>
      <c r="FAG64" s="404"/>
      <c r="FAH64" s="404"/>
      <c r="FAI64" s="404"/>
      <c r="FAJ64" s="404"/>
      <c r="FAK64" s="404"/>
      <c r="FAL64" s="404"/>
      <c r="FAM64" s="404"/>
      <c r="FAN64" s="404"/>
      <c r="FAO64" s="404"/>
      <c r="FAP64" s="404"/>
      <c r="FAQ64" s="404"/>
      <c r="FAR64" s="404"/>
      <c r="FAS64" s="404"/>
      <c r="FAT64" s="404"/>
      <c r="FAU64" s="404"/>
      <c r="FAV64" s="404"/>
      <c r="FAW64" s="404"/>
      <c r="FAX64" s="404"/>
      <c r="FAY64" s="404"/>
      <c r="FAZ64" s="404"/>
      <c r="FBA64" s="404"/>
      <c r="FBB64" s="404"/>
      <c r="FBC64" s="404"/>
      <c r="FBD64" s="404"/>
      <c r="FBE64" s="404"/>
      <c r="FBF64" s="404"/>
      <c r="FBG64" s="404"/>
      <c r="FBH64" s="404"/>
      <c r="FBI64" s="404"/>
      <c r="FBJ64" s="404"/>
      <c r="FBK64" s="404"/>
      <c r="FBL64" s="404"/>
      <c r="FBM64" s="404"/>
      <c r="FBN64" s="404"/>
      <c r="FBO64" s="404"/>
      <c r="FBP64" s="404"/>
      <c r="FBQ64" s="404"/>
      <c r="FBR64" s="404"/>
      <c r="FBS64" s="404"/>
      <c r="FBT64" s="404"/>
      <c r="FBU64" s="404"/>
      <c r="FBV64" s="404"/>
      <c r="FBW64" s="404"/>
      <c r="FBX64" s="404"/>
      <c r="FBY64" s="404"/>
      <c r="FBZ64" s="404"/>
      <c r="FCA64" s="404"/>
      <c r="FCB64" s="404"/>
      <c r="FCC64" s="404"/>
      <c r="FCD64" s="404"/>
      <c r="FCE64" s="404"/>
      <c r="FCF64" s="404"/>
      <c r="FCG64" s="404"/>
      <c r="FCH64" s="404"/>
      <c r="FCI64" s="404"/>
      <c r="FCJ64" s="404"/>
      <c r="FCK64" s="404"/>
      <c r="FCL64" s="404"/>
      <c r="FCM64" s="404"/>
      <c r="FCN64" s="404"/>
      <c r="FCO64" s="404"/>
      <c r="FCP64" s="404"/>
      <c r="FCQ64" s="404"/>
      <c r="FCR64" s="404"/>
      <c r="FCS64" s="404"/>
      <c r="FCT64" s="404"/>
      <c r="FCU64" s="404"/>
      <c r="FCV64" s="404"/>
      <c r="FCW64" s="404"/>
      <c r="FCX64" s="404"/>
      <c r="FCY64" s="404"/>
      <c r="FCZ64" s="404"/>
      <c r="FDA64" s="404"/>
      <c r="FDB64" s="404"/>
      <c r="FDC64" s="404"/>
      <c r="FDD64" s="404"/>
      <c r="FDE64" s="404"/>
      <c r="FDF64" s="404"/>
      <c r="FDG64" s="404"/>
      <c r="FDH64" s="404"/>
      <c r="FDI64" s="404"/>
      <c r="FDJ64" s="404"/>
      <c r="FDK64" s="404"/>
      <c r="FDL64" s="404"/>
      <c r="FDM64" s="404"/>
      <c r="FDN64" s="404"/>
      <c r="FDO64" s="404"/>
      <c r="FDP64" s="404"/>
      <c r="FDQ64" s="404"/>
      <c r="FDR64" s="404"/>
      <c r="FDS64" s="404"/>
      <c r="FDT64" s="404"/>
      <c r="FDU64" s="404"/>
      <c r="FDV64" s="404"/>
      <c r="FDW64" s="404"/>
      <c r="FDX64" s="404"/>
      <c r="FDY64" s="404"/>
      <c r="FDZ64" s="404"/>
      <c r="FEA64" s="404"/>
      <c r="FEB64" s="404"/>
      <c r="FEC64" s="404"/>
      <c r="FED64" s="404"/>
      <c r="FEE64" s="404"/>
      <c r="FEF64" s="404"/>
      <c r="FEG64" s="404"/>
      <c r="FEH64" s="404"/>
      <c r="FEI64" s="404"/>
      <c r="FEJ64" s="404"/>
      <c r="FEK64" s="404"/>
      <c r="FEL64" s="404"/>
      <c r="FEM64" s="404"/>
      <c r="FEN64" s="404"/>
      <c r="FEO64" s="404"/>
      <c r="FEP64" s="404"/>
      <c r="FEQ64" s="404"/>
      <c r="FER64" s="404"/>
      <c r="FES64" s="404"/>
      <c r="FET64" s="404"/>
      <c r="FEU64" s="404"/>
      <c r="FEV64" s="404"/>
      <c r="FEW64" s="404"/>
      <c r="FEX64" s="404"/>
      <c r="FEY64" s="404"/>
      <c r="FEZ64" s="404"/>
      <c r="FFA64" s="404"/>
      <c r="FFB64" s="404"/>
      <c r="FFC64" s="404"/>
      <c r="FFD64" s="404"/>
      <c r="FFE64" s="404"/>
      <c r="FFF64" s="404"/>
      <c r="FFG64" s="404"/>
      <c r="FFH64" s="404"/>
      <c r="FFI64" s="404"/>
      <c r="FFJ64" s="404"/>
      <c r="FFK64" s="404"/>
      <c r="FFL64" s="404"/>
      <c r="FFM64" s="404"/>
      <c r="FFN64" s="404"/>
      <c r="FFO64" s="404"/>
      <c r="FFP64" s="404"/>
      <c r="FFQ64" s="404"/>
      <c r="FFR64" s="404"/>
      <c r="FFS64" s="404"/>
      <c r="FFT64" s="404"/>
      <c r="FFU64" s="404"/>
      <c r="FFV64" s="404"/>
      <c r="FFW64" s="404"/>
      <c r="FFX64" s="404"/>
      <c r="FFY64" s="404"/>
      <c r="FFZ64" s="404"/>
      <c r="FGA64" s="404"/>
      <c r="FGB64" s="404"/>
      <c r="FGC64" s="404"/>
      <c r="FGD64" s="404"/>
      <c r="FGE64" s="404"/>
      <c r="FGF64" s="404"/>
      <c r="FGG64" s="404"/>
      <c r="FGH64" s="404"/>
      <c r="FGI64" s="404"/>
      <c r="FGJ64" s="404"/>
      <c r="FGK64" s="404"/>
      <c r="FGL64" s="404"/>
      <c r="FGM64" s="404"/>
      <c r="FGN64" s="404"/>
      <c r="FGO64" s="404"/>
      <c r="FGP64" s="404"/>
      <c r="FGQ64" s="404"/>
      <c r="FGR64" s="404"/>
      <c r="FGS64" s="404"/>
      <c r="FGT64" s="404"/>
      <c r="FGU64" s="404"/>
      <c r="FGV64" s="404"/>
      <c r="FGW64" s="404"/>
      <c r="FGX64" s="404"/>
      <c r="FGY64" s="404"/>
      <c r="FGZ64" s="404"/>
      <c r="FHA64" s="404"/>
      <c r="FHB64" s="404"/>
      <c r="FHC64" s="404"/>
      <c r="FHD64" s="404"/>
      <c r="FHE64" s="404"/>
      <c r="FHF64" s="404"/>
      <c r="FHG64" s="404"/>
      <c r="FHH64" s="404"/>
      <c r="FHI64" s="404"/>
      <c r="FHJ64" s="404"/>
      <c r="FHK64" s="404"/>
      <c r="FHL64" s="404"/>
      <c r="FHM64" s="404"/>
      <c r="FHN64" s="404"/>
      <c r="FHO64" s="404"/>
      <c r="FHP64" s="404"/>
      <c r="FHQ64" s="404"/>
      <c r="FHR64" s="404"/>
      <c r="FHS64" s="404"/>
      <c r="FHT64" s="404"/>
      <c r="FHU64" s="404"/>
      <c r="FHV64" s="404"/>
      <c r="FHW64" s="404"/>
      <c r="FHX64" s="404"/>
      <c r="FHY64" s="404"/>
      <c r="FHZ64" s="404"/>
      <c r="FIA64" s="404"/>
      <c r="FIB64" s="404"/>
      <c r="FIC64" s="404"/>
      <c r="FID64" s="404"/>
      <c r="FIE64" s="404"/>
      <c r="FIF64" s="404"/>
      <c r="FIG64" s="404"/>
      <c r="FIH64" s="404"/>
      <c r="FII64" s="404"/>
      <c r="FIJ64" s="404"/>
      <c r="FIK64" s="404"/>
      <c r="FIL64" s="404"/>
      <c r="FIM64" s="404"/>
      <c r="FIN64" s="404"/>
      <c r="FIO64" s="404"/>
      <c r="FIP64" s="404"/>
      <c r="FIQ64" s="404"/>
      <c r="FIR64" s="404"/>
      <c r="FIS64" s="404"/>
      <c r="FIT64" s="404"/>
      <c r="FIU64" s="404"/>
      <c r="FIV64" s="404"/>
      <c r="FIW64" s="404"/>
      <c r="FIX64" s="404"/>
      <c r="FIY64" s="404"/>
      <c r="FIZ64" s="404"/>
      <c r="FJA64" s="404"/>
      <c r="FJB64" s="404"/>
      <c r="FJC64" s="404"/>
      <c r="FJD64" s="404"/>
      <c r="FJE64" s="404"/>
      <c r="FJF64" s="404"/>
      <c r="FJG64" s="404"/>
      <c r="FJH64" s="404"/>
      <c r="FJI64" s="404"/>
      <c r="FJJ64" s="404"/>
      <c r="FJK64" s="404"/>
      <c r="FJL64" s="404"/>
      <c r="FJM64" s="404"/>
      <c r="FJN64" s="404"/>
      <c r="FJO64" s="404"/>
      <c r="FJP64" s="404"/>
      <c r="FJQ64" s="404"/>
      <c r="FJR64" s="404"/>
      <c r="FJS64" s="404"/>
      <c r="FJT64" s="404"/>
      <c r="FJU64" s="404"/>
      <c r="FJV64" s="404"/>
      <c r="FJW64" s="404"/>
      <c r="FJX64" s="404"/>
      <c r="FJY64" s="404"/>
      <c r="FJZ64" s="404"/>
      <c r="FKA64" s="404"/>
      <c r="FKB64" s="404"/>
      <c r="FKC64" s="404"/>
      <c r="FKD64" s="404"/>
      <c r="FKE64" s="404"/>
      <c r="FKF64" s="404"/>
      <c r="FKG64" s="404"/>
      <c r="FKH64" s="404"/>
      <c r="FKI64" s="404"/>
      <c r="FKJ64" s="404"/>
      <c r="FKK64" s="404"/>
      <c r="FKL64" s="404"/>
      <c r="FKM64" s="404"/>
      <c r="FKN64" s="404"/>
      <c r="FKO64" s="404"/>
      <c r="FKP64" s="404"/>
      <c r="FKQ64" s="404"/>
      <c r="FKR64" s="404"/>
      <c r="FKS64" s="404"/>
      <c r="FKT64" s="404"/>
      <c r="FKU64" s="404"/>
      <c r="FKV64" s="404"/>
      <c r="FKW64" s="404"/>
      <c r="FKX64" s="404"/>
      <c r="FKY64" s="404"/>
      <c r="FKZ64" s="404"/>
      <c r="FLA64" s="404"/>
      <c r="FLB64" s="404"/>
      <c r="FLC64" s="404"/>
      <c r="FLD64" s="404"/>
      <c r="FLE64" s="404"/>
      <c r="FLF64" s="404"/>
      <c r="FLG64" s="404"/>
      <c r="FLH64" s="404"/>
      <c r="FLI64" s="404"/>
      <c r="FLJ64" s="404"/>
      <c r="FLK64" s="404"/>
      <c r="FLL64" s="404"/>
      <c r="FLM64" s="404"/>
      <c r="FLN64" s="404"/>
      <c r="FLO64" s="404"/>
      <c r="FLP64" s="404"/>
      <c r="FLQ64" s="404"/>
      <c r="FLR64" s="404"/>
      <c r="FLS64" s="404"/>
      <c r="FLT64" s="404"/>
      <c r="FLU64" s="404"/>
      <c r="FLV64" s="404"/>
      <c r="FLW64" s="404"/>
      <c r="FLX64" s="404"/>
      <c r="FLY64" s="404"/>
      <c r="FLZ64" s="404"/>
      <c r="FMA64" s="404"/>
      <c r="FMB64" s="404"/>
      <c r="FMC64" s="404"/>
      <c r="FMD64" s="404"/>
      <c r="FME64" s="404"/>
      <c r="FMF64" s="404"/>
      <c r="FMG64" s="404"/>
      <c r="FMH64" s="404"/>
      <c r="FMI64" s="404"/>
      <c r="FMJ64" s="404"/>
      <c r="FMK64" s="404"/>
      <c r="FML64" s="404"/>
      <c r="FMM64" s="404"/>
      <c r="FMN64" s="404"/>
      <c r="FMO64" s="404"/>
      <c r="FMP64" s="404"/>
      <c r="FMQ64" s="404"/>
      <c r="FMR64" s="404"/>
      <c r="FMS64" s="404"/>
      <c r="FMT64" s="404"/>
      <c r="FMU64" s="404"/>
      <c r="FMV64" s="404"/>
      <c r="FMW64" s="404"/>
      <c r="FMX64" s="404"/>
      <c r="FMY64" s="404"/>
      <c r="FMZ64" s="404"/>
      <c r="FNA64" s="404"/>
      <c r="FNB64" s="404"/>
      <c r="FNC64" s="404"/>
      <c r="FND64" s="404"/>
      <c r="FNE64" s="404"/>
      <c r="FNF64" s="404"/>
      <c r="FNG64" s="404"/>
      <c r="FNH64" s="404"/>
      <c r="FNI64" s="404"/>
      <c r="FNJ64" s="404"/>
      <c r="FNK64" s="404"/>
      <c r="FNL64" s="404"/>
      <c r="FNM64" s="404"/>
      <c r="FNN64" s="404"/>
      <c r="FNO64" s="404"/>
      <c r="FNP64" s="404"/>
      <c r="FNQ64" s="404"/>
      <c r="FNR64" s="404"/>
      <c r="FNS64" s="404"/>
      <c r="FNT64" s="404"/>
      <c r="FNU64" s="404"/>
      <c r="FNV64" s="404"/>
      <c r="FNW64" s="404"/>
      <c r="FNX64" s="404"/>
      <c r="FNY64" s="404"/>
      <c r="FNZ64" s="404"/>
      <c r="FOA64" s="404"/>
      <c r="FOB64" s="404"/>
      <c r="FOC64" s="404"/>
      <c r="FOD64" s="404"/>
      <c r="FOE64" s="404"/>
      <c r="FOF64" s="404"/>
      <c r="FOG64" s="404"/>
      <c r="FOH64" s="404"/>
      <c r="FOI64" s="404"/>
      <c r="FOJ64" s="404"/>
      <c r="FOK64" s="404"/>
      <c r="FOL64" s="404"/>
      <c r="FOM64" s="404"/>
      <c r="FON64" s="404"/>
      <c r="FOO64" s="404"/>
      <c r="FOP64" s="404"/>
      <c r="FOQ64" s="404"/>
      <c r="FOR64" s="404"/>
      <c r="FOS64" s="404"/>
      <c r="FOT64" s="404"/>
      <c r="FOU64" s="404"/>
      <c r="FOV64" s="404"/>
      <c r="FOW64" s="404"/>
      <c r="FOX64" s="404"/>
      <c r="FOY64" s="404"/>
      <c r="FOZ64" s="404"/>
      <c r="FPA64" s="404"/>
      <c r="FPB64" s="404"/>
      <c r="FPC64" s="404"/>
      <c r="FPD64" s="404"/>
      <c r="FPE64" s="404"/>
      <c r="FPF64" s="404"/>
      <c r="FPG64" s="404"/>
      <c r="FPH64" s="404"/>
      <c r="FPI64" s="404"/>
      <c r="FPJ64" s="404"/>
      <c r="FPK64" s="404"/>
      <c r="FPL64" s="404"/>
      <c r="FPM64" s="404"/>
      <c r="FPN64" s="404"/>
      <c r="FPO64" s="404"/>
      <c r="FPP64" s="404"/>
      <c r="FPQ64" s="404"/>
      <c r="FPR64" s="404"/>
      <c r="FPS64" s="404"/>
      <c r="FPT64" s="404"/>
      <c r="FPU64" s="404"/>
      <c r="FPV64" s="404"/>
      <c r="FPW64" s="404"/>
      <c r="FPX64" s="404"/>
      <c r="FPY64" s="404"/>
      <c r="FPZ64" s="404"/>
      <c r="FQA64" s="404"/>
      <c r="FQB64" s="404"/>
      <c r="FQC64" s="404"/>
      <c r="FQD64" s="404"/>
      <c r="FQE64" s="404"/>
      <c r="FQF64" s="404"/>
      <c r="FQG64" s="404"/>
      <c r="FQH64" s="404"/>
      <c r="FQI64" s="404"/>
      <c r="FQJ64" s="404"/>
      <c r="FQK64" s="404"/>
      <c r="FQL64" s="404"/>
      <c r="FQM64" s="404"/>
      <c r="FQN64" s="404"/>
      <c r="FQO64" s="404"/>
      <c r="FQP64" s="404"/>
      <c r="FQQ64" s="404"/>
      <c r="FQR64" s="404"/>
      <c r="FQS64" s="404"/>
      <c r="FQT64" s="404"/>
      <c r="FQU64" s="404"/>
      <c r="FQV64" s="404"/>
      <c r="FQW64" s="404"/>
      <c r="FQX64" s="404"/>
      <c r="FQY64" s="404"/>
      <c r="FQZ64" s="404"/>
      <c r="FRA64" s="404"/>
      <c r="FRB64" s="404"/>
      <c r="FRC64" s="404"/>
      <c r="FRD64" s="404"/>
      <c r="FRE64" s="404"/>
      <c r="FRF64" s="404"/>
      <c r="FRG64" s="404"/>
      <c r="FRH64" s="404"/>
      <c r="FRI64" s="404"/>
      <c r="FRJ64" s="404"/>
      <c r="FRK64" s="404"/>
      <c r="FRL64" s="404"/>
      <c r="FRM64" s="404"/>
      <c r="FRN64" s="404"/>
      <c r="FRO64" s="404"/>
      <c r="FRP64" s="404"/>
      <c r="FRQ64" s="404"/>
      <c r="FRR64" s="404"/>
      <c r="FRS64" s="404"/>
      <c r="FRT64" s="404"/>
      <c r="FRU64" s="404"/>
      <c r="FRV64" s="404"/>
      <c r="FRW64" s="404"/>
      <c r="FRX64" s="404"/>
      <c r="FRY64" s="404"/>
      <c r="FRZ64" s="404"/>
      <c r="FSA64" s="404"/>
      <c r="FSB64" s="404"/>
      <c r="FSC64" s="404"/>
      <c r="FSD64" s="404"/>
      <c r="FSE64" s="404"/>
      <c r="FSF64" s="404"/>
      <c r="FSG64" s="404"/>
      <c r="FSH64" s="404"/>
      <c r="FSI64" s="404"/>
      <c r="FSJ64" s="404"/>
      <c r="FSK64" s="404"/>
      <c r="FSL64" s="404"/>
      <c r="FSM64" s="404"/>
      <c r="FSN64" s="404"/>
      <c r="FSO64" s="404"/>
      <c r="FSP64" s="404"/>
      <c r="FSQ64" s="404"/>
      <c r="FSR64" s="404"/>
      <c r="FSS64" s="404"/>
      <c r="FST64" s="404"/>
      <c r="FSU64" s="404"/>
      <c r="FSV64" s="404"/>
      <c r="FSW64" s="404"/>
      <c r="FSX64" s="404"/>
      <c r="FSY64" s="404"/>
      <c r="FSZ64" s="404"/>
      <c r="FTA64" s="404"/>
      <c r="FTB64" s="404"/>
      <c r="FTC64" s="404"/>
      <c r="FTD64" s="404"/>
      <c r="FTE64" s="404"/>
      <c r="FTF64" s="404"/>
      <c r="FTG64" s="404"/>
      <c r="FTH64" s="404"/>
      <c r="FTI64" s="404"/>
      <c r="FTJ64" s="404"/>
      <c r="FTK64" s="404"/>
      <c r="FTL64" s="404"/>
      <c r="FTM64" s="404"/>
      <c r="FTN64" s="404"/>
      <c r="FTO64" s="404"/>
      <c r="FTP64" s="404"/>
      <c r="FTQ64" s="404"/>
      <c r="FTR64" s="404"/>
      <c r="FTS64" s="404"/>
      <c r="FTT64" s="404"/>
      <c r="FTU64" s="404"/>
      <c r="FTV64" s="404"/>
      <c r="FTW64" s="404"/>
      <c r="FTX64" s="404"/>
      <c r="FTY64" s="404"/>
      <c r="FTZ64" s="404"/>
      <c r="FUA64" s="404"/>
      <c r="FUB64" s="404"/>
      <c r="FUC64" s="404"/>
      <c r="FUD64" s="404"/>
      <c r="FUE64" s="404"/>
      <c r="FUF64" s="404"/>
      <c r="FUG64" s="404"/>
      <c r="FUH64" s="404"/>
      <c r="FUI64" s="404"/>
      <c r="FUJ64" s="404"/>
      <c r="FUK64" s="404"/>
      <c r="FUL64" s="404"/>
      <c r="FUM64" s="404"/>
      <c r="FUN64" s="404"/>
      <c r="FUO64" s="404"/>
      <c r="FUP64" s="404"/>
      <c r="FUQ64" s="404"/>
      <c r="FUR64" s="404"/>
      <c r="FUS64" s="404"/>
      <c r="FUT64" s="404"/>
      <c r="FUU64" s="404"/>
      <c r="FUV64" s="404"/>
      <c r="FUW64" s="404"/>
      <c r="FUX64" s="404"/>
      <c r="FUY64" s="404"/>
      <c r="FUZ64" s="404"/>
      <c r="FVA64" s="404"/>
      <c r="FVB64" s="404"/>
      <c r="FVC64" s="404"/>
      <c r="FVD64" s="404"/>
      <c r="FVE64" s="404"/>
      <c r="FVF64" s="404"/>
      <c r="FVG64" s="404"/>
      <c r="FVH64" s="404"/>
      <c r="FVI64" s="404"/>
      <c r="FVJ64" s="404"/>
      <c r="FVK64" s="404"/>
      <c r="FVL64" s="404"/>
      <c r="FVM64" s="404"/>
      <c r="FVN64" s="404"/>
      <c r="FVO64" s="404"/>
      <c r="FVP64" s="404"/>
      <c r="FVQ64" s="404"/>
      <c r="FVR64" s="404"/>
      <c r="FVS64" s="404"/>
      <c r="FVT64" s="404"/>
      <c r="FVU64" s="404"/>
      <c r="FVV64" s="404"/>
      <c r="FVW64" s="404"/>
      <c r="FVX64" s="404"/>
      <c r="FVY64" s="404"/>
      <c r="FVZ64" s="404"/>
      <c r="FWA64" s="404"/>
      <c r="FWB64" s="404"/>
      <c r="FWC64" s="404"/>
      <c r="FWD64" s="404"/>
      <c r="FWE64" s="404"/>
      <c r="FWF64" s="404"/>
      <c r="FWG64" s="404"/>
      <c r="FWH64" s="404"/>
      <c r="FWI64" s="404"/>
      <c r="FWJ64" s="404"/>
      <c r="FWK64" s="404"/>
      <c r="FWL64" s="404"/>
      <c r="FWM64" s="404"/>
      <c r="FWN64" s="404"/>
      <c r="FWO64" s="404"/>
      <c r="FWP64" s="404"/>
      <c r="FWQ64" s="404"/>
      <c r="FWR64" s="404"/>
      <c r="FWS64" s="404"/>
      <c r="FWT64" s="404"/>
      <c r="FWU64" s="404"/>
      <c r="FWV64" s="404"/>
      <c r="FWW64" s="404"/>
      <c r="FWX64" s="404"/>
      <c r="FWY64" s="404"/>
      <c r="FWZ64" s="404"/>
      <c r="FXA64" s="404"/>
      <c r="FXB64" s="404"/>
      <c r="FXC64" s="404"/>
      <c r="FXD64" s="404"/>
      <c r="FXE64" s="404"/>
      <c r="FXF64" s="404"/>
      <c r="FXG64" s="404"/>
      <c r="FXH64" s="404"/>
      <c r="FXI64" s="404"/>
      <c r="FXJ64" s="404"/>
      <c r="FXK64" s="404"/>
      <c r="FXL64" s="404"/>
      <c r="FXM64" s="404"/>
      <c r="FXN64" s="404"/>
      <c r="FXO64" s="404"/>
      <c r="FXP64" s="404"/>
      <c r="FXQ64" s="404"/>
      <c r="FXR64" s="404"/>
      <c r="FXS64" s="404"/>
      <c r="FXT64" s="404"/>
      <c r="FXU64" s="404"/>
      <c r="FXV64" s="404"/>
      <c r="FXW64" s="404"/>
      <c r="FXX64" s="404"/>
      <c r="FXY64" s="404"/>
      <c r="FXZ64" s="404"/>
      <c r="FYA64" s="404"/>
      <c r="FYB64" s="404"/>
      <c r="FYC64" s="404"/>
      <c r="FYD64" s="404"/>
      <c r="FYE64" s="404"/>
      <c r="FYF64" s="404"/>
      <c r="FYG64" s="404"/>
      <c r="FYH64" s="404"/>
      <c r="FYI64" s="404"/>
      <c r="FYJ64" s="404"/>
      <c r="FYK64" s="404"/>
      <c r="FYL64" s="404"/>
      <c r="FYM64" s="404"/>
      <c r="FYN64" s="404"/>
      <c r="FYO64" s="404"/>
      <c r="FYP64" s="404"/>
      <c r="FYQ64" s="404"/>
      <c r="FYR64" s="404"/>
      <c r="FYS64" s="404"/>
      <c r="FYT64" s="404"/>
      <c r="FYU64" s="404"/>
      <c r="FYV64" s="404"/>
      <c r="FYW64" s="404"/>
      <c r="FYX64" s="404"/>
      <c r="FYY64" s="404"/>
      <c r="FYZ64" s="404"/>
      <c r="FZA64" s="404"/>
      <c r="FZB64" s="404"/>
      <c r="FZC64" s="404"/>
      <c r="FZD64" s="404"/>
      <c r="FZE64" s="404"/>
      <c r="FZF64" s="404"/>
      <c r="FZG64" s="404"/>
      <c r="FZH64" s="404"/>
      <c r="FZI64" s="404"/>
      <c r="FZJ64" s="404"/>
      <c r="FZK64" s="404"/>
      <c r="FZL64" s="404"/>
      <c r="FZM64" s="404"/>
      <c r="FZN64" s="404"/>
      <c r="FZO64" s="404"/>
      <c r="FZP64" s="404"/>
      <c r="FZQ64" s="404"/>
      <c r="FZR64" s="404"/>
      <c r="FZS64" s="404"/>
      <c r="FZT64" s="404"/>
      <c r="FZU64" s="404"/>
      <c r="FZV64" s="404"/>
      <c r="FZW64" s="404"/>
      <c r="FZX64" s="404"/>
      <c r="FZY64" s="404"/>
      <c r="FZZ64" s="404"/>
      <c r="GAA64" s="404"/>
      <c r="GAB64" s="404"/>
      <c r="GAC64" s="404"/>
      <c r="GAD64" s="404"/>
      <c r="GAE64" s="404"/>
      <c r="GAF64" s="404"/>
      <c r="GAG64" s="404"/>
      <c r="GAH64" s="404"/>
      <c r="GAI64" s="404"/>
      <c r="GAJ64" s="404"/>
      <c r="GAK64" s="404"/>
      <c r="GAL64" s="404"/>
      <c r="GAM64" s="404"/>
      <c r="GAN64" s="404"/>
      <c r="GAO64" s="404"/>
      <c r="GAP64" s="404"/>
      <c r="GAQ64" s="404"/>
      <c r="GAR64" s="404"/>
      <c r="GAS64" s="404"/>
      <c r="GAT64" s="404"/>
      <c r="GAU64" s="404"/>
      <c r="GAV64" s="404"/>
      <c r="GAW64" s="404"/>
      <c r="GAX64" s="404"/>
      <c r="GAY64" s="404"/>
      <c r="GAZ64" s="404"/>
      <c r="GBA64" s="404"/>
      <c r="GBB64" s="404"/>
      <c r="GBC64" s="404"/>
      <c r="GBD64" s="404"/>
      <c r="GBE64" s="404"/>
      <c r="GBF64" s="404"/>
      <c r="GBG64" s="404"/>
      <c r="GBH64" s="404"/>
      <c r="GBI64" s="404"/>
      <c r="GBJ64" s="404"/>
      <c r="GBK64" s="404"/>
      <c r="GBL64" s="404"/>
      <c r="GBM64" s="404"/>
      <c r="GBN64" s="404"/>
      <c r="GBO64" s="404"/>
      <c r="GBP64" s="404"/>
      <c r="GBQ64" s="404"/>
      <c r="GBR64" s="404"/>
      <c r="GBS64" s="404"/>
      <c r="GBT64" s="404"/>
      <c r="GBU64" s="404"/>
      <c r="GBV64" s="404"/>
      <c r="GBW64" s="404"/>
      <c r="GBX64" s="404"/>
      <c r="GBY64" s="404"/>
      <c r="GBZ64" s="404"/>
      <c r="GCA64" s="404"/>
      <c r="GCB64" s="404"/>
      <c r="GCC64" s="404"/>
      <c r="GCD64" s="404"/>
      <c r="GCE64" s="404"/>
      <c r="GCF64" s="404"/>
      <c r="GCG64" s="404"/>
      <c r="GCH64" s="404"/>
      <c r="GCI64" s="404"/>
      <c r="GCJ64" s="404"/>
      <c r="GCK64" s="404"/>
      <c r="GCL64" s="404"/>
      <c r="GCM64" s="404"/>
      <c r="GCN64" s="404"/>
      <c r="GCO64" s="404"/>
      <c r="GCP64" s="404"/>
      <c r="GCQ64" s="404"/>
      <c r="GCR64" s="404"/>
      <c r="GCS64" s="404"/>
      <c r="GCT64" s="404"/>
      <c r="GCU64" s="404"/>
      <c r="GCV64" s="404"/>
      <c r="GCW64" s="404"/>
      <c r="GCX64" s="404"/>
      <c r="GCY64" s="404"/>
      <c r="GCZ64" s="404"/>
      <c r="GDA64" s="404"/>
      <c r="GDB64" s="404"/>
      <c r="GDC64" s="404"/>
      <c r="GDD64" s="404"/>
      <c r="GDE64" s="404"/>
      <c r="GDF64" s="404"/>
      <c r="GDG64" s="404"/>
      <c r="GDH64" s="404"/>
      <c r="GDI64" s="404"/>
      <c r="GDJ64" s="404"/>
      <c r="GDK64" s="404"/>
      <c r="GDL64" s="404"/>
      <c r="GDM64" s="404"/>
      <c r="GDN64" s="404"/>
      <c r="GDO64" s="404"/>
      <c r="GDP64" s="404"/>
      <c r="GDQ64" s="404"/>
      <c r="GDR64" s="404"/>
      <c r="GDS64" s="404"/>
      <c r="GDT64" s="404"/>
      <c r="GDU64" s="404"/>
      <c r="GDV64" s="404"/>
      <c r="GDW64" s="404"/>
      <c r="GDX64" s="404"/>
      <c r="GDY64" s="404"/>
      <c r="GDZ64" s="404"/>
      <c r="GEA64" s="404"/>
      <c r="GEB64" s="404"/>
      <c r="GEC64" s="404"/>
      <c r="GED64" s="404"/>
      <c r="GEE64" s="404"/>
      <c r="GEF64" s="404"/>
      <c r="GEG64" s="404"/>
      <c r="GEH64" s="404"/>
      <c r="GEI64" s="404"/>
      <c r="GEJ64" s="404"/>
      <c r="GEK64" s="404"/>
      <c r="GEL64" s="404"/>
      <c r="GEM64" s="404"/>
      <c r="GEN64" s="404"/>
      <c r="GEO64" s="404"/>
      <c r="GEP64" s="404"/>
      <c r="GEQ64" s="404"/>
      <c r="GER64" s="404"/>
      <c r="GES64" s="404"/>
      <c r="GET64" s="404"/>
      <c r="GEU64" s="404"/>
      <c r="GEV64" s="404"/>
      <c r="GEW64" s="404"/>
      <c r="GEX64" s="404"/>
      <c r="GEY64" s="404"/>
      <c r="GEZ64" s="404"/>
      <c r="GFA64" s="404"/>
      <c r="GFB64" s="404"/>
      <c r="GFC64" s="404"/>
      <c r="GFD64" s="404"/>
      <c r="GFE64" s="404"/>
      <c r="GFF64" s="404"/>
      <c r="GFG64" s="404"/>
      <c r="GFH64" s="404"/>
      <c r="GFI64" s="404"/>
      <c r="GFJ64" s="404"/>
      <c r="GFK64" s="404"/>
      <c r="GFL64" s="404"/>
      <c r="GFM64" s="404"/>
      <c r="GFN64" s="404"/>
      <c r="GFO64" s="404"/>
      <c r="GFP64" s="404"/>
      <c r="GFQ64" s="404"/>
      <c r="GFR64" s="404"/>
      <c r="GFS64" s="404"/>
      <c r="GFT64" s="404"/>
      <c r="GFU64" s="404"/>
      <c r="GFV64" s="404"/>
      <c r="GFW64" s="404"/>
      <c r="GFX64" s="404"/>
      <c r="GFY64" s="404"/>
      <c r="GFZ64" s="404"/>
      <c r="GGA64" s="404"/>
      <c r="GGB64" s="404"/>
      <c r="GGC64" s="404"/>
      <c r="GGD64" s="404"/>
      <c r="GGE64" s="404"/>
      <c r="GGF64" s="404"/>
      <c r="GGG64" s="404"/>
      <c r="GGH64" s="404"/>
      <c r="GGI64" s="404"/>
      <c r="GGJ64" s="404"/>
      <c r="GGK64" s="404"/>
      <c r="GGL64" s="404"/>
      <c r="GGM64" s="404"/>
      <c r="GGN64" s="404"/>
      <c r="GGO64" s="404"/>
      <c r="GGP64" s="404"/>
      <c r="GGQ64" s="404"/>
      <c r="GGR64" s="404"/>
      <c r="GGS64" s="404"/>
      <c r="GGT64" s="404"/>
      <c r="GGU64" s="404"/>
      <c r="GGV64" s="404"/>
      <c r="GGW64" s="404"/>
      <c r="GGX64" s="404"/>
      <c r="GGY64" s="404"/>
      <c r="GGZ64" s="404"/>
      <c r="GHA64" s="404"/>
      <c r="GHB64" s="404"/>
      <c r="GHC64" s="404"/>
      <c r="GHD64" s="404"/>
      <c r="GHE64" s="404"/>
      <c r="GHF64" s="404"/>
      <c r="GHG64" s="404"/>
      <c r="GHH64" s="404"/>
      <c r="GHI64" s="404"/>
      <c r="GHJ64" s="404"/>
      <c r="GHK64" s="404"/>
      <c r="GHL64" s="404"/>
      <c r="GHM64" s="404"/>
      <c r="GHN64" s="404"/>
      <c r="GHO64" s="404"/>
      <c r="GHP64" s="404"/>
      <c r="GHQ64" s="404"/>
      <c r="GHR64" s="404"/>
      <c r="GHS64" s="404"/>
      <c r="GHT64" s="404"/>
      <c r="GHU64" s="404"/>
      <c r="GHV64" s="404"/>
      <c r="GHW64" s="404"/>
      <c r="GHX64" s="404"/>
      <c r="GHY64" s="404"/>
      <c r="GHZ64" s="404"/>
      <c r="GIA64" s="404"/>
      <c r="GIB64" s="404"/>
      <c r="GIC64" s="404"/>
      <c r="GID64" s="404"/>
      <c r="GIE64" s="404"/>
      <c r="GIF64" s="404"/>
      <c r="GIG64" s="404"/>
      <c r="GIH64" s="404"/>
      <c r="GII64" s="404"/>
      <c r="GIJ64" s="404"/>
      <c r="GIK64" s="404"/>
      <c r="GIL64" s="404"/>
      <c r="GIM64" s="404"/>
      <c r="GIN64" s="404"/>
      <c r="GIO64" s="404"/>
      <c r="GIP64" s="404"/>
      <c r="GIQ64" s="404"/>
      <c r="GIR64" s="404"/>
      <c r="GIS64" s="404"/>
      <c r="GIT64" s="404"/>
      <c r="GIU64" s="404"/>
      <c r="GIV64" s="404"/>
      <c r="GIW64" s="404"/>
      <c r="GIX64" s="404"/>
      <c r="GIY64" s="404"/>
      <c r="GIZ64" s="404"/>
      <c r="GJA64" s="404"/>
      <c r="GJB64" s="404"/>
      <c r="GJC64" s="404"/>
      <c r="GJD64" s="404"/>
      <c r="GJE64" s="404"/>
      <c r="GJF64" s="404"/>
      <c r="GJG64" s="404"/>
      <c r="GJH64" s="404"/>
      <c r="GJI64" s="404"/>
      <c r="GJJ64" s="404"/>
      <c r="GJK64" s="404"/>
      <c r="GJL64" s="404"/>
      <c r="GJM64" s="404"/>
      <c r="GJN64" s="404"/>
      <c r="GJO64" s="404"/>
      <c r="GJP64" s="404"/>
      <c r="GJQ64" s="404"/>
      <c r="GJR64" s="404"/>
      <c r="GJS64" s="404"/>
      <c r="GJT64" s="404"/>
      <c r="GJU64" s="404"/>
      <c r="GJV64" s="404"/>
      <c r="GJW64" s="404"/>
      <c r="GJX64" s="404"/>
      <c r="GJY64" s="404"/>
      <c r="GJZ64" s="404"/>
      <c r="GKA64" s="404"/>
      <c r="GKB64" s="404"/>
      <c r="GKC64" s="404"/>
      <c r="GKD64" s="404"/>
      <c r="GKE64" s="404"/>
      <c r="GKF64" s="404"/>
      <c r="GKG64" s="404"/>
      <c r="GKH64" s="404"/>
      <c r="GKI64" s="404"/>
      <c r="GKJ64" s="404"/>
      <c r="GKK64" s="404"/>
      <c r="GKL64" s="404"/>
      <c r="GKM64" s="404"/>
      <c r="GKN64" s="404"/>
      <c r="GKO64" s="404"/>
      <c r="GKP64" s="404"/>
      <c r="GKQ64" s="404"/>
      <c r="GKR64" s="404"/>
      <c r="GKS64" s="404"/>
      <c r="GKT64" s="404"/>
      <c r="GKU64" s="404"/>
      <c r="GKV64" s="404"/>
      <c r="GKW64" s="404"/>
      <c r="GKX64" s="404"/>
      <c r="GKY64" s="404"/>
      <c r="GKZ64" s="404"/>
      <c r="GLA64" s="404"/>
      <c r="GLB64" s="404"/>
      <c r="GLC64" s="404"/>
      <c r="GLD64" s="404"/>
      <c r="GLE64" s="404"/>
      <c r="GLF64" s="404"/>
      <c r="GLG64" s="404"/>
      <c r="GLH64" s="404"/>
      <c r="GLI64" s="404"/>
      <c r="GLJ64" s="404"/>
      <c r="GLK64" s="404"/>
      <c r="GLL64" s="404"/>
      <c r="GLM64" s="404"/>
      <c r="GLN64" s="404"/>
      <c r="GLO64" s="404"/>
      <c r="GLP64" s="404"/>
      <c r="GLQ64" s="404"/>
      <c r="GLR64" s="404"/>
      <c r="GLS64" s="404"/>
      <c r="GLT64" s="404"/>
      <c r="GLU64" s="404"/>
      <c r="GLV64" s="404"/>
      <c r="GLW64" s="404"/>
      <c r="GLX64" s="404"/>
      <c r="GLY64" s="404"/>
      <c r="GLZ64" s="404"/>
      <c r="GMA64" s="404"/>
      <c r="GMB64" s="404"/>
      <c r="GMC64" s="404"/>
      <c r="GMD64" s="404"/>
      <c r="GME64" s="404"/>
      <c r="GMF64" s="404"/>
      <c r="GMG64" s="404"/>
      <c r="GMH64" s="404"/>
      <c r="GMI64" s="404"/>
      <c r="GMJ64" s="404"/>
      <c r="GMK64" s="404"/>
      <c r="GML64" s="404"/>
      <c r="GMM64" s="404"/>
      <c r="GMN64" s="404"/>
      <c r="GMO64" s="404"/>
      <c r="GMP64" s="404"/>
      <c r="GMQ64" s="404"/>
      <c r="GMR64" s="404"/>
      <c r="GMS64" s="404"/>
      <c r="GMT64" s="404"/>
      <c r="GMU64" s="404"/>
      <c r="GMV64" s="404"/>
      <c r="GMW64" s="404"/>
      <c r="GMX64" s="404"/>
      <c r="GMY64" s="404"/>
      <c r="GMZ64" s="404"/>
      <c r="GNA64" s="404"/>
      <c r="GNB64" s="404"/>
      <c r="GNC64" s="404"/>
      <c r="GND64" s="404"/>
      <c r="GNE64" s="404"/>
      <c r="GNF64" s="404"/>
      <c r="GNG64" s="404"/>
      <c r="GNH64" s="404"/>
      <c r="GNI64" s="404"/>
      <c r="GNJ64" s="404"/>
      <c r="GNK64" s="404"/>
      <c r="GNL64" s="404"/>
      <c r="GNM64" s="404"/>
      <c r="GNN64" s="404"/>
      <c r="GNO64" s="404"/>
      <c r="GNP64" s="404"/>
      <c r="GNQ64" s="404"/>
      <c r="GNR64" s="404"/>
      <c r="GNS64" s="404"/>
      <c r="GNT64" s="404"/>
      <c r="GNU64" s="404"/>
      <c r="GNV64" s="404"/>
      <c r="GNW64" s="404"/>
      <c r="GNX64" s="404"/>
      <c r="GNY64" s="404"/>
      <c r="GNZ64" s="404"/>
      <c r="GOA64" s="404"/>
      <c r="GOB64" s="404"/>
      <c r="GOC64" s="404"/>
      <c r="GOD64" s="404"/>
      <c r="GOE64" s="404"/>
      <c r="GOF64" s="404"/>
      <c r="GOG64" s="404"/>
      <c r="GOH64" s="404"/>
      <c r="GOI64" s="404"/>
      <c r="GOJ64" s="404"/>
      <c r="GOK64" s="404"/>
      <c r="GOL64" s="404"/>
      <c r="GOM64" s="404"/>
      <c r="GON64" s="404"/>
      <c r="GOO64" s="404"/>
      <c r="GOP64" s="404"/>
      <c r="GOQ64" s="404"/>
      <c r="GOR64" s="404"/>
      <c r="GOS64" s="404"/>
      <c r="GOT64" s="404"/>
      <c r="GOU64" s="404"/>
      <c r="GOV64" s="404"/>
      <c r="GOW64" s="404"/>
      <c r="GOX64" s="404"/>
      <c r="GOY64" s="404"/>
      <c r="GOZ64" s="404"/>
      <c r="GPA64" s="404"/>
      <c r="GPB64" s="404"/>
      <c r="GPC64" s="404"/>
      <c r="GPD64" s="404"/>
      <c r="GPE64" s="404"/>
      <c r="GPF64" s="404"/>
      <c r="GPG64" s="404"/>
      <c r="GPH64" s="404"/>
      <c r="GPI64" s="404"/>
      <c r="GPJ64" s="404"/>
      <c r="GPK64" s="404"/>
      <c r="GPL64" s="404"/>
      <c r="GPM64" s="404"/>
      <c r="GPN64" s="404"/>
      <c r="GPO64" s="404"/>
      <c r="GPP64" s="404"/>
      <c r="GPQ64" s="404"/>
      <c r="GPR64" s="404"/>
      <c r="GPS64" s="404"/>
      <c r="GPT64" s="404"/>
      <c r="GPU64" s="404"/>
      <c r="GPV64" s="404"/>
      <c r="GPW64" s="404"/>
      <c r="GPX64" s="404"/>
      <c r="GPY64" s="404"/>
      <c r="GPZ64" s="404"/>
      <c r="GQA64" s="404"/>
      <c r="GQB64" s="404"/>
      <c r="GQC64" s="404"/>
      <c r="GQD64" s="404"/>
      <c r="GQE64" s="404"/>
      <c r="GQF64" s="404"/>
      <c r="GQG64" s="404"/>
      <c r="GQH64" s="404"/>
      <c r="GQI64" s="404"/>
      <c r="GQJ64" s="404"/>
      <c r="GQK64" s="404"/>
      <c r="GQL64" s="404"/>
      <c r="GQM64" s="404"/>
      <c r="GQN64" s="404"/>
      <c r="GQO64" s="404"/>
      <c r="GQP64" s="404"/>
      <c r="GQQ64" s="404"/>
      <c r="GQR64" s="404"/>
      <c r="GQS64" s="404"/>
      <c r="GQT64" s="404"/>
      <c r="GQU64" s="404"/>
      <c r="GQV64" s="404"/>
      <c r="GQW64" s="404"/>
      <c r="GQX64" s="404"/>
      <c r="GQY64" s="404"/>
      <c r="GQZ64" s="404"/>
      <c r="GRA64" s="404"/>
      <c r="GRB64" s="404"/>
      <c r="GRC64" s="404"/>
      <c r="GRD64" s="404"/>
      <c r="GRE64" s="404"/>
      <c r="GRF64" s="404"/>
      <c r="GRG64" s="404"/>
      <c r="GRH64" s="404"/>
      <c r="GRI64" s="404"/>
      <c r="GRJ64" s="404"/>
      <c r="GRK64" s="404"/>
      <c r="GRL64" s="404"/>
      <c r="GRM64" s="404"/>
      <c r="GRN64" s="404"/>
      <c r="GRO64" s="404"/>
      <c r="GRP64" s="404"/>
      <c r="GRQ64" s="404"/>
      <c r="GRR64" s="404"/>
      <c r="GRS64" s="404"/>
      <c r="GRT64" s="404"/>
      <c r="GRU64" s="404"/>
      <c r="GRV64" s="404"/>
      <c r="GRW64" s="404"/>
      <c r="GRX64" s="404"/>
      <c r="GRY64" s="404"/>
      <c r="GRZ64" s="404"/>
      <c r="GSA64" s="404"/>
      <c r="GSB64" s="404"/>
      <c r="GSC64" s="404"/>
      <c r="GSD64" s="404"/>
      <c r="GSE64" s="404"/>
      <c r="GSF64" s="404"/>
      <c r="GSG64" s="404"/>
      <c r="GSH64" s="404"/>
      <c r="GSI64" s="404"/>
      <c r="GSJ64" s="404"/>
      <c r="GSK64" s="404"/>
      <c r="GSL64" s="404"/>
      <c r="GSM64" s="404"/>
      <c r="GSN64" s="404"/>
      <c r="GSO64" s="404"/>
      <c r="GSP64" s="404"/>
      <c r="GSQ64" s="404"/>
      <c r="GSR64" s="404"/>
      <c r="GSS64" s="404"/>
      <c r="GST64" s="404"/>
      <c r="GSU64" s="404"/>
      <c r="GSV64" s="404"/>
      <c r="GSW64" s="404"/>
      <c r="GSX64" s="404"/>
      <c r="GSY64" s="404"/>
      <c r="GSZ64" s="404"/>
      <c r="GTA64" s="404"/>
      <c r="GTB64" s="404"/>
      <c r="GTC64" s="404"/>
      <c r="GTD64" s="404"/>
      <c r="GTE64" s="404"/>
      <c r="GTF64" s="404"/>
      <c r="GTG64" s="404"/>
      <c r="GTH64" s="404"/>
      <c r="GTI64" s="404"/>
      <c r="GTJ64" s="404"/>
      <c r="GTK64" s="404"/>
      <c r="GTL64" s="404"/>
      <c r="GTM64" s="404"/>
      <c r="GTN64" s="404"/>
      <c r="GTO64" s="404"/>
      <c r="GTP64" s="404"/>
      <c r="GTQ64" s="404"/>
      <c r="GTR64" s="404"/>
      <c r="GTS64" s="404"/>
      <c r="GTT64" s="404"/>
      <c r="GTU64" s="404"/>
      <c r="GTV64" s="404"/>
      <c r="GTW64" s="404"/>
      <c r="GTX64" s="404"/>
      <c r="GTY64" s="404"/>
      <c r="GTZ64" s="404"/>
      <c r="GUA64" s="404"/>
      <c r="GUB64" s="404"/>
      <c r="GUC64" s="404"/>
      <c r="GUD64" s="404"/>
      <c r="GUE64" s="404"/>
      <c r="GUF64" s="404"/>
      <c r="GUG64" s="404"/>
      <c r="GUH64" s="404"/>
      <c r="GUI64" s="404"/>
      <c r="GUJ64" s="404"/>
      <c r="GUK64" s="404"/>
      <c r="GUL64" s="404"/>
      <c r="GUM64" s="404"/>
      <c r="GUN64" s="404"/>
      <c r="GUO64" s="404"/>
      <c r="GUP64" s="404"/>
      <c r="GUQ64" s="404"/>
      <c r="GUR64" s="404"/>
      <c r="GUS64" s="404"/>
      <c r="GUT64" s="404"/>
      <c r="GUU64" s="404"/>
      <c r="GUV64" s="404"/>
      <c r="GUW64" s="404"/>
      <c r="GUX64" s="404"/>
      <c r="GUY64" s="404"/>
      <c r="GUZ64" s="404"/>
      <c r="GVA64" s="404"/>
      <c r="GVB64" s="404"/>
      <c r="GVC64" s="404"/>
      <c r="GVD64" s="404"/>
      <c r="GVE64" s="404"/>
      <c r="GVF64" s="404"/>
      <c r="GVG64" s="404"/>
      <c r="GVH64" s="404"/>
      <c r="GVI64" s="404"/>
      <c r="GVJ64" s="404"/>
      <c r="GVK64" s="404"/>
      <c r="GVL64" s="404"/>
      <c r="GVM64" s="404"/>
      <c r="GVN64" s="404"/>
      <c r="GVO64" s="404"/>
      <c r="GVP64" s="404"/>
      <c r="GVQ64" s="404"/>
      <c r="GVR64" s="404"/>
      <c r="GVS64" s="404"/>
      <c r="GVT64" s="404"/>
      <c r="GVU64" s="404"/>
      <c r="GVV64" s="404"/>
      <c r="GVW64" s="404"/>
      <c r="GVX64" s="404"/>
      <c r="GVY64" s="404"/>
      <c r="GVZ64" s="404"/>
      <c r="GWA64" s="404"/>
      <c r="GWB64" s="404"/>
      <c r="GWC64" s="404"/>
      <c r="GWD64" s="404"/>
      <c r="GWE64" s="404"/>
      <c r="GWF64" s="404"/>
      <c r="GWG64" s="404"/>
      <c r="GWH64" s="404"/>
      <c r="GWI64" s="404"/>
      <c r="GWJ64" s="404"/>
      <c r="GWK64" s="404"/>
      <c r="GWL64" s="404"/>
      <c r="GWM64" s="404"/>
      <c r="GWN64" s="404"/>
      <c r="GWO64" s="404"/>
      <c r="GWP64" s="404"/>
      <c r="GWQ64" s="404"/>
      <c r="GWR64" s="404"/>
      <c r="GWS64" s="404"/>
      <c r="GWT64" s="404"/>
      <c r="GWU64" s="404"/>
      <c r="GWV64" s="404"/>
      <c r="GWW64" s="404"/>
      <c r="GWX64" s="404"/>
      <c r="GWY64" s="404"/>
      <c r="GWZ64" s="404"/>
      <c r="GXA64" s="404"/>
      <c r="GXB64" s="404"/>
      <c r="GXC64" s="404"/>
      <c r="GXD64" s="404"/>
      <c r="GXE64" s="404"/>
      <c r="GXF64" s="404"/>
      <c r="GXG64" s="404"/>
      <c r="GXH64" s="404"/>
      <c r="GXI64" s="404"/>
      <c r="GXJ64" s="404"/>
      <c r="GXK64" s="404"/>
      <c r="GXL64" s="404"/>
      <c r="GXM64" s="404"/>
      <c r="GXN64" s="404"/>
      <c r="GXO64" s="404"/>
      <c r="GXP64" s="404"/>
      <c r="GXQ64" s="404"/>
      <c r="GXR64" s="404"/>
      <c r="GXS64" s="404"/>
      <c r="GXT64" s="404"/>
      <c r="GXU64" s="404"/>
      <c r="GXV64" s="404"/>
      <c r="GXW64" s="404"/>
      <c r="GXX64" s="404"/>
      <c r="GXY64" s="404"/>
      <c r="GXZ64" s="404"/>
      <c r="GYA64" s="404"/>
      <c r="GYB64" s="404"/>
      <c r="GYC64" s="404"/>
      <c r="GYD64" s="404"/>
      <c r="GYE64" s="404"/>
      <c r="GYF64" s="404"/>
      <c r="GYG64" s="404"/>
      <c r="GYH64" s="404"/>
      <c r="GYI64" s="404"/>
      <c r="GYJ64" s="404"/>
      <c r="GYK64" s="404"/>
      <c r="GYL64" s="404"/>
      <c r="GYM64" s="404"/>
      <c r="GYN64" s="404"/>
      <c r="GYO64" s="404"/>
      <c r="GYP64" s="404"/>
      <c r="GYQ64" s="404"/>
      <c r="GYR64" s="404"/>
      <c r="GYS64" s="404"/>
      <c r="GYT64" s="404"/>
      <c r="GYU64" s="404"/>
      <c r="GYV64" s="404"/>
      <c r="GYW64" s="404"/>
      <c r="GYX64" s="404"/>
      <c r="GYY64" s="404"/>
      <c r="GYZ64" s="404"/>
      <c r="GZA64" s="404"/>
      <c r="GZB64" s="404"/>
      <c r="GZC64" s="404"/>
      <c r="GZD64" s="404"/>
      <c r="GZE64" s="404"/>
      <c r="GZF64" s="404"/>
      <c r="GZG64" s="404"/>
      <c r="GZH64" s="404"/>
      <c r="GZI64" s="404"/>
      <c r="GZJ64" s="404"/>
      <c r="GZK64" s="404"/>
      <c r="GZL64" s="404"/>
      <c r="GZM64" s="404"/>
      <c r="GZN64" s="404"/>
      <c r="GZO64" s="404"/>
      <c r="GZP64" s="404"/>
      <c r="GZQ64" s="404"/>
      <c r="GZR64" s="404"/>
      <c r="GZS64" s="404"/>
      <c r="GZT64" s="404"/>
      <c r="GZU64" s="404"/>
      <c r="GZV64" s="404"/>
      <c r="GZW64" s="404"/>
      <c r="GZX64" s="404"/>
      <c r="GZY64" s="404"/>
      <c r="GZZ64" s="404"/>
      <c r="HAA64" s="404"/>
      <c r="HAB64" s="404"/>
      <c r="HAC64" s="404"/>
      <c r="HAD64" s="404"/>
      <c r="HAE64" s="404"/>
      <c r="HAF64" s="404"/>
      <c r="HAG64" s="404"/>
      <c r="HAH64" s="404"/>
      <c r="HAI64" s="404"/>
      <c r="HAJ64" s="404"/>
      <c r="HAK64" s="404"/>
      <c r="HAL64" s="404"/>
      <c r="HAM64" s="404"/>
      <c r="HAN64" s="404"/>
      <c r="HAO64" s="404"/>
      <c r="HAP64" s="404"/>
      <c r="HAQ64" s="404"/>
      <c r="HAR64" s="404"/>
      <c r="HAS64" s="404"/>
      <c r="HAT64" s="404"/>
      <c r="HAU64" s="404"/>
      <c r="HAV64" s="404"/>
      <c r="HAW64" s="404"/>
      <c r="HAX64" s="404"/>
      <c r="HAY64" s="404"/>
      <c r="HAZ64" s="404"/>
      <c r="HBA64" s="404"/>
      <c r="HBB64" s="404"/>
      <c r="HBC64" s="404"/>
      <c r="HBD64" s="404"/>
      <c r="HBE64" s="404"/>
      <c r="HBF64" s="404"/>
      <c r="HBG64" s="404"/>
      <c r="HBH64" s="404"/>
      <c r="HBI64" s="404"/>
      <c r="HBJ64" s="404"/>
      <c r="HBK64" s="404"/>
      <c r="HBL64" s="404"/>
      <c r="HBM64" s="404"/>
      <c r="HBN64" s="404"/>
      <c r="HBO64" s="404"/>
      <c r="HBP64" s="404"/>
      <c r="HBQ64" s="404"/>
      <c r="HBR64" s="404"/>
      <c r="HBS64" s="404"/>
      <c r="HBT64" s="404"/>
      <c r="HBU64" s="404"/>
      <c r="HBV64" s="404"/>
      <c r="HBW64" s="404"/>
      <c r="HBX64" s="404"/>
      <c r="HBY64" s="404"/>
      <c r="HBZ64" s="404"/>
      <c r="HCA64" s="404"/>
      <c r="HCB64" s="404"/>
      <c r="HCC64" s="404"/>
      <c r="HCD64" s="404"/>
      <c r="HCE64" s="404"/>
      <c r="HCF64" s="404"/>
      <c r="HCG64" s="404"/>
      <c r="HCH64" s="404"/>
      <c r="HCI64" s="404"/>
      <c r="HCJ64" s="404"/>
      <c r="HCK64" s="404"/>
      <c r="HCL64" s="404"/>
      <c r="HCM64" s="404"/>
      <c r="HCN64" s="404"/>
      <c r="HCO64" s="404"/>
      <c r="HCP64" s="404"/>
      <c r="HCQ64" s="404"/>
      <c r="HCR64" s="404"/>
      <c r="HCS64" s="404"/>
      <c r="HCT64" s="404"/>
      <c r="HCU64" s="404"/>
      <c r="HCV64" s="404"/>
      <c r="HCW64" s="404"/>
      <c r="HCX64" s="404"/>
      <c r="HCY64" s="404"/>
      <c r="HCZ64" s="404"/>
      <c r="HDA64" s="404"/>
      <c r="HDB64" s="404"/>
      <c r="HDC64" s="404"/>
      <c r="HDD64" s="404"/>
      <c r="HDE64" s="404"/>
      <c r="HDF64" s="404"/>
      <c r="HDG64" s="404"/>
      <c r="HDH64" s="404"/>
      <c r="HDI64" s="404"/>
      <c r="HDJ64" s="404"/>
      <c r="HDK64" s="404"/>
      <c r="HDL64" s="404"/>
      <c r="HDM64" s="404"/>
      <c r="HDN64" s="404"/>
      <c r="HDO64" s="404"/>
      <c r="HDP64" s="404"/>
      <c r="HDQ64" s="404"/>
      <c r="HDR64" s="404"/>
      <c r="HDS64" s="404"/>
      <c r="HDT64" s="404"/>
      <c r="HDU64" s="404"/>
      <c r="HDV64" s="404"/>
      <c r="HDW64" s="404"/>
      <c r="HDX64" s="404"/>
      <c r="HDY64" s="404"/>
      <c r="HDZ64" s="404"/>
      <c r="HEA64" s="404"/>
      <c r="HEB64" s="404"/>
      <c r="HEC64" s="404"/>
      <c r="HED64" s="404"/>
      <c r="HEE64" s="404"/>
      <c r="HEF64" s="404"/>
      <c r="HEG64" s="404"/>
      <c r="HEH64" s="404"/>
      <c r="HEI64" s="404"/>
      <c r="HEJ64" s="404"/>
      <c r="HEK64" s="404"/>
      <c r="HEL64" s="404"/>
      <c r="HEM64" s="404"/>
      <c r="HEN64" s="404"/>
      <c r="HEO64" s="404"/>
      <c r="HEP64" s="404"/>
      <c r="HEQ64" s="404"/>
      <c r="HER64" s="404"/>
      <c r="HES64" s="404"/>
      <c r="HET64" s="404"/>
      <c r="HEU64" s="404"/>
      <c r="HEV64" s="404"/>
      <c r="HEW64" s="404"/>
      <c r="HEX64" s="404"/>
      <c r="HEY64" s="404"/>
      <c r="HEZ64" s="404"/>
      <c r="HFA64" s="404"/>
      <c r="HFB64" s="404"/>
      <c r="HFC64" s="404"/>
      <c r="HFD64" s="404"/>
      <c r="HFE64" s="404"/>
      <c r="HFF64" s="404"/>
      <c r="HFG64" s="404"/>
      <c r="HFH64" s="404"/>
      <c r="HFI64" s="404"/>
      <c r="HFJ64" s="404"/>
      <c r="HFK64" s="404"/>
      <c r="HFL64" s="404"/>
      <c r="HFM64" s="404"/>
      <c r="HFN64" s="404"/>
      <c r="HFO64" s="404"/>
      <c r="HFP64" s="404"/>
      <c r="HFQ64" s="404"/>
      <c r="HFR64" s="404"/>
      <c r="HFS64" s="404"/>
      <c r="HFT64" s="404"/>
      <c r="HFU64" s="404"/>
      <c r="HFV64" s="404"/>
      <c r="HFW64" s="404"/>
      <c r="HFX64" s="404"/>
      <c r="HFY64" s="404"/>
      <c r="HFZ64" s="404"/>
      <c r="HGA64" s="404"/>
      <c r="HGB64" s="404"/>
      <c r="HGC64" s="404"/>
      <c r="HGD64" s="404"/>
      <c r="HGE64" s="404"/>
      <c r="HGF64" s="404"/>
      <c r="HGG64" s="404"/>
      <c r="HGH64" s="404"/>
      <c r="HGI64" s="404"/>
      <c r="HGJ64" s="404"/>
      <c r="HGK64" s="404"/>
      <c r="HGL64" s="404"/>
      <c r="HGM64" s="404"/>
      <c r="HGN64" s="404"/>
      <c r="HGO64" s="404"/>
      <c r="HGP64" s="404"/>
      <c r="HGQ64" s="404"/>
      <c r="HGR64" s="404"/>
      <c r="HGS64" s="404"/>
      <c r="HGT64" s="404"/>
      <c r="HGU64" s="404"/>
      <c r="HGV64" s="404"/>
      <c r="HGW64" s="404"/>
      <c r="HGX64" s="404"/>
      <c r="HGY64" s="404"/>
      <c r="HGZ64" s="404"/>
      <c r="HHA64" s="404"/>
      <c r="HHB64" s="404"/>
      <c r="HHC64" s="404"/>
      <c r="HHD64" s="404"/>
      <c r="HHE64" s="404"/>
      <c r="HHF64" s="404"/>
      <c r="HHG64" s="404"/>
      <c r="HHH64" s="404"/>
      <c r="HHI64" s="404"/>
      <c r="HHJ64" s="404"/>
      <c r="HHK64" s="404"/>
      <c r="HHL64" s="404"/>
      <c r="HHM64" s="404"/>
      <c r="HHN64" s="404"/>
      <c r="HHO64" s="404"/>
      <c r="HHP64" s="404"/>
      <c r="HHQ64" s="404"/>
      <c r="HHR64" s="404"/>
      <c r="HHS64" s="404"/>
      <c r="HHT64" s="404"/>
      <c r="HHU64" s="404"/>
      <c r="HHV64" s="404"/>
      <c r="HHW64" s="404"/>
      <c r="HHX64" s="404"/>
      <c r="HHY64" s="404"/>
      <c r="HHZ64" s="404"/>
      <c r="HIA64" s="404"/>
      <c r="HIB64" s="404"/>
      <c r="HIC64" s="404"/>
      <c r="HID64" s="404"/>
      <c r="HIE64" s="404"/>
      <c r="HIF64" s="404"/>
      <c r="HIG64" s="404"/>
      <c r="HIH64" s="404"/>
      <c r="HII64" s="404"/>
      <c r="HIJ64" s="404"/>
      <c r="HIK64" s="404"/>
      <c r="HIL64" s="404"/>
      <c r="HIM64" s="404"/>
      <c r="HIN64" s="404"/>
      <c r="HIO64" s="404"/>
      <c r="HIP64" s="404"/>
      <c r="HIQ64" s="404"/>
      <c r="HIR64" s="404"/>
      <c r="HIS64" s="404"/>
      <c r="HIT64" s="404"/>
      <c r="HIU64" s="404"/>
      <c r="HIV64" s="404"/>
      <c r="HIW64" s="404"/>
      <c r="HIX64" s="404"/>
      <c r="HIY64" s="404"/>
      <c r="HIZ64" s="404"/>
      <c r="HJA64" s="404"/>
      <c r="HJB64" s="404"/>
      <c r="HJC64" s="404"/>
      <c r="HJD64" s="404"/>
      <c r="HJE64" s="404"/>
      <c r="HJF64" s="404"/>
      <c r="HJG64" s="404"/>
      <c r="HJH64" s="404"/>
      <c r="HJI64" s="404"/>
      <c r="HJJ64" s="404"/>
      <c r="HJK64" s="404"/>
      <c r="HJL64" s="404"/>
      <c r="HJM64" s="404"/>
      <c r="HJN64" s="404"/>
      <c r="HJO64" s="404"/>
      <c r="HJP64" s="404"/>
      <c r="HJQ64" s="404"/>
      <c r="HJR64" s="404"/>
      <c r="HJS64" s="404"/>
      <c r="HJT64" s="404"/>
      <c r="HJU64" s="404"/>
      <c r="HJV64" s="404"/>
      <c r="HJW64" s="404"/>
      <c r="HJX64" s="404"/>
      <c r="HJY64" s="404"/>
      <c r="HJZ64" s="404"/>
      <c r="HKA64" s="404"/>
      <c r="HKB64" s="404"/>
      <c r="HKC64" s="404"/>
      <c r="HKD64" s="404"/>
      <c r="HKE64" s="404"/>
      <c r="HKF64" s="404"/>
      <c r="HKG64" s="404"/>
      <c r="HKH64" s="404"/>
      <c r="HKI64" s="404"/>
      <c r="HKJ64" s="404"/>
      <c r="HKK64" s="404"/>
      <c r="HKL64" s="404"/>
      <c r="HKM64" s="404"/>
      <c r="HKN64" s="404"/>
      <c r="HKO64" s="404"/>
      <c r="HKP64" s="404"/>
      <c r="HKQ64" s="404"/>
      <c r="HKR64" s="404"/>
      <c r="HKS64" s="404"/>
      <c r="HKT64" s="404"/>
      <c r="HKU64" s="404"/>
      <c r="HKV64" s="404"/>
      <c r="HKW64" s="404"/>
      <c r="HKX64" s="404"/>
      <c r="HKY64" s="404"/>
      <c r="HKZ64" s="404"/>
      <c r="HLA64" s="404"/>
      <c r="HLB64" s="404"/>
      <c r="HLC64" s="404"/>
      <c r="HLD64" s="404"/>
      <c r="HLE64" s="404"/>
      <c r="HLF64" s="404"/>
      <c r="HLG64" s="404"/>
      <c r="HLH64" s="404"/>
      <c r="HLI64" s="404"/>
      <c r="HLJ64" s="404"/>
      <c r="HLK64" s="404"/>
      <c r="HLL64" s="404"/>
      <c r="HLM64" s="404"/>
      <c r="HLN64" s="404"/>
      <c r="HLO64" s="404"/>
      <c r="HLP64" s="404"/>
      <c r="HLQ64" s="404"/>
      <c r="HLR64" s="404"/>
      <c r="HLS64" s="404"/>
      <c r="HLT64" s="404"/>
      <c r="HLU64" s="404"/>
      <c r="HLV64" s="404"/>
      <c r="HLW64" s="404"/>
      <c r="HLX64" s="404"/>
      <c r="HLY64" s="404"/>
      <c r="HLZ64" s="404"/>
      <c r="HMA64" s="404"/>
      <c r="HMB64" s="404"/>
      <c r="HMC64" s="404"/>
      <c r="HMD64" s="404"/>
      <c r="HME64" s="404"/>
      <c r="HMF64" s="404"/>
      <c r="HMG64" s="404"/>
      <c r="HMH64" s="404"/>
      <c r="HMI64" s="404"/>
      <c r="HMJ64" s="404"/>
      <c r="HMK64" s="404"/>
      <c r="HML64" s="404"/>
      <c r="HMM64" s="404"/>
      <c r="HMN64" s="404"/>
      <c r="HMO64" s="404"/>
      <c r="HMP64" s="404"/>
      <c r="HMQ64" s="404"/>
      <c r="HMR64" s="404"/>
      <c r="HMS64" s="404"/>
      <c r="HMT64" s="404"/>
      <c r="HMU64" s="404"/>
      <c r="HMV64" s="404"/>
      <c r="HMW64" s="404"/>
      <c r="HMX64" s="404"/>
      <c r="HMY64" s="404"/>
      <c r="HMZ64" s="404"/>
      <c r="HNA64" s="404"/>
      <c r="HNB64" s="404"/>
      <c r="HNC64" s="404"/>
      <c r="HND64" s="404"/>
      <c r="HNE64" s="404"/>
      <c r="HNF64" s="404"/>
      <c r="HNG64" s="404"/>
      <c r="HNH64" s="404"/>
      <c r="HNI64" s="404"/>
      <c r="HNJ64" s="404"/>
      <c r="HNK64" s="404"/>
      <c r="HNL64" s="404"/>
      <c r="HNM64" s="404"/>
      <c r="HNN64" s="404"/>
      <c r="HNO64" s="404"/>
      <c r="HNP64" s="404"/>
      <c r="HNQ64" s="404"/>
      <c r="HNR64" s="404"/>
      <c r="HNS64" s="404"/>
      <c r="HNT64" s="404"/>
      <c r="HNU64" s="404"/>
      <c r="HNV64" s="404"/>
      <c r="HNW64" s="404"/>
      <c r="HNX64" s="404"/>
      <c r="HNY64" s="404"/>
      <c r="HNZ64" s="404"/>
      <c r="HOA64" s="404"/>
      <c r="HOB64" s="404"/>
      <c r="HOC64" s="404"/>
      <c r="HOD64" s="404"/>
      <c r="HOE64" s="404"/>
      <c r="HOF64" s="404"/>
      <c r="HOG64" s="404"/>
      <c r="HOH64" s="404"/>
      <c r="HOI64" s="404"/>
      <c r="HOJ64" s="404"/>
      <c r="HOK64" s="404"/>
      <c r="HOL64" s="404"/>
      <c r="HOM64" s="404"/>
      <c r="HON64" s="404"/>
      <c r="HOO64" s="404"/>
      <c r="HOP64" s="404"/>
      <c r="HOQ64" s="404"/>
      <c r="HOR64" s="404"/>
      <c r="HOS64" s="404"/>
      <c r="HOT64" s="404"/>
      <c r="HOU64" s="404"/>
      <c r="HOV64" s="404"/>
      <c r="HOW64" s="404"/>
      <c r="HOX64" s="404"/>
      <c r="HOY64" s="404"/>
      <c r="HOZ64" s="404"/>
      <c r="HPA64" s="404"/>
      <c r="HPB64" s="404"/>
      <c r="HPC64" s="404"/>
      <c r="HPD64" s="404"/>
      <c r="HPE64" s="404"/>
      <c r="HPF64" s="404"/>
      <c r="HPG64" s="404"/>
      <c r="HPH64" s="404"/>
      <c r="HPI64" s="404"/>
      <c r="HPJ64" s="404"/>
      <c r="HPK64" s="404"/>
      <c r="HPL64" s="404"/>
      <c r="HPM64" s="404"/>
      <c r="HPN64" s="404"/>
      <c r="HPO64" s="404"/>
      <c r="HPP64" s="404"/>
      <c r="HPQ64" s="404"/>
      <c r="HPR64" s="404"/>
      <c r="HPS64" s="404"/>
      <c r="HPT64" s="404"/>
      <c r="HPU64" s="404"/>
      <c r="HPV64" s="404"/>
      <c r="HPW64" s="404"/>
      <c r="HPX64" s="404"/>
      <c r="HPY64" s="404"/>
      <c r="HPZ64" s="404"/>
      <c r="HQA64" s="404"/>
      <c r="HQB64" s="404"/>
      <c r="HQC64" s="404"/>
      <c r="HQD64" s="404"/>
      <c r="HQE64" s="404"/>
      <c r="HQF64" s="404"/>
      <c r="HQG64" s="404"/>
      <c r="HQH64" s="404"/>
      <c r="HQI64" s="404"/>
      <c r="HQJ64" s="404"/>
      <c r="HQK64" s="404"/>
      <c r="HQL64" s="404"/>
      <c r="HQM64" s="404"/>
      <c r="HQN64" s="404"/>
      <c r="HQO64" s="404"/>
      <c r="HQP64" s="404"/>
      <c r="HQQ64" s="404"/>
      <c r="HQR64" s="404"/>
      <c r="HQS64" s="404"/>
      <c r="HQT64" s="404"/>
      <c r="HQU64" s="404"/>
      <c r="HQV64" s="404"/>
      <c r="HQW64" s="404"/>
      <c r="HQX64" s="404"/>
      <c r="HQY64" s="404"/>
      <c r="HQZ64" s="404"/>
      <c r="HRA64" s="404"/>
      <c r="HRB64" s="404"/>
      <c r="HRC64" s="404"/>
      <c r="HRD64" s="404"/>
      <c r="HRE64" s="404"/>
      <c r="HRF64" s="404"/>
      <c r="HRG64" s="404"/>
      <c r="HRH64" s="404"/>
      <c r="HRI64" s="404"/>
      <c r="HRJ64" s="404"/>
      <c r="HRK64" s="404"/>
      <c r="HRL64" s="404"/>
      <c r="HRM64" s="404"/>
      <c r="HRN64" s="404"/>
      <c r="HRO64" s="404"/>
      <c r="HRP64" s="404"/>
      <c r="HRQ64" s="404"/>
      <c r="HRR64" s="404"/>
      <c r="HRS64" s="404"/>
      <c r="HRT64" s="404"/>
      <c r="HRU64" s="404"/>
      <c r="HRV64" s="404"/>
      <c r="HRW64" s="404"/>
      <c r="HRX64" s="404"/>
      <c r="HRY64" s="404"/>
      <c r="HRZ64" s="404"/>
      <c r="HSA64" s="404"/>
      <c r="HSB64" s="404"/>
      <c r="HSC64" s="404"/>
      <c r="HSD64" s="404"/>
      <c r="HSE64" s="404"/>
      <c r="HSF64" s="404"/>
      <c r="HSG64" s="404"/>
      <c r="HSH64" s="404"/>
      <c r="HSI64" s="404"/>
      <c r="HSJ64" s="404"/>
      <c r="HSK64" s="404"/>
      <c r="HSL64" s="404"/>
      <c r="HSM64" s="404"/>
      <c r="HSN64" s="404"/>
      <c r="HSO64" s="404"/>
      <c r="HSP64" s="404"/>
      <c r="HSQ64" s="404"/>
      <c r="HSR64" s="404"/>
      <c r="HSS64" s="404"/>
      <c r="HST64" s="404"/>
      <c r="HSU64" s="404"/>
      <c r="HSV64" s="404"/>
      <c r="HSW64" s="404"/>
      <c r="HSX64" s="404"/>
      <c r="HSY64" s="404"/>
      <c r="HSZ64" s="404"/>
      <c r="HTA64" s="404"/>
      <c r="HTB64" s="404"/>
      <c r="HTC64" s="404"/>
      <c r="HTD64" s="404"/>
      <c r="HTE64" s="404"/>
      <c r="HTF64" s="404"/>
      <c r="HTG64" s="404"/>
      <c r="HTH64" s="404"/>
      <c r="HTI64" s="404"/>
      <c r="HTJ64" s="404"/>
      <c r="HTK64" s="404"/>
      <c r="HTL64" s="404"/>
      <c r="HTM64" s="404"/>
      <c r="HTN64" s="404"/>
      <c r="HTO64" s="404"/>
      <c r="HTP64" s="404"/>
      <c r="HTQ64" s="404"/>
      <c r="HTR64" s="404"/>
      <c r="HTS64" s="404"/>
      <c r="HTT64" s="404"/>
      <c r="HTU64" s="404"/>
      <c r="HTV64" s="404"/>
      <c r="HTW64" s="404"/>
      <c r="HTX64" s="404"/>
      <c r="HTY64" s="404"/>
      <c r="HTZ64" s="404"/>
      <c r="HUA64" s="404"/>
      <c r="HUB64" s="404"/>
      <c r="HUC64" s="404"/>
      <c r="HUD64" s="404"/>
      <c r="HUE64" s="404"/>
      <c r="HUF64" s="404"/>
      <c r="HUG64" s="404"/>
      <c r="HUH64" s="404"/>
      <c r="HUI64" s="404"/>
      <c r="HUJ64" s="404"/>
      <c r="HUK64" s="404"/>
      <c r="HUL64" s="404"/>
      <c r="HUM64" s="404"/>
      <c r="HUN64" s="404"/>
      <c r="HUO64" s="404"/>
      <c r="HUP64" s="404"/>
      <c r="HUQ64" s="404"/>
      <c r="HUR64" s="404"/>
      <c r="HUS64" s="404"/>
      <c r="HUT64" s="404"/>
      <c r="HUU64" s="404"/>
      <c r="HUV64" s="404"/>
      <c r="HUW64" s="404"/>
      <c r="HUX64" s="404"/>
      <c r="HUY64" s="404"/>
      <c r="HUZ64" s="404"/>
      <c r="HVA64" s="404"/>
      <c r="HVB64" s="404"/>
      <c r="HVC64" s="404"/>
      <c r="HVD64" s="404"/>
      <c r="HVE64" s="404"/>
      <c r="HVF64" s="404"/>
      <c r="HVG64" s="404"/>
      <c r="HVH64" s="404"/>
      <c r="HVI64" s="404"/>
      <c r="HVJ64" s="404"/>
      <c r="HVK64" s="404"/>
      <c r="HVL64" s="404"/>
      <c r="HVM64" s="404"/>
      <c r="HVN64" s="404"/>
      <c r="HVO64" s="404"/>
      <c r="HVP64" s="404"/>
      <c r="HVQ64" s="404"/>
      <c r="HVR64" s="404"/>
      <c r="HVS64" s="404"/>
      <c r="HVT64" s="404"/>
      <c r="HVU64" s="404"/>
      <c r="HVV64" s="404"/>
      <c r="HVW64" s="404"/>
      <c r="HVX64" s="404"/>
      <c r="HVY64" s="404"/>
      <c r="HVZ64" s="404"/>
      <c r="HWA64" s="404"/>
      <c r="HWB64" s="404"/>
      <c r="HWC64" s="404"/>
      <c r="HWD64" s="404"/>
      <c r="HWE64" s="404"/>
      <c r="HWF64" s="404"/>
      <c r="HWG64" s="404"/>
      <c r="HWH64" s="404"/>
      <c r="HWI64" s="404"/>
      <c r="HWJ64" s="404"/>
      <c r="HWK64" s="404"/>
      <c r="HWL64" s="404"/>
      <c r="HWM64" s="404"/>
      <c r="HWN64" s="404"/>
      <c r="HWO64" s="404"/>
      <c r="HWP64" s="404"/>
      <c r="HWQ64" s="404"/>
      <c r="HWR64" s="404"/>
      <c r="HWS64" s="404"/>
      <c r="HWT64" s="404"/>
      <c r="HWU64" s="404"/>
      <c r="HWV64" s="404"/>
      <c r="HWW64" s="404"/>
      <c r="HWX64" s="404"/>
      <c r="HWY64" s="404"/>
      <c r="HWZ64" s="404"/>
      <c r="HXA64" s="404"/>
      <c r="HXB64" s="404"/>
      <c r="HXC64" s="404"/>
      <c r="HXD64" s="404"/>
      <c r="HXE64" s="404"/>
      <c r="HXF64" s="404"/>
      <c r="HXG64" s="404"/>
      <c r="HXH64" s="404"/>
      <c r="HXI64" s="404"/>
      <c r="HXJ64" s="404"/>
      <c r="HXK64" s="404"/>
      <c r="HXL64" s="404"/>
      <c r="HXM64" s="404"/>
      <c r="HXN64" s="404"/>
      <c r="HXO64" s="404"/>
      <c r="HXP64" s="404"/>
      <c r="HXQ64" s="404"/>
      <c r="HXR64" s="404"/>
      <c r="HXS64" s="404"/>
      <c r="HXT64" s="404"/>
      <c r="HXU64" s="404"/>
      <c r="HXV64" s="404"/>
      <c r="HXW64" s="404"/>
      <c r="HXX64" s="404"/>
      <c r="HXY64" s="404"/>
      <c r="HXZ64" s="404"/>
      <c r="HYA64" s="404"/>
      <c r="HYB64" s="404"/>
      <c r="HYC64" s="404"/>
      <c r="HYD64" s="404"/>
      <c r="HYE64" s="404"/>
      <c r="HYF64" s="404"/>
      <c r="HYG64" s="404"/>
      <c r="HYH64" s="404"/>
      <c r="HYI64" s="404"/>
      <c r="HYJ64" s="404"/>
      <c r="HYK64" s="404"/>
      <c r="HYL64" s="404"/>
      <c r="HYM64" s="404"/>
      <c r="HYN64" s="404"/>
      <c r="HYO64" s="404"/>
      <c r="HYP64" s="404"/>
      <c r="HYQ64" s="404"/>
      <c r="HYR64" s="404"/>
      <c r="HYS64" s="404"/>
      <c r="HYT64" s="404"/>
      <c r="HYU64" s="404"/>
      <c r="HYV64" s="404"/>
      <c r="HYW64" s="404"/>
      <c r="HYX64" s="404"/>
      <c r="HYY64" s="404"/>
      <c r="HYZ64" s="404"/>
      <c r="HZA64" s="404"/>
      <c r="HZB64" s="404"/>
      <c r="HZC64" s="404"/>
      <c r="HZD64" s="404"/>
      <c r="HZE64" s="404"/>
      <c r="HZF64" s="404"/>
      <c r="HZG64" s="404"/>
      <c r="HZH64" s="404"/>
      <c r="HZI64" s="404"/>
      <c r="HZJ64" s="404"/>
      <c r="HZK64" s="404"/>
      <c r="HZL64" s="404"/>
      <c r="HZM64" s="404"/>
      <c r="HZN64" s="404"/>
      <c r="HZO64" s="404"/>
      <c r="HZP64" s="404"/>
      <c r="HZQ64" s="404"/>
      <c r="HZR64" s="404"/>
      <c r="HZS64" s="404"/>
      <c r="HZT64" s="404"/>
      <c r="HZU64" s="404"/>
      <c r="HZV64" s="404"/>
      <c r="HZW64" s="404"/>
      <c r="HZX64" s="404"/>
      <c r="HZY64" s="404"/>
      <c r="HZZ64" s="404"/>
      <c r="IAA64" s="404"/>
      <c r="IAB64" s="404"/>
      <c r="IAC64" s="404"/>
      <c r="IAD64" s="404"/>
      <c r="IAE64" s="404"/>
      <c r="IAF64" s="404"/>
      <c r="IAG64" s="404"/>
      <c r="IAH64" s="404"/>
      <c r="IAI64" s="404"/>
      <c r="IAJ64" s="404"/>
      <c r="IAK64" s="404"/>
      <c r="IAL64" s="404"/>
      <c r="IAM64" s="404"/>
      <c r="IAN64" s="404"/>
      <c r="IAO64" s="404"/>
      <c r="IAP64" s="404"/>
      <c r="IAQ64" s="404"/>
      <c r="IAR64" s="404"/>
      <c r="IAS64" s="404"/>
      <c r="IAT64" s="404"/>
      <c r="IAU64" s="404"/>
      <c r="IAV64" s="404"/>
      <c r="IAW64" s="404"/>
      <c r="IAX64" s="404"/>
      <c r="IAY64" s="404"/>
      <c r="IAZ64" s="404"/>
      <c r="IBA64" s="404"/>
      <c r="IBB64" s="404"/>
      <c r="IBC64" s="404"/>
      <c r="IBD64" s="404"/>
      <c r="IBE64" s="404"/>
      <c r="IBF64" s="404"/>
      <c r="IBG64" s="404"/>
      <c r="IBH64" s="404"/>
      <c r="IBI64" s="404"/>
      <c r="IBJ64" s="404"/>
      <c r="IBK64" s="404"/>
      <c r="IBL64" s="404"/>
      <c r="IBM64" s="404"/>
      <c r="IBN64" s="404"/>
      <c r="IBO64" s="404"/>
      <c r="IBP64" s="404"/>
      <c r="IBQ64" s="404"/>
      <c r="IBR64" s="404"/>
      <c r="IBS64" s="404"/>
      <c r="IBT64" s="404"/>
      <c r="IBU64" s="404"/>
      <c r="IBV64" s="404"/>
      <c r="IBW64" s="404"/>
      <c r="IBX64" s="404"/>
      <c r="IBY64" s="404"/>
      <c r="IBZ64" s="404"/>
      <c r="ICA64" s="404"/>
      <c r="ICB64" s="404"/>
      <c r="ICC64" s="404"/>
      <c r="ICD64" s="404"/>
      <c r="ICE64" s="404"/>
      <c r="ICF64" s="404"/>
      <c r="ICG64" s="404"/>
      <c r="ICH64" s="404"/>
      <c r="ICI64" s="404"/>
      <c r="ICJ64" s="404"/>
      <c r="ICK64" s="404"/>
      <c r="ICL64" s="404"/>
      <c r="ICM64" s="404"/>
      <c r="ICN64" s="404"/>
      <c r="ICO64" s="404"/>
      <c r="ICP64" s="404"/>
      <c r="ICQ64" s="404"/>
      <c r="ICR64" s="404"/>
      <c r="ICS64" s="404"/>
      <c r="ICT64" s="404"/>
      <c r="ICU64" s="404"/>
      <c r="ICV64" s="404"/>
      <c r="ICW64" s="404"/>
      <c r="ICX64" s="404"/>
      <c r="ICY64" s="404"/>
      <c r="ICZ64" s="404"/>
      <c r="IDA64" s="404"/>
      <c r="IDB64" s="404"/>
      <c r="IDC64" s="404"/>
      <c r="IDD64" s="404"/>
      <c r="IDE64" s="404"/>
      <c r="IDF64" s="404"/>
      <c r="IDG64" s="404"/>
      <c r="IDH64" s="404"/>
      <c r="IDI64" s="404"/>
      <c r="IDJ64" s="404"/>
      <c r="IDK64" s="404"/>
      <c r="IDL64" s="404"/>
      <c r="IDM64" s="404"/>
      <c r="IDN64" s="404"/>
      <c r="IDO64" s="404"/>
      <c r="IDP64" s="404"/>
      <c r="IDQ64" s="404"/>
      <c r="IDR64" s="404"/>
      <c r="IDS64" s="404"/>
      <c r="IDT64" s="404"/>
      <c r="IDU64" s="404"/>
      <c r="IDV64" s="404"/>
      <c r="IDW64" s="404"/>
      <c r="IDX64" s="404"/>
      <c r="IDY64" s="404"/>
      <c r="IDZ64" s="404"/>
      <c r="IEA64" s="404"/>
      <c r="IEB64" s="404"/>
      <c r="IEC64" s="404"/>
      <c r="IED64" s="404"/>
      <c r="IEE64" s="404"/>
      <c r="IEF64" s="404"/>
      <c r="IEG64" s="404"/>
      <c r="IEH64" s="404"/>
      <c r="IEI64" s="404"/>
      <c r="IEJ64" s="404"/>
      <c r="IEK64" s="404"/>
      <c r="IEL64" s="404"/>
      <c r="IEM64" s="404"/>
      <c r="IEN64" s="404"/>
      <c r="IEO64" s="404"/>
      <c r="IEP64" s="404"/>
      <c r="IEQ64" s="404"/>
      <c r="IER64" s="404"/>
      <c r="IES64" s="404"/>
      <c r="IET64" s="404"/>
      <c r="IEU64" s="404"/>
      <c r="IEV64" s="404"/>
      <c r="IEW64" s="404"/>
      <c r="IEX64" s="404"/>
      <c r="IEY64" s="404"/>
      <c r="IEZ64" s="404"/>
      <c r="IFA64" s="404"/>
      <c r="IFB64" s="404"/>
      <c r="IFC64" s="404"/>
      <c r="IFD64" s="404"/>
      <c r="IFE64" s="404"/>
      <c r="IFF64" s="404"/>
      <c r="IFG64" s="404"/>
      <c r="IFH64" s="404"/>
      <c r="IFI64" s="404"/>
      <c r="IFJ64" s="404"/>
      <c r="IFK64" s="404"/>
      <c r="IFL64" s="404"/>
      <c r="IFM64" s="404"/>
      <c r="IFN64" s="404"/>
      <c r="IFO64" s="404"/>
      <c r="IFP64" s="404"/>
      <c r="IFQ64" s="404"/>
      <c r="IFR64" s="404"/>
      <c r="IFS64" s="404"/>
      <c r="IFT64" s="404"/>
      <c r="IFU64" s="404"/>
      <c r="IFV64" s="404"/>
      <c r="IFW64" s="404"/>
      <c r="IFX64" s="404"/>
      <c r="IFY64" s="404"/>
      <c r="IFZ64" s="404"/>
      <c r="IGA64" s="404"/>
      <c r="IGB64" s="404"/>
      <c r="IGC64" s="404"/>
      <c r="IGD64" s="404"/>
      <c r="IGE64" s="404"/>
      <c r="IGF64" s="404"/>
      <c r="IGG64" s="404"/>
      <c r="IGH64" s="404"/>
      <c r="IGI64" s="404"/>
      <c r="IGJ64" s="404"/>
      <c r="IGK64" s="404"/>
      <c r="IGL64" s="404"/>
      <c r="IGM64" s="404"/>
      <c r="IGN64" s="404"/>
      <c r="IGO64" s="404"/>
      <c r="IGP64" s="404"/>
      <c r="IGQ64" s="404"/>
      <c r="IGR64" s="404"/>
      <c r="IGS64" s="404"/>
      <c r="IGT64" s="404"/>
      <c r="IGU64" s="404"/>
      <c r="IGV64" s="404"/>
      <c r="IGW64" s="404"/>
      <c r="IGX64" s="404"/>
      <c r="IGY64" s="404"/>
      <c r="IGZ64" s="404"/>
      <c r="IHA64" s="404"/>
      <c r="IHB64" s="404"/>
      <c r="IHC64" s="404"/>
      <c r="IHD64" s="404"/>
      <c r="IHE64" s="404"/>
      <c r="IHF64" s="404"/>
      <c r="IHG64" s="404"/>
      <c r="IHH64" s="404"/>
      <c r="IHI64" s="404"/>
      <c r="IHJ64" s="404"/>
      <c r="IHK64" s="404"/>
      <c r="IHL64" s="404"/>
      <c r="IHM64" s="404"/>
      <c r="IHN64" s="404"/>
      <c r="IHO64" s="404"/>
      <c r="IHP64" s="404"/>
      <c r="IHQ64" s="404"/>
      <c r="IHR64" s="404"/>
      <c r="IHS64" s="404"/>
      <c r="IHT64" s="404"/>
      <c r="IHU64" s="404"/>
      <c r="IHV64" s="404"/>
      <c r="IHW64" s="404"/>
      <c r="IHX64" s="404"/>
      <c r="IHY64" s="404"/>
      <c r="IHZ64" s="404"/>
      <c r="IIA64" s="404"/>
      <c r="IIB64" s="404"/>
      <c r="IIC64" s="404"/>
      <c r="IID64" s="404"/>
      <c r="IIE64" s="404"/>
      <c r="IIF64" s="404"/>
      <c r="IIG64" s="404"/>
      <c r="IIH64" s="404"/>
      <c r="III64" s="404"/>
      <c r="IIJ64" s="404"/>
      <c r="IIK64" s="404"/>
      <c r="IIL64" s="404"/>
      <c r="IIM64" s="404"/>
      <c r="IIN64" s="404"/>
      <c r="IIO64" s="404"/>
      <c r="IIP64" s="404"/>
      <c r="IIQ64" s="404"/>
      <c r="IIR64" s="404"/>
      <c r="IIS64" s="404"/>
      <c r="IIT64" s="404"/>
      <c r="IIU64" s="404"/>
      <c r="IIV64" s="404"/>
      <c r="IIW64" s="404"/>
      <c r="IIX64" s="404"/>
      <c r="IIY64" s="404"/>
      <c r="IIZ64" s="404"/>
      <c r="IJA64" s="404"/>
      <c r="IJB64" s="404"/>
      <c r="IJC64" s="404"/>
      <c r="IJD64" s="404"/>
      <c r="IJE64" s="404"/>
      <c r="IJF64" s="404"/>
      <c r="IJG64" s="404"/>
      <c r="IJH64" s="404"/>
      <c r="IJI64" s="404"/>
      <c r="IJJ64" s="404"/>
      <c r="IJK64" s="404"/>
      <c r="IJL64" s="404"/>
      <c r="IJM64" s="404"/>
      <c r="IJN64" s="404"/>
      <c r="IJO64" s="404"/>
      <c r="IJP64" s="404"/>
      <c r="IJQ64" s="404"/>
      <c r="IJR64" s="404"/>
      <c r="IJS64" s="404"/>
      <c r="IJT64" s="404"/>
      <c r="IJU64" s="404"/>
      <c r="IJV64" s="404"/>
      <c r="IJW64" s="404"/>
      <c r="IJX64" s="404"/>
      <c r="IJY64" s="404"/>
      <c r="IJZ64" s="404"/>
      <c r="IKA64" s="404"/>
      <c r="IKB64" s="404"/>
      <c r="IKC64" s="404"/>
      <c r="IKD64" s="404"/>
      <c r="IKE64" s="404"/>
      <c r="IKF64" s="404"/>
      <c r="IKG64" s="404"/>
      <c r="IKH64" s="404"/>
      <c r="IKI64" s="404"/>
      <c r="IKJ64" s="404"/>
      <c r="IKK64" s="404"/>
      <c r="IKL64" s="404"/>
      <c r="IKM64" s="404"/>
      <c r="IKN64" s="404"/>
      <c r="IKO64" s="404"/>
      <c r="IKP64" s="404"/>
      <c r="IKQ64" s="404"/>
      <c r="IKR64" s="404"/>
      <c r="IKS64" s="404"/>
      <c r="IKT64" s="404"/>
      <c r="IKU64" s="404"/>
      <c r="IKV64" s="404"/>
      <c r="IKW64" s="404"/>
      <c r="IKX64" s="404"/>
      <c r="IKY64" s="404"/>
      <c r="IKZ64" s="404"/>
      <c r="ILA64" s="404"/>
      <c r="ILB64" s="404"/>
      <c r="ILC64" s="404"/>
      <c r="ILD64" s="404"/>
      <c r="ILE64" s="404"/>
      <c r="ILF64" s="404"/>
      <c r="ILG64" s="404"/>
      <c r="ILH64" s="404"/>
      <c r="ILI64" s="404"/>
      <c r="ILJ64" s="404"/>
      <c r="ILK64" s="404"/>
      <c r="ILL64" s="404"/>
      <c r="ILM64" s="404"/>
      <c r="ILN64" s="404"/>
      <c r="ILO64" s="404"/>
      <c r="ILP64" s="404"/>
      <c r="ILQ64" s="404"/>
      <c r="ILR64" s="404"/>
      <c r="ILS64" s="404"/>
      <c r="ILT64" s="404"/>
      <c r="ILU64" s="404"/>
      <c r="ILV64" s="404"/>
      <c r="ILW64" s="404"/>
      <c r="ILX64" s="404"/>
      <c r="ILY64" s="404"/>
      <c r="ILZ64" s="404"/>
      <c r="IMA64" s="404"/>
      <c r="IMB64" s="404"/>
      <c r="IMC64" s="404"/>
      <c r="IMD64" s="404"/>
      <c r="IME64" s="404"/>
      <c r="IMF64" s="404"/>
      <c r="IMG64" s="404"/>
      <c r="IMH64" s="404"/>
      <c r="IMI64" s="404"/>
      <c r="IMJ64" s="404"/>
      <c r="IMK64" s="404"/>
      <c r="IML64" s="404"/>
      <c r="IMM64" s="404"/>
      <c r="IMN64" s="404"/>
      <c r="IMO64" s="404"/>
      <c r="IMP64" s="404"/>
      <c r="IMQ64" s="404"/>
      <c r="IMR64" s="404"/>
      <c r="IMS64" s="404"/>
      <c r="IMT64" s="404"/>
      <c r="IMU64" s="404"/>
      <c r="IMV64" s="404"/>
      <c r="IMW64" s="404"/>
      <c r="IMX64" s="404"/>
      <c r="IMY64" s="404"/>
      <c r="IMZ64" s="404"/>
      <c r="INA64" s="404"/>
      <c r="INB64" s="404"/>
      <c r="INC64" s="404"/>
      <c r="IND64" s="404"/>
      <c r="INE64" s="404"/>
      <c r="INF64" s="404"/>
      <c r="ING64" s="404"/>
      <c r="INH64" s="404"/>
      <c r="INI64" s="404"/>
      <c r="INJ64" s="404"/>
      <c r="INK64" s="404"/>
      <c r="INL64" s="404"/>
      <c r="INM64" s="404"/>
      <c r="INN64" s="404"/>
      <c r="INO64" s="404"/>
      <c r="INP64" s="404"/>
      <c r="INQ64" s="404"/>
      <c r="INR64" s="404"/>
      <c r="INS64" s="404"/>
      <c r="INT64" s="404"/>
      <c r="INU64" s="404"/>
      <c r="INV64" s="404"/>
      <c r="INW64" s="404"/>
      <c r="INX64" s="404"/>
      <c r="INY64" s="404"/>
      <c r="INZ64" s="404"/>
      <c r="IOA64" s="404"/>
      <c r="IOB64" s="404"/>
      <c r="IOC64" s="404"/>
      <c r="IOD64" s="404"/>
      <c r="IOE64" s="404"/>
      <c r="IOF64" s="404"/>
      <c r="IOG64" s="404"/>
      <c r="IOH64" s="404"/>
      <c r="IOI64" s="404"/>
      <c r="IOJ64" s="404"/>
      <c r="IOK64" s="404"/>
      <c r="IOL64" s="404"/>
      <c r="IOM64" s="404"/>
      <c r="ION64" s="404"/>
      <c r="IOO64" s="404"/>
      <c r="IOP64" s="404"/>
      <c r="IOQ64" s="404"/>
      <c r="IOR64" s="404"/>
      <c r="IOS64" s="404"/>
      <c r="IOT64" s="404"/>
      <c r="IOU64" s="404"/>
      <c r="IOV64" s="404"/>
      <c r="IOW64" s="404"/>
      <c r="IOX64" s="404"/>
      <c r="IOY64" s="404"/>
      <c r="IOZ64" s="404"/>
      <c r="IPA64" s="404"/>
      <c r="IPB64" s="404"/>
      <c r="IPC64" s="404"/>
      <c r="IPD64" s="404"/>
      <c r="IPE64" s="404"/>
      <c r="IPF64" s="404"/>
      <c r="IPG64" s="404"/>
      <c r="IPH64" s="404"/>
      <c r="IPI64" s="404"/>
      <c r="IPJ64" s="404"/>
      <c r="IPK64" s="404"/>
      <c r="IPL64" s="404"/>
      <c r="IPM64" s="404"/>
      <c r="IPN64" s="404"/>
      <c r="IPO64" s="404"/>
      <c r="IPP64" s="404"/>
      <c r="IPQ64" s="404"/>
      <c r="IPR64" s="404"/>
      <c r="IPS64" s="404"/>
      <c r="IPT64" s="404"/>
      <c r="IPU64" s="404"/>
      <c r="IPV64" s="404"/>
      <c r="IPW64" s="404"/>
      <c r="IPX64" s="404"/>
      <c r="IPY64" s="404"/>
      <c r="IPZ64" s="404"/>
      <c r="IQA64" s="404"/>
      <c r="IQB64" s="404"/>
      <c r="IQC64" s="404"/>
      <c r="IQD64" s="404"/>
      <c r="IQE64" s="404"/>
      <c r="IQF64" s="404"/>
      <c r="IQG64" s="404"/>
      <c r="IQH64" s="404"/>
      <c r="IQI64" s="404"/>
      <c r="IQJ64" s="404"/>
      <c r="IQK64" s="404"/>
      <c r="IQL64" s="404"/>
      <c r="IQM64" s="404"/>
      <c r="IQN64" s="404"/>
      <c r="IQO64" s="404"/>
      <c r="IQP64" s="404"/>
      <c r="IQQ64" s="404"/>
      <c r="IQR64" s="404"/>
      <c r="IQS64" s="404"/>
      <c r="IQT64" s="404"/>
      <c r="IQU64" s="404"/>
      <c r="IQV64" s="404"/>
      <c r="IQW64" s="404"/>
      <c r="IQX64" s="404"/>
      <c r="IQY64" s="404"/>
      <c r="IQZ64" s="404"/>
      <c r="IRA64" s="404"/>
      <c r="IRB64" s="404"/>
      <c r="IRC64" s="404"/>
      <c r="IRD64" s="404"/>
      <c r="IRE64" s="404"/>
      <c r="IRF64" s="404"/>
      <c r="IRG64" s="404"/>
      <c r="IRH64" s="404"/>
      <c r="IRI64" s="404"/>
      <c r="IRJ64" s="404"/>
      <c r="IRK64" s="404"/>
      <c r="IRL64" s="404"/>
      <c r="IRM64" s="404"/>
      <c r="IRN64" s="404"/>
      <c r="IRO64" s="404"/>
      <c r="IRP64" s="404"/>
      <c r="IRQ64" s="404"/>
      <c r="IRR64" s="404"/>
      <c r="IRS64" s="404"/>
      <c r="IRT64" s="404"/>
      <c r="IRU64" s="404"/>
      <c r="IRV64" s="404"/>
      <c r="IRW64" s="404"/>
      <c r="IRX64" s="404"/>
      <c r="IRY64" s="404"/>
      <c r="IRZ64" s="404"/>
      <c r="ISA64" s="404"/>
      <c r="ISB64" s="404"/>
      <c r="ISC64" s="404"/>
      <c r="ISD64" s="404"/>
      <c r="ISE64" s="404"/>
      <c r="ISF64" s="404"/>
      <c r="ISG64" s="404"/>
      <c r="ISH64" s="404"/>
      <c r="ISI64" s="404"/>
      <c r="ISJ64" s="404"/>
      <c r="ISK64" s="404"/>
      <c r="ISL64" s="404"/>
      <c r="ISM64" s="404"/>
      <c r="ISN64" s="404"/>
      <c r="ISO64" s="404"/>
      <c r="ISP64" s="404"/>
      <c r="ISQ64" s="404"/>
      <c r="ISR64" s="404"/>
      <c r="ISS64" s="404"/>
      <c r="IST64" s="404"/>
      <c r="ISU64" s="404"/>
      <c r="ISV64" s="404"/>
      <c r="ISW64" s="404"/>
      <c r="ISX64" s="404"/>
      <c r="ISY64" s="404"/>
      <c r="ISZ64" s="404"/>
      <c r="ITA64" s="404"/>
      <c r="ITB64" s="404"/>
      <c r="ITC64" s="404"/>
      <c r="ITD64" s="404"/>
      <c r="ITE64" s="404"/>
      <c r="ITF64" s="404"/>
      <c r="ITG64" s="404"/>
      <c r="ITH64" s="404"/>
      <c r="ITI64" s="404"/>
      <c r="ITJ64" s="404"/>
      <c r="ITK64" s="404"/>
      <c r="ITL64" s="404"/>
      <c r="ITM64" s="404"/>
      <c r="ITN64" s="404"/>
      <c r="ITO64" s="404"/>
      <c r="ITP64" s="404"/>
      <c r="ITQ64" s="404"/>
      <c r="ITR64" s="404"/>
      <c r="ITS64" s="404"/>
      <c r="ITT64" s="404"/>
      <c r="ITU64" s="404"/>
      <c r="ITV64" s="404"/>
      <c r="ITW64" s="404"/>
      <c r="ITX64" s="404"/>
      <c r="ITY64" s="404"/>
      <c r="ITZ64" s="404"/>
      <c r="IUA64" s="404"/>
      <c r="IUB64" s="404"/>
      <c r="IUC64" s="404"/>
      <c r="IUD64" s="404"/>
      <c r="IUE64" s="404"/>
      <c r="IUF64" s="404"/>
      <c r="IUG64" s="404"/>
      <c r="IUH64" s="404"/>
      <c r="IUI64" s="404"/>
      <c r="IUJ64" s="404"/>
      <c r="IUK64" s="404"/>
      <c r="IUL64" s="404"/>
      <c r="IUM64" s="404"/>
      <c r="IUN64" s="404"/>
      <c r="IUO64" s="404"/>
      <c r="IUP64" s="404"/>
      <c r="IUQ64" s="404"/>
      <c r="IUR64" s="404"/>
      <c r="IUS64" s="404"/>
      <c r="IUT64" s="404"/>
      <c r="IUU64" s="404"/>
      <c r="IUV64" s="404"/>
      <c r="IUW64" s="404"/>
      <c r="IUX64" s="404"/>
      <c r="IUY64" s="404"/>
      <c r="IUZ64" s="404"/>
      <c r="IVA64" s="404"/>
      <c r="IVB64" s="404"/>
      <c r="IVC64" s="404"/>
      <c r="IVD64" s="404"/>
      <c r="IVE64" s="404"/>
      <c r="IVF64" s="404"/>
      <c r="IVG64" s="404"/>
      <c r="IVH64" s="404"/>
      <c r="IVI64" s="404"/>
      <c r="IVJ64" s="404"/>
      <c r="IVK64" s="404"/>
      <c r="IVL64" s="404"/>
      <c r="IVM64" s="404"/>
      <c r="IVN64" s="404"/>
      <c r="IVO64" s="404"/>
      <c r="IVP64" s="404"/>
      <c r="IVQ64" s="404"/>
      <c r="IVR64" s="404"/>
      <c r="IVS64" s="404"/>
      <c r="IVT64" s="404"/>
      <c r="IVU64" s="404"/>
      <c r="IVV64" s="404"/>
      <c r="IVW64" s="404"/>
      <c r="IVX64" s="404"/>
      <c r="IVY64" s="404"/>
      <c r="IVZ64" s="404"/>
      <c r="IWA64" s="404"/>
      <c r="IWB64" s="404"/>
      <c r="IWC64" s="404"/>
      <c r="IWD64" s="404"/>
      <c r="IWE64" s="404"/>
      <c r="IWF64" s="404"/>
      <c r="IWG64" s="404"/>
      <c r="IWH64" s="404"/>
      <c r="IWI64" s="404"/>
      <c r="IWJ64" s="404"/>
      <c r="IWK64" s="404"/>
      <c r="IWL64" s="404"/>
      <c r="IWM64" s="404"/>
      <c r="IWN64" s="404"/>
      <c r="IWO64" s="404"/>
      <c r="IWP64" s="404"/>
      <c r="IWQ64" s="404"/>
      <c r="IWR64" s="404"/>
      <c r="IWS64" s="404"/>
      <c r="IWT64" s="404"/>
      <c r="IWU64" s="404"/>
      <c r="IWV64" s="404"/>
      <c r="IWW64" s="404"/>
      <c r="IWX64" s="404"/>
      <c r="IWY64" s="404"/>
      <c r="IWZ64" s="404"/>
      <c r="IXA64" s="404"/>
      <c r="IXB64" s="404"/>
      <c r="IXC64" s="404"/>
      <c r="IXD64" s="404"/>
      <c r="IXE64" s="404"/>
      <c r="IXF64" s="404"/>
      <c r="IXG64" s="404"/>
      <c r="IXH64" s="404"/>
      <c r="IXI64" s="404"/>
      <c r="IXJ64" s="404"/>
      <c r="IXK64" s="404"/>
      <c r="IXL64" s="404"/>
      <c r="IXM64" s="404"/>
      <c r="IXN64" s="404"/>
      <c r="IXO64" s="404"/>
      <c r="IXP64" s="404"/>
      <c r="IXQ64" s="404"/>
      <c r="IXR64" s="404"/>
      <c r="IXS64" s="404"/>
      <c r="IXT64" s="404"/>
      <c r="IXU64" s="404"/>
      <c r="IXV64" s="404"/>
      <c r="IXW64" s="404"/>
      <c r="IXX64" s="404"/>
      <c r="IXY64" s="404"/>
      <c r="IXZ64" s="404"/>
      <c r="IYA64" s="404"/>
      <c r="IYB64" s="404"/>
      <c r="IYC64" s="404"/>
      <c r="IYD64" s="404"/>
      <c r="IYE64" s="404"/>
      <c r="IYF64" s="404"/>
      <c r="IYG64" s="404"/>
      <c r="IYH64" s="404"/>
      <c r="IYI64" s="404"/>
      <c r="IYJ64" s="404"/>
      <c r="IYK64" s="404"/>
      <c r="IYL64" s="404"/>
      <c r="IYM64" s="404"/>
      <c r="IYN64" s="404"/>
      <c r="IYO64" s="404"/>
      <c r="IYP64" s="404"/>
      <c r="IYQ64" s="404"/>
      <c r="IYR64" s="404"/>
      <c r="IYS64" s="404"/>
      <c r="IYT64" s="404"/>
      <c r="IYU64" s="404"/>
      <c r="IYV64" s="404"/>
      <c r="IYW64" s="404"/>
      <c r="IYX64" s="404"/>
      <c r="IYY64" s="404"/>
      <c r="IYZ64" s="404"/>
      <c r="IZA64" s="404"/>
      <c r="IZB64" s="404"/>
      <c r="IZC64" s="404"/>
      <c r="IZD64" s="404"/>
      <c r="IZE64" s="404"/>
      <c r="IZF64" s="404"/>
      <c r="IZG64" s="404"/>
      <c r="IZH64" s="404"/>
      <c r="IZI64" s="404"/>
      <c r="IZJ64" s="404"/>
      <c r="IZK64" s="404"/>
      <c r="IZL64" s="404"/>
      <c r="IZM64" s="404"/>
      <c r="IZN64" s="404"/>
      <c r="IZO64" s="404"/>
      <c r="IZP64" s="404"/>
      <c r="IZQ64" s="404"/>
      <c r="IZR64" s="404"/>
      <c r="IZS64" s="404"/>
      <c r="IZT64" s="404"/>
      <c r="IZU64" s="404"/>
      <c r="IZV64" s="404"/>
      <c r="IZW64" s="404"/>
      <c r="IZX64" s="404"/>
      <c r="IZY64" s="404"/>
      <c r="IZZ64" s="404"/>
      <c r="JAA64" s="404"/>
      <c r="JAB64" s="404"/>
      <c r="JAC64" s="404"/>
      <c r="JAD64" s="404"/>
      <c r="JAE64" s="404"/>
      <c r="JAF64" s="404"/>
      <c r="JAG64" s="404"/>
      <c r="JAH64" s="404"/>
      <c r="JAI64" s="404"/>
      <c r="JAJ64" s="404"/>
      <c r="JAK64" s="404"/>
      <c r="JAL64" s="404"/>
      <c r="JAM64" s="404"/>
      <c r="JAN64" s="404"/>
      <c r="JAO64" s="404"/>
      <c r="JAP64" s="404"/>
      <c r="JAQ64" s="404"/>
      <c r="JAR64" s="404"/>
      <c r="JAS64" s="404"/>
      <c r="JAT64" s="404"/>
      <c r="JAU64" s="404"/>
      <c r="JAV64" s="404"/>
      <c r="JAW64" s="404"/>
      <c r="JAX64" s="404"/>
      <c r="JAY64" s="404"/>
      <c r="JAZ64" s="404"/>
      <c r="JBA64" s="404"/>
      <c r="JBB64" s="404"/>
      <c r="JBC64" s="404"/>
      <c r="JBD64" s="404"/>
      <c r="JBE64" s="404"/>
      <c r="JBF64" s="404"/>
      <c r="JBG64" s="404"/>
      <c r="JBH64" s="404"/>
      <c r="JBI64" s="404"/>
      <c r="JBJ64" s="404"/>
      <c r="JBK64" s="404"/>
      <c r="JBL64" s="404"/>
      <c r="JBM64" s="404"/>
      <c r="JBN64" s="404"/>
      <c r="JBO64" s="404"/>
      <c r="JBP64" s="404"/>
      <c r="JBQ64" s="404"/>
      <c r="JBR64" s="404"/>
      <c r="JBS64" s="404"/>
      <c r="JBT64" s="404"/>
      <c r="JBU64" s="404"/>
      <c r="JBV64" s="404"/>
      <c r="JBW64" s="404"/>
      <c r="JBX64" s="404"/>
      <c r="JBY64" s="404"/>
      <c r="JBZ64" s="404"/>
      <c r="JCA64" s="404"/>
      <c r="JCB64" s="404"/>
      <c r="JCC64" s="404"/>
      <c r="JCD64" s="404"/>
      <c r="JCE64" s="404"/>
      <c r="JCF64" s="404"/>
      <c r="JCG64" s="404"/>
      <c r="JCH64" s="404"/>
      <c r="JCI64" s="404"/>
      <c r="JCJ64" s="404"/>
      <c r="JCK64" s="404"/>
      <c r="JCL64" s="404"/>
      <c r="JCM64" s="404"/>
      <c r="JCN64" s="404"/>
      <c r="JCO64" s="404"/>
      <c r="JCP64" s="404"/>
      <c r="JCQ64" s="404"/>
      <c r="JCR64" s="404"/>
      <c r="JCS64" s="404"/>
      <c r="JCT64" s="404"/>
      <c r="JCU64" s="404"/>
      <c r="JCV64" s="404"/>
      <c r="JCW64" s="404"/>
      <c r="JCX64" s="404"/>
      <c r="JCY64" s="404"/>
      <c r="JCZ64" s="404"/>
      <c r="JDA64" s="404"/>
      <c r="JDB64" s="404"/>
      <c r="JDC64" s="404"/>
      <c r="JDD64" s="404"/>
      <c r="JDE64" s="404"/>
      <c r="JDF64" s="404"/>
      <c r="JDG64" s="404"/>
      <c r="JDH64" s="404"/>
      <c r="JDI64" s="404"/>
      <c r="JDJ64" s="404"/>
      <c r="JDK64" s="404"/>
      <c r="JDL64" s="404"/>
      <c r="JDM64" s="404"/>
      <c r="JDN64" s="404"/>
      <c r="JDO64" s="404"/>
      <c r="JDP64" s="404"/>
      <c r="JDQ64" s="404"/>
      <c r="JDR64" s="404"/>
      <c r="JDS64" s="404"/>
      <c r="JDT64" s="404"/>
      <c r="JDU64" s="404"/>
      <c r="JDV64" s="404"/>
      <c r="JDW64" s="404"/>
      <c r="JDX64" s="404"/>
      <c r="JDY64" s="404"/>
      <c r="JDZ64" s="404"/>
      <c r="JEA64" s="404"/>
      <c r="JEB64" s="404"/>
      <c r="JEC64" s="404"/>
      <c r="JED64" s="404"/>
      <c r="JEE64" s="404"/>
      <c r="JEF64" s="404"/>
      <c r="JEG64" s="404"/>
      <c r="JEH64" s="404"/>
      <c r="JEI64" s="404"/>
      <c r="JEJ64" s="404"/>
      <c r="JEK64" s="404"/>
      <c r="JEL64" s="404"/>
      <c r="JEM64" s="404"/>
      <c r="JEN64" s="404"/>
      <c r="JEO64" s="404"/>
      <c r="JEP64" s="404"/>
      <c r="JEQ64" s="404"/>
      <c r="JER64" s="404"/>
      <c r="JES64" s="404"/>
      <c r="JET64" s="404"/>
      <c r="JEU64" s="404"/>
      <c r="JEV64" s="404"/>
      <c r="JEW64" s="404"/>
      <c r="JEX64" s="404"/>
      <c r="JEY64" s="404"/>
      <c r="JEZ64" s="404"/>
      <c r="JFA64" s="404"/>
      <c r="JFB64" s="404"/>
      <c r="JFC64" s="404"/>
      <c r="JFD64" s="404"/>
      <c r="JFE64" s="404"/>
      <c r="JFF64" s="404"/>
      <c r="JFG64" s="404"/>
      <c r="JFH64" s="404"/>
      <c r="JFI64" s="404"/>
      <c r="JFJ64" s="404"/>
      <c r="JFK64" s="404"/>
      <c r="JFL64" s="404"/>
      <c r="JFM64" s="404"/>
      <c r="JFN64" s="404"/>
      <c r="JFO64" s="404"/>
      <c r="JFP64" s="404"/>
      <c r="JFQ64" s="404"/>
      <c r="JFR64" s="404"/>
      <c r="JFS64" s="404"/>
      <c r="JFT64" s="404"/>
      <c r="JFU64" s="404"/>
      <c r="JFV64" s="404"/>
      <c r="JFW64" s="404"/>
      <c r="JFX64" s="404"/>
      <c r="JFY64" s="404"/>
      <c r="JFZ64" s="404"/>
      <c r="JGA64" s="404"/>
      <c r="JGB64" s="404"/>
      <c r="JGC64" s="404"/>
      <c r="JGD64" s="404"/>
      <c r="JGE64" s="404"/>
      <c r="JGF64" s="404"/>
      <c r="JGG64" s="404"/>
      <c r="JGH64" s="404"/>
      <c r="JGI64" s="404"/>
      <c r="JGJ64" s="404"/>
      <c r="JGK64" s="404"/>
      <c r="JGL64" s="404"/>
      <c r="JGM64" s="404"/>
      <c r="JGN64" s="404"/>
      <c r="JGO64" s="404"/>
      <c r="JGP64" s="404"/>
      <c r="JGQ64" s="404"/>
      <c r="JGR64" s="404"/>
      <c r="JGS64" s="404"/>
      <c r="JGT64" s="404"/>
      <c r="JGU64" s="404"/>
      <c r="JGV64" s="404"/>
      <c r="JGW64" s="404"/>
      <c r="JGX64" s="404"/>
      <c r="JGY64" s="404"/>
      <c r="JGZ64" s="404"/>
      <c r="JHA64" s="404"/>
      <c r="JHB64" s="404"/>
      <c r="JHC64" s="404"/>
      <c r="JHD64" s="404"/>
      <c r="JHE64" s="404"/>
      <c r="JHF64" s="404"/>
      <c r="JHG64" s="404"/>
      <c r="JHH64" s="404"/>
      <c r="JHI64" s="404"/>
      <c r="JHJ64" s="404"/>
      <c r="JHK64" s="404"/>
      <c r="JHL64" s="404"/>
      <c r="JHM64" s="404"/>
      <c r="JHN64" s="404"/>
      <c r="JHO64" s="404"/>
      <c r="JHP64" s="404"/>
      <c r="JHQ64" s="404"/>
      <c r="JHR64" s="404"/>
      <c r="JHS64" s="404"/>
      <c r="JHT64" s="404"/>
      <c r="JHU64" s="404"/>
      <c r="JHV64" s="404"/>
      <c r="JHW64" s="404"/>
      <c r="JHX64" s="404"/>
      <c r="JHY64" s="404"/>
      <c r="JHZ64" s="404"/>
      <c r="JIA64" s="404"/>
      <c r="JIB64" s="404"/>
      <c r="JIC64" s="404"/>
      <c r="JID64" s="404"/>
      <c r="JIE64" s="404"/>
      <c r="JIF64" s="404"/>
      <c r="JIG64" s="404"/>
      <c r="JIH64" s="404"/>
      <c r="JII64" s="404"/>
      <c r="JIJ64" s="404"/>
      <c r="JIK64" s="404"/>
      <c r="JIL64" s="404"/>
      <c r="JIM64" s="404"/>
      <c r="JIN64" s="404"/>
      <c r="JIO64" s="404"/>
      <c r="JIP64" s="404"/>
      <c r="JIQ64" s="404"/>
      <c r="JIR64" s="404"/>
      <c r="JIS64" s="404"/>
      <c r="JIT64" s="404"/>
      <c r="JIU64" s="404"/>
      <c r="JIV64" s="404"/>
      <c r="JIW64" s="404"/>
      <c r="JIX64" s="404"/>
      <c r="JIY64" s="404"/>
      <c r="JIZ64" s="404"/>
      <c r="JJA64" s="404"/>
      <c r="JJB64" s="404"/>
      <c r="JJC64" s="404"/>
      <c r="JJD64" s="404"/>
      <c r="JJE64" s="404"/>
      <c r="JJF64" s="404"/>
      <c r="JJG64" s="404"/>
      <c r="JJH64" s="404"/>
      <c r="JJI64" s="404"/>
      <c r="JJJ64" s="404"/>
      <c r="JJK64" s="404"/>
      <c r="JJL64" s="404"/>
      <c r="JJM64" s="404"/>
      <c r="JJN64" s="404"/>
      <c r="JJO64" s="404"/>
      <c r="JJP64" s="404"/>
      <c r="JJQ64" s="404"/>
      <c r="JJR64" s="404"/>
      <c r="JJS64" s="404"/>
      <c r="JJT64" s="404"/>
      <c r="JJU64" s="404"/>
      <c r="JJV64" s="404"/>
      <c r="JJW64" s="404"/>
      <c r="JJX64" s="404"/>
      <c r="JJY64" s="404"/>
      <c r="JJZ64" s="404"/>
      <c r="JKA64" s="404"/>
      <c r="JKB64" s="404"/>
      <c r="JKC64" s="404"/>
      <c r="JKD64" s="404"/>
      <c r="JKE64" s="404"/>
      <c r="JKF64" s="404"/>
      <c r="JKG64" s="404"/>
      <c r="JKH64" s="404"/>
      <c r="JKI64" s="404"/>
      <c r="JKJ64" s="404"/>
      <c r="JKK64" s="404"/>
      <c r="JKL64" s="404"/>
      <c r="JKM64" s="404"/>
      <c r="JKN64" s="404"/>
      <c r="JKO64" s="404"/>
      <c r="JKP64" s="404"/>
      <c r="JKQ64" s="404"/>
      <c r="JKR64" s="404"/>
      <c r="JKS64" s="404"/>
      <c r="JKT64" s="404"/>
      <c r="JKU64" s="404"/>
      <c r="JKV64" s="404"/>
      <c r="JKW64" s="404"/>
      <c r="JKX64" s="404"/>
      <c r="JKY64" s="404"/>
      <c r="JKZ64" s="404"/>
      <c r="JLA64" s="404"/>
      <c r="JLB64" s="404"/>
      <c r="JLC64" s="404"/>
      <c r="JLD64" s="404"/>
      <c r="JLE64" s="404"/>
      <c r="JLF64" s="404"/>
      <c r="JLG64" s="404"/>
      <c r="JLH64" s="404"/>
      <c r="JLI64" s="404"/>
      <c r="JLJ64" s="404"/>
      <c r="JLK64" s="404"/>
      <c r="JLL64" s="404"/>
      <c r="JLM64" s="404"/>
      <c r="JLN64" s="404"/>
      <c r="JLO64" s="404"/>
      <c r="JLP64" s="404"/>
      <c r="JLQ64" s="404"/>
      <c r="JLR64" s="404"/>
      <c r="JLS64" s="404"/>
      <c r="JLT64" s="404"/>
      <c r="JLU64" s="404"/>
      <c r="JLV64" s="404"/>
      <c r="JLW64" s="404"/>
      <c r="JLX64" s="404"/>
      <c r="JLY64" s="404"/>
      <c r="JLZ64" s="404"/>
      <c r="JMA64" s="404"/>
      <c r="JMB64" s="404"/>
      <c r="JMC64" s="404"/>
      <c r="JMD64" s="404"/>
      <c r="JME64" s="404"/>
      <c r="JMF64" s="404"/>
      <c r="JMG64" s="404"/>
      <c r="JMH64" s="404"/>
      <c r="JMI64" s="404"/>
      <c r="JMJ64" s="404"/>
      <c r="JMK64" s="404"/>
      <c r="JML64" s="404"/>
      <c r="JMM64" s="404"/>
      <c r="JMN64" s="404"/>
      <c r="JMO64" s="404"/>
      <c r="JMP64" s="404"/>
      <c r="JMQ64" s="404"/>
      <c r="JMR64" s="404"/>
      <c r="JMS64" s="404"/>
      <c r="JMT64" s="404"/>
      <c r="JMU64" s="404"/>
      <c r="JMV64" s="404"/>
      <c r="JMW64" s="404"/>
      <c r="JMX64" s="404"/>
      <c r="JMY64" s="404"/>
      <c r="JMZ64" s="404"/>
      <c r="JNA64" s="404"/>
      <c r="JNB64" s="404"/>
      <c r="JNC64" s="404"/>
      <c r="JND64" s="404"/>
      <c r="JNE64" s="404"/>
      <c r="JNF64" s="404"/>
      <c r="JNG64" s="404"/>
      <c r="JNH64" s="404"/>
      <c r="JNI64" s="404"/>
      <c r="JNJ64" s="404"/>
      <c r="JNK64" s="404"/>
      <c r="JNL64" s="404"/>
      <c r="JNM64" s="404"/>
      <c r="JNN64" s="404"/>
      <c r="JNO64" s="404"/>
      <c r="JNP64" s="404"/>
      <c r="JNQ64" s="404"/>
      <c r="JNR64" s="404"/>
      <c r="JNS64" s="404"/>
      <c r="JNT64" s="404"/>
      <c r="JNU64" s="404"/>
      <c r="JNV64" s="404"/>
      <c r="JNW64" s="404"/>
      <c r="JNX64" s="404"/>
      <c r="JNY64" s="404"/>
      <c r="JNZ64" s="404"/>
      <c r="JOA64" s="404"/>
      <c r="JOB64" s="404"/>
      <c r="JOC64" s="404"/>
      <c r="JOD64" s="404"/>
      <c r="JOE64" s="404"/>
      <c r="JOF64" s="404"/>
      <c r="JOG64" s="404"/>
      <c r="JOH64" s="404"/>
      <c r="JOI64" s="404"/>
      <c r="JOJ64" s="404"/>
      <c r="JOK64" s="404"/>
      <c r="JOL64" s="404"/>
      <c r="JOM64" s="404"/>
      <c r="JON64" s="404"/>
      <c r="JOO64" s="404"/>
      <c r="JOP64" s="404"/>
      <c r="JOQ64" s="404"/>
      <c r="JOR64" s="404"/>
      <c r="JOS64" s="404"/>
      <c r="JOT64" s="404"/>
      <c r="JOU64" s="404"/>
      <c r="JOV64" s="404"/>
      <c r="JOW64" s="404"/>
      <c r="JOX64" s="404"/>
      <c r="JOY64" s="404"/>
      <c r="JOZ64" s="404"/>
      <c r="JPA64" s="404"/>
      <c r="JPB64" s="404"/>
      <c r="JPC64" s="404"/>
      <c r="JPD64" s="404"/>
      <c r="JPE64" s="404"/>
      <c r="JPF64" s="404"/>
      <c r="JPG64" s="404"/>
      <c r="JPH64" s="404"/>
      <c r="JPI64" s="404"/>
      <c r="JPJ64" s="404"/>
      <c r="JPK64" s="404"/>
      <c r="JPL64" s="404"/>
      <c r="JPM64" s="404"/>
      <c r="JPN64" s="404"/>
      <c r="JPO64" s="404"/>
      <c r="JPP64" s="404"/>
      <c r="JPQ64" s="404"/>
      <c r="JPR64" s="404"/>
      <c r="JPS64" s="404"/>
      <c r="JPT64" s="404"/>
      <c r="JPU64" s="404"/>
      <c r="JPV64" s="404"/>
      <c r="JPW64" s="404"/>
      <c r="JPX64" s="404"/>
      <c r="JPY64" s="404"/>
      <c r="JPZ64" s="404"/>
      <c r="JQA64" s="404"/>
      <c r="JQB64" s="404"/>
      <c r="JQC64" s="404"/>
      <c r="JQD64" s="404"/>
      <c r="JQE64" s="404"/>
      <c r="JQF64" s="404"/>
      <c r="JQG64" s="404"/>
      <c r="JQH64" s="404"/>
      <c r="JQI64" s="404"/>
      <c r="JQJ64" s="404"/>
      <c r="JQK64" s="404"/>
      <c r="JQL64" s="404"/>
      <c r="JQM64" s="404"/>
      <c r="JQN64" s="404"/>
      <c r="JQO64" s="404"/>
      <c r="JQP64" s="404"/>
      <c r="JQQ64" s="404"/>
      <c r="JQR64" s="404"/>
      <c r="JQS64" s="404"/>
      <c r="JQT64" s="404"/>
      <c r="JQU64" s="404"/>
      <c r="JQV64" s="404"/>
      <c r="JQW64" s="404"/>
      <c r="JQX64" s="404"/>
      <c r="JQY64" s="404"/>
      <c r="JQZ64" s="404"/>
      <c r="JRA64" s="404"/>
      <c r="JRB64" s="404"/>
      <c r="JRC64" s="404"/>
      <c r="JRD64" s="404"/>
      <c r="JRE64" s="404"/>
      <c r="JRF64" s="404"/>
      <c r="JRG64" s="404"/>
      <c r="JRH64" s="404"/>
      <c r="JRI64" s="404"/>
      <c r="JRJ64" s="404"/>
      <c r="JRK64" s="404"/>
      <c r="JRL64" s="404"/>
      <c r="JRM64" s="404"/>
      <c r="JRN64" s="404"/>
      <c r="JRO64" s="404"/>
      <c r="JRP64" s="404"/>
      <c r="JRQ64" s="404"/>
      <c r="JRR64" s="404"/>
      <c r="JRS64" s="404"/>
      <c r="JRT64" s="404"/>
      <c r="JRU64" s="404"/>
      <c r="JRV64" s="404"/>
      <c r="JRW64" s="404"/>
      <c r="JRX64" s="404"/>
      <c r="JRY64" s="404"/>
      <c r="JRZ64" s="404"/>
      <c r="JSA64" s="404"/>
      <c r="JSB64" s="404"/>
      <c r="JSC64" s="404"/>
      <c r="JSD64" s="404"/>
      <c r="JSE64" s="404"/>
      <c r="JSF64" s="404"/>
      <c r="JSG64" s="404"/>
      <c r="JSH64" s="404"/>
      <c r="JSI64" s="404"/>
      <c r="JSJ64" s="404"/>
      <c r="JSK64" s="404"/>
      <c r="JSL64" s="404"/>
      <c r="JSM64" s="404"/>
      <c r="JSN64" s="404"/>
      <c r="JSO64" s="404"/>
      <c r="JSP64" s="404"/>
      <c r="JSQ64" s="404"/>
      <c r="JSR64" s="404"/>
      <c r="JSS64" s="404"/>
      <c r="JST64" s="404"/>
      <c r="JSU64" s="404"/>
      <c r="JSV64" s="404"/>
      <c r="JSW64" s="404"/>
      <c r="JSX64" s="404"/>
      <c r="JSY64" s="404"/>
      <c r="JSZ64" s="404"/>
      <c r="JTA64" s="404"/>
      <c r="JTB64" s="404"/>
      <c r="JTC64" s="404"/>
      <c r="JTD64" s="404"/>
      <c r="JTE64" s="404"/>
      <c r="JTF64" s="404"/>
      <c r="JTG64" s="404"/>
      <c r="JTH64" s="404"/>
      <c r="JTI64" s="404"/>
      <c r="JTJ64" s="404"/>
      <c r="JTK64" s="404"/>
      <c r="JTL64" s="404"/>
      <c r="JTM64" s="404"/>
      <c r="JTN64" s="404"/>
      <c r="JTO64" s="404"/>
      <c r="JTP64" s="404"/>
      <c r="JTQ64" s="404"/>
      <c r="JTR64" s="404"/>
      <c r="JTS64" s="404"/>
      <c r="JTT64" s="404"/>
      <c r="JTU64" s="404"/>
      <c r="JTV64" s="404"/>
      <c r="JTW64" s="404"/>
      <c r="JTX64" s="404"/>
      <c r="JTY64" s="404"/>
      <c r="JTZ64" s="404"/>
      <c r="JUA64" s="404"/>
      <c r="JUB64" s="404"/>
      <c r="JUC64" s="404"/>
      <c r="JUD64" s="404"/>
      <c r="JUE64" s="404"/>
      <c r="JUF64" s="404"/>
      <c r="JUG64" s="404"/>
      <c r="JUH64" s="404"/>
      <c r="JUI64" s="404"/>
      <c r="JUJ64" s="404"/>
      <c r="JUK64" s="404"/>
      <c r="JUL64" s="404"/>
      <c r="JUM64" s="404"/>
      <c r="JUN64" s="404"/>
      <c r="JUO64" s="404"/>
      <c r="JUP64" s="404"/>
      <c r="JUQ64" s="404"/>
      <c r="JUR64" s="404"/>
      <c r="JUS64" s="404"/>
      <c r="JUT64" s="404"/>
      <c r="JUU64" s="404"/>
      <c r="JUV64" s="404"/>
      <c r="JUW64" s="404"/>
      <c r="JUX64" s="404"/>
      <c r="JUY64" s="404"/>
      <c r="JUZ64" s="404"/>
      <c r="JVA64" s="404"/>
      <c r="JVB64" s="404"/>
      <c r="JVC64" s="404"/>
      <c r="JVD64" s="404"/>
      <c r="JVE64" s="404"/>
      <c r="JVF64" s="404"/>
      <c r="JVG64" s="404"/>
      <c r="JVH64" s="404"/>
      <c r="JVI64" s="404"/>
      <c r="JVJ64" s="404"/>
      <c r="JVK64" s="404"/>
      <c r="JVL64" s="404"/>
      <c r="JVM64" s="404"/>
      <c r="JVN64" s="404"/>
      <c r="JVO64" s="404"/>
      <c r="JVP64" s="404"/>
      <c r="JVQ64" s="404"/>
      <c r="JVR64" s="404"/>
      <c r="JVS64" s="404"/>
      <c r="JVT64" s="404"/>
      <c r="JVU64" s="404"/>
      <c r="JVV64" s="404"/>
      <c r="JVW64" s="404"/>
      <c r="JVX64" s="404"/>
      <c r="JVY64" s="404"/>
      <c r="JVZ64" s="404"/>
      <c r="JWA64" s="404"/>
      <c r="JWB64" s="404"/>
      <c r="JWC64" s="404"/>
      <c r="JWD64" s="404"/>
      <c r="JWE64" s="404"/>
      <c r="JWF64" s="404"/>
      <c r="JWG64" s="404"/>
      <c r="JWH64" s="404"/>
      <c r="JWI64" s="404"/>
      <c r="JWJ64" s="404"/>
      <c r="JWK64" s="404"/>
      <c r="JWL64" s="404"/>
      <c r="JWM64" s="404"/>
      <c r="JWN64" s="404"/>
      <c r="JWO64" s="404"/>
      <c r="JWP64" s="404"/>
      <c r="JWQ64" s="404"/>
      <c r="JWR64" s="404"/>
      <c r="JWS64" s="404"/>
      <c r="JWT64" s="404"/>
      <c r="JWU64" s="404"/>
      <c r="JWV64" s="404"/>
      <c r="JWW64" s="404"/>
      <c r="JWX64" s="404"/>
      <c r="JWY64" s="404"/>
      <c r="JWZ64" s="404"/>
      <c r="JXA64" s="404"/>
      <c r="JXB64" s="404"/>
      <c r="JXC64" s="404"/>
      <c r="JXD64" s="404"/>
      <c r="JXE64" s="404"/>
      <c r="JXF64" s="404"/>
      <c r="JXG64" s="404"/>
      <c r="JXH64" s="404"/>
      <c r="JXI64" s="404"/>
      <c r="JXJ64" s="404"/>
      <c r="JXK64" s="404"/>
      <c r="JXL64" s="404"/>
      <c r="JXM64" s="404"/>
      <c r="JXN64" s="404"/>
      <c r="JXO64" s="404"/>
      <c r="JXP64" s="404"/>
      <c r="JXQ64" s="404"/>
      <c r="JXR64" s="404"/>
      <c r="JXS64" s="404"/>
      <c r="JXT64" s="404"/>
      <c r="JXU64" s="404"/>
      <c r="JXV64" s="404"/>
      <c r="JXW64" s="404"/>
      <c r="JXX64" s="404"/>
      <c r="JXY64" s="404"/>
      <c r="JXZ64" s="404"/>
      <c r="JYA64" s="404"/>
      <c r="JYB64" s="404"/>
      <c r="JYC64" s="404"/>
      <c r="JYD64" s="404"/>
      <c r="JYE64" s="404"/>
      <c r="JYF64" s="404"/>
      <c r="JYG64" s="404"/>
      <c r="JYH64" s="404"/>
      <c r="JYI64" s="404"/>
      <c r="JYJ64" s="404"/>
      <c r="JYK64" s="404"/>
      <c r="JYL64" s="404"/>
      <c r="JYM64" s="404"/>
      <c r="JYN64" s="404"/>
      <c r="JYO64" s="404"/>
      <c r="JYP64" s="404"/>
      <c r="JYQ64" s="404"/>
      <c r="JYR64" s="404"/>
      <c r="JYS64" s="404"/>
      <c r="JYT64" s="404"/>
      <c r="JYU64" s="404"/>
      <c r="JYV64" s="404"/>
      <c r="JYW64" s="404"/>
      <c r="JYX64" s="404"/>
      <c r="JYY64" s="404"/>
      <c r="JYZ64" s="404"/>
      <c r="JZA64" s="404"/>
      <c r="JZB64" s="404"/>
      <c r="JZC64" s="404"/>
      <c r="JZD64" s="404"/>
      <c r="JZE64" s="404"/>
      <c r="JZF64" s="404"/>
      <c r="JZG64" s="404"/>
      <c r="JZH64" s="404"/>
      <c r="JZI64" s="404"/>
      <c r="JZJ64" s="404"/>
      <c r="JZK64" s="404"/>
      <c r="JZL64" s="404"/>
      <c r="JZM64" s="404"/>
      <c r="JZN64" s="404"/>
      <c r="JZO64" s="404"/>
      <c r="JZP64" s="404"/>
      <c r="JZQ64" s="404"/>
      <c r="JZR64" s="404"/>
      <c r="JZS64" s="404"/>
      <c r="JZT64" s="404"/>
      <c r="JZU64" s="404"/>
      <c r="JZV64" s="404"/>
      <c r="JZW64" s="404"/>
      <c r="JZX64" s="404"/>
      <c r="JZY64" s="404"/>
      <c r="JZZ64" s="404"/>
      <c r="KAA64" s="404"/>
      <c r="KAB64" s="404"/>
      <c r="KAC64" s="404"/>
      <c r="KAD64" s="404"/>
      <c r="KAE64" s="404"/>
      <c r="KAF64" s="404"/>
      <c r="KAG64" s="404"/>
      <c r="KAH64" s="404"/>
      <c r="KAI64" s="404"/>
      <c r="KAJ64" s="404"/>
      <c r="KAK64" s="404"/>
      <c r="KAL64" s="404"/>
      <c r="KAM64" s="404"/>
      <c r="KAN64" s="404"/>
      <c r="KAO64" s="404"/>
      <c r="KAP64" s="404"/>
      <c r="KAQ64" s="404"/>
      <c r="KAR64" s="404"/>
      <c r="KAS64" s="404"/>
      <c r="KAT64" s="404"/>
      <c r="KAU64" s="404"/>
      <c r="KAV64" s="404"/>
      <c r="KAW64" s="404"/>
      <c r="KAX64" s="404"/>
      <c r="KAY64" s="404"/>
      <c r="KAZ64" s="404"/>
      <c r="KBA64" s="404"/>
      <c r="KBB64" s="404"/>
      <c r="KBC64" s="404"/>
      <c r="KBD64" s="404"/>
      <c r="KBE64" s="404"/>
      <c r="KBF64" s="404"/>
      <c r="KBG64" s="404"/>
      <c r="KBH64" s="404"/>
      <c r="KBI64" s="404"/>
      <c r="KBJ64" s="404"/>
      <c r="KBK64" s="404"/>
      <c r="KBL64" s="404"/>
      <c r="KBM64" s="404"/>
      <c r="KBN64" s="404"/>
      <c r="KBO64" s="404"/>
      <c r="KBP64" s="404"/>
      <c r="KBQ64" s="404"/>
      <c r="KBR64" s="404"/>
      <c r="KBS64" s="404"/>
      <c r="KBT64" s="404"/>
      <c r="KBU64" s="404"/>
      <c r="KBV64" s="404"/>
      <c r="KBW64" s="404"/>
      <c r="KBX64" s="404"/>
      <c r="KBY64" s="404"/>
      <c r="KBZ64" s="404"/>
      <c r="KCA64" s="404"/>
      <c r="KCB64" s="404"/>
      <c r="KCC64" s="404"/>
      <c r="KCD64" s="404"/>
      <c r="KCE64" s="404"/>
      <c r="KCF64" s="404"/>
      <c r="KCG64" s="404"/>
      <c r="KCH64" s="404"/>
      <c r="KCI64" s="404"/>
      <c r="KCJ64" s="404"/>
      <c r="KCK64" s="404"/>
      <c r="KCL64" s="404"/>
      <c r="KCM64" s="404"/>
      <c r="KCN64" s="404"/>
      <c r="KCO64" s="404"/>
      <c r="KCP64" s="404"/>
      <c r="KCQ64" s="404"/>
      <c r="KCR64" s="404"/>
      <c r="KCS64" s="404"/>
      <c r="KCT64" s="404"/>
      <c r="KCU64" s="404"/>
      <c r="KCV64" s="404"/>
      <c r="KCW64" s="404"/>
      <c r="KCX64" s="404"/>
      <c r="KCY64" s="404"/>
      <c r="KCZ64" s="404"/>
      <c r="KDA64" s="404"/>
      <c r="KDB64" s="404"/>
      <c r="KDC64" s="404"/>
      <c r="KDD64" s="404"/>
      <c r="KDE64" s="404"/>
      <c r="KDF64" s="404"/>
      <c r="KDG64" s="404"/>
      <c r="KDH64" s="404"/>
      <c r="KDI64" s="404"/>
      <c r="KDJ64" s="404"/>
      <c r="KDK64" s="404"/>
      <c r="KDL64" s="404"/>
      <c r="KDM64" s="404"/>
      <c r="KDN64" s="404"/>
      <c r="KDO64" s="404"/>
      <c r="KDP64" s="404"/>
      <c r="KDQ64" s="404"/>
      <c r="KDR64" s="404"/>
      <c r="KDS64" s="404"/>
      <c r="KDT64" s="404"/>
      <c r="KDU64" s="404"/>
      <c r="KDV64" s="404"/>
      <c r="KDW64" s="404"/>
      <c r="KDX64" s="404"/>
      <c r="KDY64" s="404"/>
      <c r="KDZ64" s="404"/>
      <c r="KEA64" s="404"/>
      <c r="KEB64" s="404"/>
      <c r="KEC64" s="404"/>
      <c r="KED64" s="404"/>
      <c r="KEE64" s="404"/>
      <c r="KEF64" s="404"/>
      <c r="KEG64" s="404"/>
      <c r="KEH64" s="404"/>
      <c r="KEI64" s="404"/>
      <c r="KEJ64" s="404"/>
      <c r="KEK64" s="404"/>
      <c r="KEL64" s="404"/>
      <c r="KEM64" s="404"/>
      <c r="KEN64" s="404"/>
      <c r="KEO64" s="404"/>
      <c r="KEP64" s="404"/>
      <c r="KEQ64" s="404"/>
      <c r="KER64" s="404"/>
      <c r="KES64" s="404"/>
      <c r="KET64" s="404"/>
      <c r="KEU64" s="404"/>
      <c r="KEV64" s="404"/>
      <c r="KEW64" s="404"/>
      <c r="KEX64" s="404"/>
      <c r="KEY64" s="404"/>
      <c r="KEZ64" s="404"/>
      <c r="KFA64" s="404"/>
      <c r="KFB64" s="404"/>
      <c r="KFC64" s="404"/>
      <c r="KFD64" s="404"/>
      <c r="KFE64" s="404"/>
      <c r="KFF64" s="404"/>
      <c r="KFG64" s="404"/>
      <c r="KFH64" s="404"/>
      <c r="KFI64" s="404"/>
      <c r="KFJ64" s="404"/>
      <c r="KFK64" s="404"/>
      <c r="KFL64" s="404"/>
      <c r="KFM64" s="404"/>
      <c r="KFN64" s="404"/>
      <c r="KFO64" s="404"/>
      <c r="KFP64" s="404"/>
      <c r="KFQ64" s="404"/>
      <c r="KFR64" s="404"/>
      <c r="KFS64" s="404"/>
      <c r="KFT64" s="404"/>
      <c r="KFU64" s="404"/>
      <c r="KFV64" s="404"/>
      <c r="KFW64" s="404"/>
      <c r="KFX64" s="404"/>
      <c r="KFY64" s="404"/>
      <c r="KFZ64" s="404"/>
      <c r="KGA64" s="404"/>
      <c r="KGB64" s="404"/>
      <c r="KGC64" s="404"/>
      <c r="KGD64" s="404"/>
      <c r="KGE64" s="404"/>
      <c r="KGF64" s="404"/>
      <c r="KGG64" s="404"/>
      <c r="KGH64" s="404"/>
      <c r="KGI64" s="404"/>
      <c r="KGJ64" s="404"/>
      <c r="KGK64" s="404"/>
      <c r="KGL64" s="404"/>
      <c r="KGM64" s="404"/>
      <c r="KGN64" s="404"/>
      <c r="KGO64" s="404"/>
      <c r="KGP64" s="404"/>
      <c r="KGQ64" s="404"/>
      <c r="KGR64" s="404"/>
      <c r="KGS64" s="404"/>
      <c r="KGT64" s="404"/>
      <c r="KGU64" s="404"/>
      <c r="KGV64" s="404"/>
      <c r="KGW64" s="404"/>
      <c r="KGX64" s="404"/>
      <c r="KGY64" s="404"/>
      <c r="KGZ64" s="404"/>
      <c r="KHA64" s="404"/>
      <c r="KHB64" s="404"/>
      <c r="KHC64" s="404"/>
      <c r="KHD64" s="404"/>
      <c r="KHE64" s="404"/>
      <c r="KHF64" s="404"/>
      <c r="KHG64" s="404"/>
      <c r="KHH64" s="404"/>
      <c r="KHI64" s="404"/>
      <c r="KHJ64" s="404"/>
      <c r="KHK64" s="404"/>
      <c r="KHL64" s="404"/>
      <c r="KHM64" s="404"/>
      <c r="KHN64" s="404"/>
      <c r="KHO64" s="404"/>
      <c r="KHP64" s="404"/>
      <c r="KHQ64" s="404"/>
      <c r="KHR64" s="404"/>
      <c r="KHS64" s="404"/>
      <c r="KHT64" s="404"/>
      <c r="KHU64" s="404"/>
      <c r="KHV64" s="404"/>
      <c r="KHW64" s="404"/>
      <c r="KHX64" s="404"/>
      <c r="KHY64" s="404"/>
      <c r="KHZ64" s="404"/>
      <c r="KIA64" s="404"/>
      <c r="KIB64" s="404"/>
      <c r="KIC64" s="404"/>
      <c r="KID64" s="404"/>
      <c r="KIE64" s="404"/>
      <c r="KIF64" s="404"/>
      <c r="KIG64" s="404"/>
      <c r="KIH64" s="404"/>
      <c r="KII64" s="404"/>
      <c r="KIJ64" s="404"/>
      <c r="KIK64" s="404"/>
      <c r="KIL64" s="404"/>
      <c r="KIM64" s="404"/>
      <c r="KIN64" s="404"/>
      <c r="KIO64" s="404"/>
      <c r="KIP64" s="404"/>
      <c r="KIQ64" s="404"/>
      <c r="KIR64" s="404"/>
      <c r="KIS64" s="404"/>
      <c r="KIT64" s="404"/>
      <c r="KIU64" s="404"/>
      <c r="KIV64" s="404"/>
      <c r="KIW64" s="404"/>
      <c r="KIX64" s="404"/>
      <c r="KIY64" s="404"/>
      <c r="KIZ64" s="404"/>
      <c r="KJA64" s="404"/>
      <c r="KJB64" s="404"/>
      <c r="KJC64" s="404"/>
      <c r="KJD64" s="404"/>
      <c r="KJE64" s="404"/>
      <c r="KJF64" s="404"/>
      <c r="KJG64" s="404"/>
      <c r="KJH64" s="404"/>
      <c r="KJI64" s="404"/>
      <c r="KJJ64" s="404"/>
      <c r="KJK64" s="404"/>
      <c r="KJL64" s="404"/>
      <c r="KJM64" s="404"/>
      <c r="KJN64" s="404"/>
      <c r="KJO64" s="404"/>
      <c r="KJP64" s="404"/>
      <c r="KJQ64" s="404"/>
      <c r="KJR64" s="404"/>
      <c r="KJS64" s="404"/>
      <c r="KJT64" s="404"/>
      <c r="KJU64" s="404"/>
      <c r="KJV64" s="404"/>
      <c r="KJW64" s="404"/>
      <c r="KJX64" s="404"/>
      <c r="KJY64" s="404"/>
      <c r="KJZ64" s="404"/>
      <c r="KKA64" s="404"/>
      <c r="KKB64" s="404"/>
      <c r="KKC64" s="404"/>
      <c r="KKD64" s="404"/>
      <c r="KKE64" s="404"/>
      <c r="KKF64" s="404"/>
      <c r="KKG64" s="404"/>
      <c r="KKH64" s="404"/>
      <c r="KKI64" s="404"/>
      <c r="KKJ64" s="404"/>
      <c r="KKK64" s="404"/>
      <c r="KKL64" s="404"/>
      <c r="KKM64" s="404"/>
      <c r="KKN64" s="404"/>
      <c r="KKO64" s="404"/>
      <c r="KKP64" s="404"/>
      <c r="KKQ64" s="404"/>
      <c r="KKR64" s="404"/>
      <c r="KKS64" s="404"/>
      <c r="KKT64" s="404"/>
      <c r="KKU64" s="404"/>
      <c r="KKV64" s="404"/>
      <c r="KKW64" s="404"/>
      <c r="KKX64" s="404"/>
      <c r="KKY64" s="404"/>
      <c r="KKZ64" s="404"/>
      <c r="KLA64" s="404"/>
      <c r="KLB64" s="404"/>
      <c r="KLC64" s="404"/>
      <c r="KLD64" s="404"/>
      <c r="KLE64" s="404"/>
      <c r="KLF64" s="404"/>
      <c r="KLG64" s="404"/>
      <c r="KLH64" s="404"/>
      <c r="KLI64" s="404"/>
      <c r="KLJ64" s="404"/>
      <c r="KLK64" s="404"/>
      <c r="KLL64" s="404"/>
      <c r="KLM64" s="404"/>
      <c r="KLN64" s="404"/>
      <c r="KLO64" s="404"/>
      <c r="KLP64" s="404"/>
      <c r="KLQ64" s="404"/>
      <c r="KLR64" s="404"/>
      <c r="KLS64" s="404"/>
      <c r="KLT64" s="404"/>
      <c r="KLU64" s="404"/>
      <c r="KLV64" s="404"/>
      <c r="KLW64" s="404"/>
      <c r="KLX64" s="404"/>
      <c r="KLY64" s="404"/>
      <c r="KLZ64" s="404"/>
      <c r="KMA64" s="404"/>
      <c r="KMB64" s="404"/>
      <c r="KMC64" s="404"/>
      <c r="KMD64" s="404"/>
      <c r="KME64" s="404"/>
      <c r="KMF64" s="404"/>
      <c r="KMG64" s="404"/>
      <c r="KMH64" s="404"/>
      <c r="KMI64" s="404"/>
      <c r="KMJ64" s="404"/>
      <c r="KMK64" s="404"/>
      <c r="KML64" s="404"/>
      <c r="KMM64" s="404"/>
      <c r="KMN64" s="404"/>
      <c r="KMO64" s="404"/>
      <c r="KMP64" s="404"/>
      <c r="KMQ64" s="404"/>
      <c r="KMR64" s="404"/>
      <c r="KMS64" s="404"/>
      <c r="KMT64" s="404"/>
      <c r="KMU64" s="404"/>
      <c r="KMV64" s="404"/>
      <c r="KMW64" s="404"/>
      <c r="KMX64" s="404"/>
      <c r="KMY64" s="404"/>
      <c r="KMZ64" s="404"/>
      <c r="KNA64" s="404"/>
      <c r="KNB64" s="404"/>
      <c r="KNC64" s="404"/>
      <c r="KND64" s="404"/>
      <c r="KNE64" s="404"/>
      <c r="KNF64" s="404"/>
      <c r="KNG64" s="404"/>
      <c r="KNH64" s="404"/>
      <c r="KNI64" s="404"/>
      <c r="KNJ64" s="404"/>
      <c r="KNK64" s="404"/>
      <c r="KNL64" s="404"/>
      <c r="KNM64" s="404"/>
      <c r="KNN64" s="404"/>
      <c r="KNO64" s="404"/>
      <c r="KNP64" s="404"/>
      <c r="KNQ64" s="404"/>
      <c r="KNR64" s="404"/>
      <c r="KNS64" s="404"/>
      <c r="KNT64" s="404"/>
      <c r="KNU64" s="404"/>
      <c r="KNV64" s="404"/>
      <c r="KNW64" s="404"/>
      <c r="KNX64" s="404"/>
      <c r="KNY64" s="404"/>
      <c r="KNZ64" s="404"/>
      <c r="KOA64" s="404"/>
      <c r="KOB64" s="404"/>
      <c r="KOC64" s="404"/>
      <c r="KOD64" s="404"/>
      <c r="KOE64" s="404"/>
      <c r="KOF64" s="404"/>
      <c r="KOG64" s="404"/>
      <c r="KOH64" s="404"/>
      <c r="KOI64" s="404"/>
      <c r="KOJ64" s="404"/>
      <c r="KOK64" s="404"/>
      <c r="KOL64" s="404"/>
      <c r="KOM64" s="404"/>
      <c r="KON64" s="404"/>
      <c r="KOO64" s="404"/>
      <c r="KOP64" s="404"/>
      <c r="KOQ64" s="404"/>
      <c r="KOR64" s="404"/>
      <c r="KOS64" s="404"/>
      <c r="KOT64" s="404"/>
      <c r="KOU64" s="404"/>
      <c r="KOV64" s="404"/>
      <c r="KOW64" s="404"/>
      <c r="KOX64" s="404"/>
      <c r="KOY64" s="404"/>
      <c r="KOZ64" s="404"/>
      <c r="KPA64" s="404"/>
      <c r="KPB64" s="404"/>
      <c r="KPC64" s="404"/>
      <c r="KPD64" s="404"/>
      <c r="KPE64" s="404"/>
      <c r="KPF64" s="404"/>
      <c r="KPG64" s="404"/>
      <c r="KPH64" s="404"/>
      <c r="KPI64" s="404"/>
      <c r="KPJ64" s="404"/>
      <c r="KPK64" s="404"/>
      <c r="KPL64" s="404"/>
      <c r="KPM64" s="404"/>
      <c r="KPN64" s="404"/>
      <c r="KPO64" s="404"/>
      <c r="KPP64" s="404"/>
      <c r="KPQ64" s="404"/>
      <c r="KPR64" s="404"/>
      <c r="KPS64" s="404"/>
      <c r="KPT64" s="404"/>
      <c r="KPU64" s="404"/>
      <c r="KPV64" s="404"/>
      <c r="KPW64" s="404"/>
      <c r="KPX64" s="404"/>
      <c r="KPY64" s="404"/>
      <c r="KPZ64" s="404"/>
      <c r="KQA64" s="404"/>
      <c r="KQB64" s="404"/>
      <c r="KQC64" s="404"/>
      <c r="KQD64" s="404"/>
      <c r="KQE64" s="404"/>
      <c r="KQF64" s="404"/>
      <c r="KQG64" s="404"/>
      <c r="KQH64" s="404"/>
      <c r="KQI64" s="404"/>
      <c r="KQJ64" s="404"/>
      <c r="KQK64" s="404"/>
      <c r="KQL64" s="404"/>
      <c r="KQM64" s="404"/>
      <c r="KQN64" s="404"/>
      <c r="KQO64" s="404"/>
      <c r="KQP64" s="404"/>
      <c r="KQQ64" s="404"/>
      <c r="KQR64" s="404"/>
      <c r="KQS64" s="404"/>
      <c r="KQT64" s="404"/>
      <c r="KQU64" s="404"/>
      <c r="KQV64" s="404"/>
      <c r="KQW64" s="404"/>
      <c r="KQX64" s="404"/>
      <c r="KQY64" s="404"/>
      <c r="KQZ64" s="404"/>
      <c r="KRA64" s="404"/>
      <c r="KRB64" s="404"/>
      <c r="KRC64" s="404"/>
      <c r="KRD64" s="404"/>
      <c r="KRE64" s="404"/>
      <c r="KRF64" s="404"/>
      <c r="KRG64" s="404"/>
      <c r="KRH64" s="404"/>
      <c r="KRI64" s="404"/>
      <c r="KRJ64" s="404"/>
      <c r="KRK64" s="404"/>
      <c r="KRL64" s="404"/>
      <c r="KRM64" s="404"/>
      <c r="KRN64" s="404"/>
      <c r="KRO64" s="404"/>
      <c r="KRP64" s="404"/>
      <c r="KRQ64" s="404"/>
      <c r="KRR64" s="404"/>
      <c r="KRS64" s="404"/>
      <c r="KRT64" s="404"/>
      <c r="KRU64" s="404"/>
      <c r="KRV64" s="404"/>
      <c r="KRW64" s="404"/>
      <c r="KRX64" s="404"/>
      <c r="KRY64" s="404"/>
      <c r="KRZ64" s="404"/>
      <c r="KSA64" s="404"/>
      <c r="KSB64" s="404"/>
      <c r="KSC64" s="404"/>
      <c r="KSD64" s="404"/>
      <c r="KSE64" s="404"/>
      <c r="KSF64" s="404"/>
      <c r="KSG64" s="404"/>
      <c r="KSH64" s="404"/>
      <c r="KSI64" s="404"/>
      <c r="KSJ64" s="404"/>
      <c r="KSK64" s="404"/>
      <c r="KSL64" s="404"/>
      <c r="KSM64" s="404"/>
      <c r="KSN64" s="404"/>
      <c r="KSO64" s="404"/>
      <c r="KSP64" s="404"/>
      <c r="KSQ64" s="404"/>
      <c r="KSR64" s="404"/>
      <c r="KSS64" s="404"/>
      <c r="KST64" s="404"/>
      <c r="KSU64" s="404"/>
      <c r="KSV64" s="404"/>
      <c r="KSW64" s="404"/>
      <c r="KSX64" s="404"/>
      <c r="KSY64" s="404"/>
      <c r="KSZ64" s="404"/>
      <c r="KTA64" s="404"/>
      <c r="KTB64" s="404"/>
      <c r="KTC64" s="404"/>
      <c r="KTD64" s="404"/>
      <c r="KTE64" s="404"/>
      <c r="KTF64" s="404"/>
      <c r="KTG64" s="404"/>
      <c r="KTH64" s="404"/>
      <c r="KTI64" s="404"/>
      <c r="KTJ64" s="404"/>
      <c r="KTK64" s="404"/>
      <c r="KTL64" s="404"/>
      <c r="KTM64" s="404"/>
      <c r="KTN64" s="404"/>
      <c r="KTO64" s="404"/>
      <c r="KTP64" s="404"/>
      <c r="KTQ64" s="404"/>
      <c r="KTR64" s="404"/>
      <c r="KTS64" s="404"/>
      <c r="KTT64" s="404"/>
      <c r="KTU64" s="404"/>
      <c r="KTV64" s="404"/>
      <c r="KTW64" s="404"/>
      <c r="KTX64" s="404"/>
      <c r="KTY64" s="404"/>
      <c r="KTZ64" s="404"/>
      <c r="KUA64" s="404"/>
      <c r="KUB64" s="404"/>
      <c r="KUC64" s="404"/>
      <c r="KUD64" s="404"/>
      <c r="KUE64" s="404"/>
      <c r="KUF64" s="404"/>
      <c r="KUG64" s="404"/>
      <c r="KUH64" s="404"/>
      <c r="KUI64" s="404"/>
      <c r="KUJ64" s="404"/>
      <c r="KUK64" s="404"/>
      <c r="KUL64" s="404"/>
      <c r="KUM64" s="404"/>
      <c r="KUN64" s="404"/>
      <c r="KUO64" s="404"/>
      <c r="KUP64" s="404"/>
      <c r="KUQ64" s="404"/>
      <c r="KUR64" s="404"/>
      <c r="KUS64" s="404"/>
      <c r="KUT64" s="404"/>
      <c r="KUU64" s="404"/>
      <c r="KUV64" s="404"/>
      <c r="KUW64" s="404"/>
      <c r="KUX64" s="404"/>
      <c r="KUY64" s="404"/>
      <c r="KUZ64" s="404"/>
      <c r="KVA64" s="404"/>
      <c r="KVB64" s="404"/>
      <c r="KVC64" s="404"/>
      <c r="KVD64" s="404"/>
      <c r="KVE64" s="404"/>
      <c r="KVF64" s="404"/>
      <c r="KVG64" s="404"/>
      <c r="KVH64" s="404"/>
      <c r="KVI64" s="404"/>
      <c r="KVJ64" s="404"/>
      <c r="KVK64" s="404"/>
      <c r="KVL64" s="404"/>
      <c r="KVM64" s="404"/>
      <c r="KVN64" s="404"/>
      <c r="KVO64" s="404"/>
      <c r="KVP64" s="404"/>
      <c r="KVQ64" s="404"/>
      <c r="KVR64" s="404"/>
      <c r="KVS64" s="404"/>
      <c r="KVT64" s="404"/>
      <c r="KVU64" s="404"/>
      <c r="KVV64" s="404"/>
      <c r="KVW64" s="404"/>
      <c r="KVX64" s="404"/>
      <c r="KVY64" s="404"/>
      <c r="KVZ64" s="404"/>
      <c r="KWA64" s="404"/>
      <c r="KWB64" s="404"/>
      <c r="KWC64" s="404"/>
      <c r="KWD64" s="404"/>
      <c r="KWE64" s="404"/>
      <c r="KWF64" s="404"/>
      <c r="KWG64" s="404"/>
      <c r="KWH64" s="404"/>
      <c r="KWI64" s="404"/>
      <c r="KWJ64" s="404"/>
      <c r="KWK64" s="404"/>
      <c r="KWL64" s="404"/>
      <c r="KWM64" s="404"/>
      <c r="KWN64" s="404"/>
      <c r="KWO64" s="404"/>
      <c r="KWP64" s="404"/>
      <c r="KWQ64" s="404"/>
      <c r="KWR64" s="404"/>
      <c r="KWS64" s="404"/>
      <c r="KWT64" s="404"/>
      <c r="KWU64" s="404"/>
      <c r="KWV64" s="404"/>
      <c r="KWW64" s="404"/>
      <c r="KWX64" s="404"/>
      <c r="KWY64" s="404"/>
      <c r="KWZ64" s="404"/>
      <c r="KXA64" s="404"/>
      <c r="KXB64" s="404"/>
      <c r="KXC64" s="404"/>
      <c r="KXD64" s="404"/>
      <c r="KXE64" s="404"/>
      <c r="KXF64" s="404"/>
      <c r="KXG64" s="404"/>
      <c r="KXH64" s="404"/>
      <c r="KXI64" s="404"/>
      <c r="KXJ64" s="404"/>
      <c r="KXK64" s="404"/>
      <c r="KXL64" s="404"/>
      <c r="KXM64" s="404"/>
      <c r="KXN64" s="404"/>
      <c r="KXO64" s="404"/>
      <c r="KXP64" s="404"/>
      <c r="KXQ64" s="404"/>
      <c r="KXR64" s="404"/>
      <c r="KXS64" s="404"/>
      <c r="KXT64" s="404"/>
      <c r="KXU64" s="404"/>
      <c r="KXV64" s="404"/>
      <c r="KXW64" s="404"/>
      <c r="KXX64" s="404"/>
      <c r="KXY64" s="404"/>
      <c r="KXZ64" s="404"/>
      <c r="KYA64" s="404"/>
      <c r="KYB64" s="404"/>
      <c r="KYC64" s="404"/>
      <c r="KYD64" s="404"/>
      <c r="KYE64" s="404"/>
      <c r="KYF64" s="404"/>
      <c r="KYG64" s="404"/>
      <c r="KYH64" s="404"/>
      <c r="KYI64" s="404"/>
      <c r="KYJ64" s="404"/>
      <c r="KYK64" s="404"/>
      <c r="KYL64" s="404"/>
      <c r="KYM64" s="404"/>
      <c r="KYN64" s="404"/>
      <c r="KYO64" s="404"/>
      <c r="KYP64" s="404"/>
      <c r="KYQ64" s="404"/>
      <c r="KYR64" s="404"/>
      <c r="KYS64" s="404"/>
      <c r="KYT64" s="404"/>
      <c r="KYU64" s="404"/>
      <c r="KYV64" s="404"/>
      <c r="KYW64" s="404"/>
      <c r="KYX64" s="404"/>
      <c r="KYY64" s="404"/>
      <c r="KYZ64" s="404"/>
      <c r="KZA64" s="404"/>
      <c r="KZB64" s="404"/>
      <c r="KZC64" s="404"/>
      <c r="KZD64" s="404"/>
      <c r="KZE64" s="404"/>
      <c r="KZF64" s="404"/>
      <c r="KZG64" s="404"/>
      <c r="KZH64" s="404"/>
      <c r="KZI64" s="404"/>
      <c r="KZJ64" s="404"/>
      <c r="KZK64" s="404"/>
      <c r="KZL64" s="404"/>
      <c r="KZM64" s="404"/>
      <c r="KZN64" s="404"/>
      <c r="KZO64" s="404"/>
      <c r="KZP64" s="404"/>
      <c r="KZQ64" s="404"/>
      <c r="KZR64" s="404"/>
      <c r="KZS64" s="404"/>
      <c r="KZT64" s="404"/>
      <c r="KZU64" s="404"/>
      <c r="KZV64" s="404"/>
      <c r="KZW64" s="404"/>
      <c r="KZX64" s="404"/>
      <c r="KZY64" s="404"/>
      <c r="KZZ64" s="404"/>
      <c r="LAA64" s="404"/>
      <c r="LAB64" s="404"/>
      <c r="LAC64" s="404"/>
      <c r="LAD64" s="404"/>
      <c r="LAE64" s="404"/>
      <c r="LAF64" s="404"/>
      <c r="LAG64" s="404"/>
      <c r="LAH64" s="404"/>
      <c r="LAI64" s="404"/>
      <c r="LAJ64" s="404"/>
      <c r="LAK64" s="404"/>
      <c r="LAL64" s="404"/>
      <c r="LAM64" s="404"/>
      <c r="LAN64" s="404"/>
      <c r="LAO64" s="404"/>
      <c r="LAP64" s="404"/>
      <c r="LAQ64" s="404"/>
      <c r="LAR64" s="404"/>
      <c r="LAS64" s="404"/>
      <c r="LAT64" s="404"/>
      <c r="LAU64" s="404"/>
      <c r="LAV64" s="404"/>
      <c r="LAW64" s="404"/>
      <c r="LAX64" s="404"/>
      <c r="LAY64" s="404"/>
      <c r="LAZ64" s="404"/>
      <c r="LBA64" s="404"/>
      <c r="LBB64" s="404"/>
      <c r="LBC64" s="404"/>
      <c r="LBD64" s="404"/>
      <c r="LBE64" s="404"/>
      <c r="LBF64" s="404"/>
      <c r="LBG64" s="404"/>
      <c r="LBH64" s="404"/>
      <c r="LBI64" s="404"/>
      <c r="LBJ64" s="404"/>
      <c r="LBK64" s="404"/>
      <c r="LBL64" s="404"/>
      <c r="LBM64" s="404"/>
      <c r="LBN64" s="404"/>
      <c r="LBO64" s="404"/>
      <c r="LBP64" s="404"/>
      <c r="LBQ64" s="404"/>
      <c r="LBR64" s="404"/>
      <c r="LBS64" s="404"/>
      <c r="LBT64" s="404"/>
      <c r="LBU64" s="404"/>
      <c r="LBV64" s="404"/>
      <c r="LBW64" s="404"/>
      <c r="LBX64" s="404"/>
      <c r="LBY64" s="404"/>
      <c r="LBZ64" s="404"/>
      <c r="LCA64" s="404"/>
      <c r="LCB64" s="404"/>
      <c r="LCC64" s="404"/>
      <c r="LCD64" s="404"/>
      <c r="LCE64" s="404"/>
      <c r="LCF64" s="404"/>
      <c r="LCG64" s="404"/>
      <c r="LCH64" s="404"/>
      <c r="LCI64" s="404"/>
      <c r="LCJ64" s="404"/>
      <c r="LCK64" s="404"/>
      <c r="LCL64" s="404"/>
      <c r="LCM64" s="404"/>
      <c r="LCN64" s="404"/>
      <c r="LCO64" s="404"/>
      <c r="LCP64" s="404"/>
      <c r="LCQ64" s="404"/>
      <c r="LCR64" s="404"/>
      <c r="LCS64" s="404"/>
      <c r="LCT64" s="404"/>
      <c r="LCU64" s="404"/>
      <c r="LCV64" s="404"/>
      <c r="LCW64" s="404"/>
      <c r="LCX64" s="404"/>
      <c r="LCY64" s="404"/>
      <c r="LCZ64" s="404"/>
      <c r="LDA64" s="404"/>
      <c r="LDB64" s="404"/>
      <c r="LDC64" s="404"/>
      <c r="LDD64" s="404"/>
      <c r="LDE64" s="404"/>
      <c r="LDF64" s="404"/>
      <c r="LDG64" s="404"/>
      <c r="LDH64" s="404"/>
      <c r="LDI64" s="404"/>
      <c r="LDJ64" s="404"/>
      <c r="LDK64" s="404"/>
      <c r="LDL64" s="404"/>
      <c r="LDM64" s="404"/>
      <c r="LDN64" s="404"/>
      <c r="LDO64" s="404"/>
      <c r="LDP64" s="404"/>
      <c r="LDQ64" s="404"/>
      <c r="LDR64" s="404"/>
      <c r="LDS64" s="404"/>
      <c r="LDT64" s="404"/>
      <c r="LDU64" s="404"/>
      <c r="LDV64" s="404"/>
      <c r="LDW64" s="404"/>
      <c r="LDX64" s="404"/>
      <c r="LDY64" s="404"/>
      <c r="LDZ64" s="404"/>
      <c r="LEA64" s="404"/>
      <c r="LEB64" s="404"/>
      <c r="LEC64" s="404"/>
      <c r="LED64" s="404"/>
      <c r="LEE64" s="404"/>
      <c r="LEF64" s="404"/>
      <c r="LEG64" s="404"/>
      <c r="LEH64" s="404"/>
      <c r="LEI64" s="404"/>
      <c r="LEJ64" s="404"/>
      <c r="LEK64" s="404"/>
      <c r="LEL64" s="404"/>
      <c r="LEM64" s="404"/>
      <c r="LEN64" s="404"/>
      <c r="LEO64" s="404"/>
      <c r="LEP64" s="404"/>
      <c r="LEQ64" s="404"/>
      <c r="LER64" s="404"/>
      <c r="LES64" s="404"/>
      <c r="LET64" s="404"/>
      <c r="LEU64" s="404"/>
      <c r="LEV64" s="404"/>
      <c r="LEW64" s="404"/>
      <c r="LEX64" s="404"/>
      <c r="LEY64" s="404"/>
      <c r="LEZ64" s="404"/>
      <c r="LFA64" s="404"/>
      <c r="LFB64" s="404"/>
      <c r="LFC64" s="404"/>
      <c r="LFD64" s="404"/>
      <c r="LFE64" s="404"/>
      <c r="LFF64" s="404"/>
      <c r="LFG64" s="404"/>
      <c r="LFH64" s="404"/>
      <c r="LFI64" s="404"/>
      <c r="LFJ64" s="404"/>
      <c r="LFK64" s="404"/>
      <c r="LFL64" s="404"/>
      <c r="LFM64" s="404"/>
      <c r="LFN64" s="404"/>
      <c r="LFO64" s="404"/>
      <c r="LFP64" s="404"/>
      <c r="LFQ64" s="404"/>
      <c r="LFR64" s="404"/>
      <c r="LFS64" s="404"/>
      <c r="LFT64" s="404"/>
      <c r="LFU64" s="404"/>
      <c r="LFV64" s="404"/>
      <c r="LFW64" s="404"/>
      <c r="LFX64" s="404"/>
      <c r="LFY64" s="404"/>
      <c r="LFZ64" s="404"/>
      <c r="LGA64" s="404"/>
      <c r="LGB64" s="404"/>
      <c r="LGC64" s="404"/>
      <c r="LGD64" s="404"/>
      <c r="LGE64" s="404"/>
      <c r="LGF64" s="404"/>
      <c r="LGG64" s="404"/>
      <c r="LGH64" s="404"/>
      <c r="LGI64" s="404"/>
      <c r="LGJ64" s="404"/>
      <c r="LGK64" s="404"/>
      <c r="LGL64" s="404"/>
      <c r="LGM64" s="404"/>
      <c r="LGN64" s="404"/>
      <c r="LGO64" s="404"/>
      <c r="LGP64" s="404"/>
      <c r="LGQ64" s="404"/>
      <c r="LGR64" s="404"/>
      <c r="LGS64" s="404"/>
      <c r="LGT64" s="404"/>
      <c r="LGU64" s="404"/>
      <c r="LGV64" s="404"/>
      <c r="LGW64" s="404"/>
      <c r="LGX64" s="404"/>
      <c r="LGY64" s="404"/>
      <c r="LGZ64" s="404"/>
      <c r="LHA64" s="404"/>
      <c r="LHB64" s="404"/>
      <c r="LHC64" s="404"/>
      <c r="LHD64" s="404"/>
      <c r="LHE64" s="404"/>
      <c r="LHF64" s="404"/>
      <c r="LHG64" s="404"/>
      <c r="LHH64" s="404"/>
      <c r="LHI64" s="404"/>
      <c r="LHJ64" s="404"/>
      <c r="LHK64" s="404"/>
      <c r="LHL64" s="404"/>
      <c r="LHM64" s="404"/>
      <c r="LHN64" s="404"/>
      <c r="LHO64" s="404"/>
      <c r="LHP64" s="404"/>
      <c r="LHQ64" s="404"/>
      <c r="LHR64" s="404"/>
      <c r="LHS64" s="404"/>
      <c r="LHT64" s="404"/>
      <c r="LHU64" s="404"/>
      <c r="LHV64" s="404"/>
      <c r="LHW64" s="404"/>
      <c r="LHX64" s="404"/>
      <c r="LHY64" s="404"/>
      <c r="LHZ64" s="404"/>
      <c r="LIA64" s="404"/>
      <c r="LIB64" s="404"/>
      <c r="LIC64" s="404"/>
      <c r="LID64" s="404"/>
      <c r="LIE64" s="404"/>
      <c r="LIF64" s="404"/>
      <c r="LIG64" s="404"/>
      <c r="LIH64" s="404"/>
      <c r="LII64" s="404"/>
      <c r="LIJ64" s="404"/>
      <c r="LIK64" s="404"/>
      <c r="LIL64" s="404"/>
      <c r="LIM64" s="404"/>
      <c r="LIN64" s="404"/>
      <c r="LIO64" s="404"/>
      <c r="LIP64" s="404"/>
      <c r="LIQ64" s="404"/>
      <c r="LIR64" s="404"/>
      <c r="LIS64" s="404"/>
      <c r="LIT64" s="404"/>
      <c r="LIU64" s="404"/>
      <c r="LIV64" s="404"/>
      <c r="LIW64" s="404"/>
      <c r="LIX64" s="404"/>
      <c r="LIY64" s="404"/>
      <c r="LIZ64" s="404"/>
      <c r="LJA64" s="404"/>
      <c r="LJB64" s="404"/>
      <c r="LJC64" s="404"/>
      <c r="LJD64" s="404"/>
      <c r="LJE64" s="404"/>
      <c r="LJF64" s="404"/>
      <c r="LJG64" s="404"/>
      <c r="LJH64" s="404"/>
      <c r="LJI64" s="404"/>
      <c r="LJJ64" s="404"/>
      <c r="LJK64" s="404"/>
      <c r="LJL64" s="404"/>
      <c r="LJM64" s="404"/>
      <c r="LJN64" s="404"/>
      <c r="LJO64" s="404"/>
      <c r="LJP64" s="404"/>
      <c r="LJQ64" s="404"/>
      <c r="LJR64" s="404"/>
      <c r="LJS64" s="404"/>
      <c r="LJT64" s="404"/>
      <c r="LJU64" s="404"/>
      <c r="LJV64" s="404"/>
      <c r="LJW64" s="404"/>
      <c r="LJX64" s="404"/>
      <c r="LJY64" s="404"/>
      <c r="LJZ64" s="404"/>
      <c r="LKA64" s="404"/>
      <c r="LKB64" s="404"/>
      <c r="LKC64" s="404"/>
      <c r="LKD64" s="404"/>
      <c r="LKE64" s="404"/>
      <c r="LKF64" s="404"/>
      <c r="LKG64" s="404"/>
      <c r="LKH64" s="404"/>
      <c r="LKI64" s="404"/>
      <c r="LKJ64" s="404"/>
      <c r="LKK64" s="404"/>
      <c r="LKL64" s="404"/>
      <c r="LKM64" s="404"/>
      <c r="LKN64" s="404"/>
      <c r="LKO64" s="404"/>
      <c r="LKP64" s="404"/>
      <c r="LKQ64" s="404"/>
      <c r="LKR64" s="404"/>
      <c r="LKS64" s="404"/>
      <c r="LKT64" s="404"/>
      <c r="LKU64" s="404"/>
      <c r="LKV64" s="404"/>
      <c r="LKW64" s="404"/>
      <c r="LKX64" s="404"/>
      <c r="LKY64" s="404"/>
      <c r="LKZ64" s="404"/>
      <c r="LLA64" s="404"/>
      <c r="LLB64" s="404"/>
      <c r="LLC64" s="404"/>
      <c r="LLD64" s="404"/>
      <c r="LLE64" s="404"/>
      <c r="LLF64" s="404"/>
      <c r="LLG64" s="404"/>
      <c r="LLH64" s="404"/>
      <c r="LLI64" s="404"/>
      <c r="LLJ64" s="404"/>
      <c r="LLK64" s="404"/>
      <c r="LLL64" s="404"/>
      <c r="LLM64" s="404"/>
      <c r="LLN64" s="404"/>
      <c r="LLO64" s="404"/>
      <c r="LLP64" s="404"/>
      <c r="LLQ64" s="404"/>
      <c r="LLR64" s="404"/>
      <c r="LLS64" s="404"/>
      <c r="LLT64" s="404"/>
      <c r="LLU64" s="404"/>
      <c r="LLV64" s="404"/>
      <c r="LLW64" s="404"/>
      <c r="LLX64" s="404"/>
      <c r="LLY64" s="404"/>
      <c r="LLZ64" s="404"/>
      <c r="LMA64" s="404"/>
      <c r="LMB64" s="404"/>
      <c r="LMC64" s="404"/>
      <c r="LMD64" s="404"/>
      <c r="LME64" s="404"/>
      <c r="LMF64" s="404"/>
      <c r="LMG64" s="404"/>
      <c r="LMH64" s="404"/>
      <c r="LMI64" s="404"/>
      <c r="LMJ64" s="404"/>
      <c r="LMK64" s="404"/>
      <c r="LML64" s="404"/>
      <c r="LMM64" s="404"/>
      <c r="LMN64" s="404"/>
      <c r="LMO64" s="404"/>
      <c r="LMP64" s="404"/>
      <c r="LMQ64" s="404"/>
      <c r="LMR64" s="404"/>
      <c r="LMS64" s="404"/>
      <c r="LMT64" s="404"/>
      <c r="LMU64" s="404"/>
      <c r="LMV64" s="404"/>
      <c r="LMW64" s="404"/>
      <c r="LMX64" s="404"/>
      <c r="LMY64" s="404"/>
      <c r="LMZ64" s="404"/>
      <c r="LNA64" s="404"/>
      <c r="LNB64" s="404"/>
      <c r="LNC64" s="404"/>
      <c r="LND64" s="404"/>
      <c r="LNE64" s="404"/>
      <c r="LNF64" s="404"/>
      <c r="LNG64" s="404"/>
      <c r="LNH64" s="404"/>
      <c r="LNI64" s="404"/>
      <c r="LNJ64" s="404"/>
      <c r="LNK64" s="404"/>
      <c r="LNL64" s="404"/>
      <c r="LNM64" s="404"/>
      <c r="LNN64" s="404"/>
      <c r="LNO64" s="404"/>
      <c r="LNP64" s="404"/>
      <c r="LNQ64" s="404"/>
      <c r="LNR64" s="404"/>
      <c r="LNS64" s="404"/>
      <c r="LNT64" s="404"/>
      <c r="LNU64" s="404"/>
      <c r="LNV64" s="404"/>
      <c r="LNW64" s="404"/>
      <c r="LNX64" s="404"/>
      <c r="LNY64" s="404"/>
      <c r="LNZ64" s="404"/>
      <c r="LOA64" s="404"/>
      <c r="LOB64" s="404"/>
      <c r="LOC64" s="404"/>
      <c r="LOD64" s="404"/>
      <c r="LOE64" s="404"/>
      <c r="LOF64" s="404"/>
      <c r="LOG64" s="404"/>
      <c r="LOH64" s="404"/>
      <c r="LOI64" s="404"/>
      <c r="LOJ64" s="404"/>
      <c r="LOK64" s="404"/>
      <c r="LOL64" s="404"/>
      <c r="LOM64" s="404"/>
      <c r="LON64" s="404"/>
      <c r="LOO64" s="404"/>
      <c r="LOP64" s="404"/>
      <c r="LOQ64" s="404"/>
      <c r="LOR64" s="404"/>
      <c r="LOS64" s="404"/>
      <c r="LOT64" s="404"/>
      <c r="LOU64" s="404"/>
      <c r="LOV64" s="404"/>
      <c r="LOW64" s="404"/>
      <c r="LOX64" s="404"/>
      <c r="LOY64" s="404"/>
      <c r="LOZ64" s="404"/>
      <c r="LPA64" s="404"/>
      <c r="LPB64" s="404"/>
      <c r="LPC64" s="404"/>
      <c r="LPD64" s="404"/>
      <c r="LPE64" s="404"/>
      <c r="LPF64" s="404"/>
      <c r="LPG64" s="404"/>
      <c r="LPH64" s="404"/>
      <c r="LPI64" s="404"/>
      <c r="LPJ64" s="404"/>
      <c r="LPK64" s="404"/>
      <c r="LPL64" s="404"/>
      <c r="LPM64" s="404"/>
      <c r="LPN64" s="404"/>
      <c r="LPO64" s="404"/>
      <c r="LPP64" s="404"/>
      <c r="LPQ64" s="404"/>
      <c r="LPR64" s="404"/>
      <c r="LPS64" s="404"/>
      <c r="LPT64" s="404"/>
      <c r="LPU64" s="404"/>
      <c r="LPV64" s="404"/>
      <c r="LPW64" s="404"/>
      <c r="LPX64" s="404"/>
      <c r="LPY64" s="404"/>
      <c r="LPZ64" s="404"/>
      <c r="LQA64" s="404"/>
      <c r="LQB64" s="404"/>
      <c r="LQC64" s="404"/>
      <c r="LQD64" s="404"/>
      <c r="LQE64" s="404"/>
      <c r="LQF64" s="404"/>
      <c r="LQG64" s="404"/>
      <c r="LQH64" s="404"/>
      <c r="LQI64" s="404"/>
      <c r="LQJ64" s="404"/>
      <c r="LQK64" s="404"/>
      <c r="LQL64" s="404"/>
      <c r="LQM64" s="404"/>
      <c r="LQN64" s="404"/>
      <c r="LQO64" s="404"/>
      <c r="LQP64" s="404"/>
      <c r="LQQ64" s="404"/>
      <c r="LQR64" s="404"/>
      <c r="LQS64" s="404"/>
      <c r="LQT64" s="404"/>
      <c r="LQU64" s="404"/>
      <c r="LQV64" s="404"/>
      <c r="LQW64" s="404"/>
      <c r="LQX64" s="404"/>
      <c r="LQY64" s="404"/>
      <c r="LQZ64" s="404"/>
      <c r="LRA64" s="404"/>
      <c r="LRB64" s="404"/>
      <c r="LRC64" s="404"/>
      <c r="LRD64" s="404"/>
      <c r="LRE64" s="404"/>
      <c r="LRF64" s="404"/>
      <c r="LRG64" s="404"/>
      <c r="LRH64" s="404"/>
      <c r="LRI64" s="404"/>
      <c r="LRJ64" s="404"/>
      <c r="LRK64" s="404"/>
      <c r="LRL64" s="404"/>
      <c r="LRM64" s="404"/>
      <c r="LRN64" s="404"/>
      <c r="LRO64" s="404"/>
      <c r="LRP64" s="404"/>
      <c r="LRQ64" s="404"/>
      <c r="LRR64" s="404"/>
      <c r="LRS64" s="404"/>
      <c r="LRT64" s="404"/>
      <c r="LRU64" s="404"/>
      <c r="LRV64" s="404"/>
      <c r="LRW64" s="404"/>
      <c r="LRX64" s="404"/>
      <c r="LRY64" s="404"/>
      <c r="LRZ64" s="404"/>
      <c r="LSA64" s="404"/>
      <c r="LSB64" s="404"/>
      <c r="LSC64" s="404"/>
      <c r="LSD64" s="404"/>
      <c r="LSE64" s="404"/>
      <c r="LSF64" s="404"/>
      <c r="LSG64" s="404"/>
      <c r="LSH64" s="404"/>
      <c r="LSI64" s="404"/>
      <c r="LSJ64" s="404"/>
      <c r="LSK64" s="404"/>
      <c r="LSL64" s="404"/>
      <c r="LSM64" s="404"/>
      <c r="LSN64" s="404"/>
      <c r="LSO64" s="404"/>
      <c r="LSP64" s="404"/>
      <c r="LSQ64" s="404"/>
      <c r="LSR64" s="404"/>
      <c r="LSS64" s="404"/>
      <c r="LST64" s="404"/>
      <c r="LSU64" s="404"/>
      <c r="LSV64" s="404"/>
      <c r="LSW64" s="404"/>
      <c r="LSX64" s="404"/>
      <c r="LSY64" s="404"/>
      <c r="LSZ64" s="404"/>
      <c r="LTA64" s="404"/>
      <c r="LTB64" s="404"/>
      <c r="LTC64" s="404"/>
      <c r="LTD64" s="404"/>
      <c r="LTE64" s="404"/>
      <c r="LTF64" s="404"/>
      <c r="LTG64" s="404"/>
      <c r="LTH64" s="404"/>
      <c r="LTI64" s="404"/>
      <c r="LTJ64" s="404"/>
      <c r="LTK64" s="404"/>
      <c r="LTL64" s="404"/>
      <c r="LTM64" s="404"/>
      <c r="LTN64" s="404"/>
      <c r="LTO64" s="404"/>
      <c r="LTP64" s="404"/>
      <c r="LTQ64" s="404"/>
      <c r="LTR64" s="404"/>
      <c r="LTS64" s="404"/>
      <c r="LTT64" s="404"/>
      <c r="LTU64" s="404"/>
      <c r="LTV64" s="404"/>
      <c r="LTW64" s="404"/>
      <c r="LTX64" s="404"/>
      <c r="LTY64" s="404"/>
      <c r="LTZ64" s="404"/>
      <c r="LUA64" s="404"/>
      <c r="LUB64" s="404"/>
      <c r="LUC64" s="404"/>
      <c r="LUD64" s="404"/>
      <c r="LUE64" s="404"/>
      <c r="LUF64" s="404"/>
      <c r="LUG64" s="404"/>
      <c r="LUH64" s="404"/>
      <c r="LUI64" s="404"/>
      <c r="LUJ64" s="404"/>
      <c r="LUK64" s="404"/>
      <c r="LUL64" s="404"/>
      <c r="LUM64" s="404"/>
      <c r="LUN64" s="404"/>
      <c r="LUO64" s="404"/>
      <c r="LUP64" s="404"/>
      <c r="LUQ64" s="404"/>
      <c r="LUR64" s="404"/>
      <c r="LUS64" s="404"/>
      <c r="LUT64" s="404"/>
      <c r="LUU64" s="404"/>
      <c r="LUV64" s="404"/>
      <c r="LUW64" s="404"/>
      <c r="LUX64" s="404"/>
      <c r="LUY64" s="404"/>
      <c r="LUZ64" s="404"/>
      <c r="LVA64" s="404"/>
      <c r="LVB64" s="404"/>
      <c r="LVC64" s="404"/>
      <c r="LVD64" s="404"/>
      <c r="LVE64" s="404"/>
      <c r="LVF64" s="404"/>
      <c r="LVG64" s="404"/>
      <c r="LVH64" s="404"/>
      <c r="LVI64" s="404"/>
      <c r="LVJ64" s="404"/>
      <c r="LVK64" s="404"/>
      <c r="LVL64" s="404"/>
      <c r="LVM64" s="404"/>
      <c r="LVN64" s="404"/>
      <c r="LVO64" s="404"/>
      <c r="LVP64" s="404"/>
      <c r="LVQ64" s="404"/>
      <c r="LVR64" s="404"/>
      <c r="LVS64" s="404"/>
      <c r="LVT64" s="404"/>
      <c r="LVU64" s="404"/>
      <c r="LVV64" s="404"/>
      <c r="LVW64" s="404"/>
      <c r="LVX64" s="404"/>
      <c r="LVY64" s="404"/>
      <c r="LVZ64" s="404"/>
      <c r="LWA64" s="404"/>
      <c r="LWB64" s="404"/>
      <c r="LWC64" s="404"/>
      <c r="LWD64" s="404"/>
      <c r="LWE64" s="404"/>
      <c r="LWF64" s="404"/>
      <c r="LWG64" s="404"/>
      <c r="LWH64" s="404"/>
      <c r="LWI64" s="404"/>
      <c r="LWJ64" s="404"/>
      <c r="LWK64" s="404"/>
      <c r="LWL64" s="404"/>
      <c r="LWM64" s="404"/>
      <c r="LWN64" s="404"/>
      <c r="LWO64" s="404"/>
      <c r="LWP64" s="404"/>
      <c r="LWQ64" s="404"/>
      <c r="LWR64" s="404"/>
      <c r="LWS64" s="404"/>
      <c r="LWT64" s="404"/>
      <c r="LWU64" s="404"/>
      <c r="LWV64" s="404"/>
      <c r="LWW64" s="404"/>
      <c r="LWX64" s="404"/>
      <c r="LWY64" s="404"/>
      <c r="LWZ64" s="404"/>
      <c r="LXA64" s="404"/>
      <c r="LXB64" s="404"/>
      <c r="LXC64" s="404"/>
      <c r="LXD64" s="404"/>
      <c r="LXE64" s="404"/>
      <c r="LXF64" s="404"/>
      <c r="LXG64" s="404"/>
      <c r="LXH64" s="404"/>
      <c r="LXI64" s="404"/>
      <c r="LXJ64" s="404"/>
      <c r="LXK64" s="404"/>
      <c r="LXL64" s="404"/>
      <c r="LXM64" s="404"/>
      <c r="LXN64" s="404"/>
      <c r="LXO64" s="404"/>
      <c r="LXP64" s="404"/>
      <c r="LXQ64" s="404"/>
      <c r="LXR64" s="404"/>
      <c r="LXS64" s="404"/>
      <c r="LXT64" s="404"/>
      <c r="LXU64" s="404"/>
      <c r="LXV64" s="404"/>
      <c r="LXW64" s="404"/>
      <c r="LXX64" s="404"/>
      <c r="LXY64" s="404"/>
      <c r="LXZ64" s="404"/>
      <c r="LYA64" s="404"/>
      <c r="LYB64" s="404"/>
      <c r="LYC64" s="404"/>
      <c r="LYD64" s="404"/>
      <c r="LYE64" s="404"/>
      <c r="LYF64" s="404"/>
      <c r="LYG64" s="404"/>
      <c r="LYH64" s="404"/>
      <c r="LYI64" s="404"/>
      <c r="LYJ64" s="404"/>
      <c r="LYK64" s="404"/>
      <c r="LYL64" s="404"/>
      <c r="LYM64" s="404"/>
      <c r="LYN64" s="404"/>
      <c r="LYO64" s="404"/>
      <c r="LYP64" s="404"/>
      <c r="LYQ64" s="404"/>
      <c r="LYR64" s="404"/>
      <c r="LYS64" s="404"/>
      <c r="LYT64" s="404"/>
      <c r="LYU64" s="404"/>
      <c r="LYV64" s="404"/>
      <c r="LYW64" s="404"/>
      <c r="LYX64" s="404"/>
      <c r="LYY64" s="404"/>
      <c r="LYZ64" s="404"/>
      <c r="LZA64" s="404"/>
      <c r="LZB64" s="404"/>
      <c r="LZC64" s="404"/>
      <c r="LZD64" s="404"/>
      <c r="LZE64" s="404"/>
      <c r="LZF64" s="404"/>
      <c r="LZG64" s="404"/>
      <c r="LZH64" s="404"/>
      <c r="LZI64" s="404"/>
      <c r="LZJ64" s="404"/>
      <c r="LZK64" s="404"/>
      <c r="LZL64" s="404"/>
      <c r="LZM64" s="404"/>
      <c r="LZN64" s="404"/>
      <c r="LZO64" s="404"/>
      <c r="LZP64" s="404"/>
      <c r="LZQ64" s="404"/>
      <c r="LZR64" s="404"/>
      <c r="LZS64" s="404"/>
      <c r="LZT64" s="404"/>
      <c r="LZU64" s="404"/>
      <c r="LZV64" s="404"/>
      <c r="LZW64" s="404"/>
      <c r="LZX64" s="404"/>
      <c r="LZY64" s="404"/>
      <c r="LZZ64" s="404"/>
      <c r="MAA64" s="404"/>
      <c r="MAB64" s="404"/>
      <c r="MAC64" s="404"/>
      <c r="MAD64" s="404"/>
      <c r="MAE64" s="404"/>
      <c r="MAF64" s="404"/>
      <c r="MAG64" s="404"/>
      <c r="MAH64" s="404"/>
      <c r="MAI64" s="404"/>
      <c r="MAJ64" s="404"/>
      <c r="MAK64" s="404"/>
      <c r="MAL64" s="404"/>
      <c r="MAM64" s="404"/>
      <c r="MAN64" s="404"/>
      <c r="MAO64" s="404"/>
      <c r="MAP64" s="404"/>
      <c r="MAQ64" s="404"/>
      <c r="MAR64" s="404"/>
      <c r="MAS64" s="404"/>
      <c r="MAT64" s="404"/>
      <c r="MAU64" s="404"/>
      <c r="MAV64" s="404"/>
      <c r="MAW64" s="404"/>
      <c r="MAX64" s="404"/>
      <c r="MAY64" s="404"/>
      <c r="MAZ64" s="404"/>
      <c r="MBA64" s="404"/>
      <c r="MBB64" s="404"/>
      <c r="MBC64" s="404"/>
      <c r="MBD64" s="404"/>
      <c r="MBE64" s="404"/>
      <c r="MBF64" s="404"/>
      <c r="MBG64" s="404"/>
      <c r="MBH64" s="404"/>
      <c r="MBI64" s="404"/>
      <c r="MBJ64" s="404"/>
      <c r="MBK64" s="404"/>
      <c r="MBL64" s="404"/>
      <c r="MBM64" s="404"/>
      <c r="MBN64" s="404"/>
      <c r="MBO64" s="404"/>
      <c r="MBP64" s="404"/>
      <c r="MBQ64" s="404"/>
      <c r="MBR64" s="404"/>
      <c r="MBS64" s="404"/>
      <c r="MBT64" s="404"/>
      <c r="MBU64" s="404"/>
      <c r="MBV64" s="404"/>
      <c r="MBW64" s="404"/>
      <c r="MBX64" s="404"/>
      <c r="MBY64" s="404"/>
      <c r="MBZ64" s="404"/>
      <c r="MCA64" s="404"/>
      <c r="MCB64" s="404"/>
      <c r="MCC64" s="404"/>
      <c r="MCD64" s="404"/>
      <c r="MCE64" s="404"/>
      <c r="MCF64" s="404"/>
      <c r="MCG64" s="404"/>
      <c r="MCH64" s="404"/>
      <c r="MCI64" s="404"/>
      <c r="MCJ64" s="404"/>
      <c r="MCK64" s="404"/>
      <c r="MCL64" s="404"/>
      <c r="MCM64" s="404"/>
      <c r="MCN64" s="404"/>
      <c r="MCO64" s="404"/>
      <c r="MCP64" s="404"/>
      <c r="MCQ64" s="404"/>
      <c r="MCR64" s="404"/>
      <c r="MCS64" s="404"/>
      <c r="MCT64" s="404"/>
      <c r="MCU64" s="404"/>
      <c r="MCV64" s="404"/>
      <c r="MCW64" s="404"/>
      <c r="MCX64" s="404"/>
      <c r="MCY64" s="404"/>
      <c r="MCZ64" s="404"/>
      <c r="MDA64" s="404"/>
      <c r="MDB64" s="404"/>
      <c r="MDC64" s="404"/>
      <c r="MDD64" s="404"/>
      <c r="MDE64" s="404"/>
      <c r="MDF64" s="404"/>
      <c r="MDG64" s="404"/>
      <c r="MDH64" s="404"/>
      <c r="MDI64" s="404"/>
      <c r="MDJ64" s="404"/>
      <c r="MDK64" s="404"/>
      <c r="MDL64" s="404"/>
      <c r="MDM64" s="404"/>
      <c r="MDN64" s="404"/>
      <c r="MDO64" s="404"/>
      <c r="MDP64" s="404"/>
      <c r="MDQ64" s="404"/>
      <c r="MDR64" s="404"/>
      <c r="MDS64" s="404"/>
      <c r="MDT64" s="404"/>
      <c r="MDU64" s="404"/>
      <c r="MDV64" s="404"/>
      <c r="MDW64" s="404"/>
      <c r="MDX64" s="404"/>
      <c r="MDY64" s="404"/>
      <c r="MDZ64" s="404"/>
      <c r="MEA64" s="404"/>
      <c r="MEB64" s="404"/>
      <c r="MEC64" s="404"/>
      <c r="MED64" s="404"/>
      <c r="MEE64" s="404"/>
      <c r="MEF64" s="404"/>
      <c r="MEG64" s="404"/>
      <c r="MEH64" s="404"/>
      <c r="MEI64" s="404"/>
      <c r="MEJ64" s="404"/>
      <c r="MEK64" s="404"/>
      <c r="MEL64" s="404"/>
      <c r="MEM64" s="404"/>
      <c r="MEN64" s="404"/>
      <c r="MEO64" s="404"/>
      <c r="MEP64" s="404"/>
      <c r="MEQ64" s="404"/>
      <c r="MER64" s="404"/>
      <c r="MES64" s="404"/>
      <c r="MET64" s="404"/>
      <c r="MEU64" s="404"/>
      <c r="MEV64" s="404"/>
      <c r="MEW64" s="404"/>
      <c r="MEX64" s="404"/>
      <c r="MEY64" s="404"/>
      <c r="MEZ64" s="404"/>
      <c r="MFA64" s="404"/>
      <c r="MFB64" s="404"/>
      <c r="MFC64" s="404"/>
      <c r="MFD64" s="404"/>
      <c r="MFE64" s="404"/>
      <c r="MFF64" s="404"/>
      <c r="MFG64" s="404"/>
      <c r="MFH64" s="404"/>
      <c r="MFI64" s="404"/>
      <c r="MFJ64" s="404"/>
      <c r="MFK64" s="404"/>
      <c r="MFL64" s="404"/>
      <c r="MFM64" s="404"/>
      <c r="MFN64" s="404"/>
      <c r="MFO64" s="404"/>
      <c r="MFP64" s="404"/>
      <c r="MFQ64" s="404"/>
      <c r="MFR64" s="404"/>
      <c r="MFS64" s="404"/>
      <c r="MFT64" s="404"/>
      <c r="MFU64" s="404"/>
      <c r="MFV64" s="404"/>
      <c r="MFW64" s="404"/>
      <c r="MFX64" s="404"/>
      <c r="MFY64" s="404"/>
      <c r="MFZ64" s="404"/>
      <c r="MGA64" s="404"/>
      <c r="MGB64" s="404"/>
      <c r="MGC64" s="404"/>
      <c r="MGD64" s="404"/>
      <c r="MGE64" s="404"/>
      <c r="MGF64" s="404"/>
      <c r="MGG64" s="404"/>
      <c r="MGH64" s="404"/>
      <c r="MGI64" s="404"/>
      <c r="MGJ64" s="404"/>
      <c r="MGK64" s="404"/>
      <c r="MGL64" s="404"/>
      <c r="MGM64" s="404"/>
      <c r="MGN64" s="404"/>
      <c r="MGO64" s="404"/>
      <c r="MGP64" s="404"/>
      <c r="MGQ64" s="404"/>
      <c r="MGR64" s="404"/>
      <c r="MGS64" s="404"/>
      <c r="MGT64" s="404"/>
      <c r="MGU64" s="404"/>
      <c r="MGV64" s="404"/>
      <c r="MGW64" s="404"/>
      <c r="MGX64" s="404"/>
      <c r="MGY64" s="404"/>
      <c r="MGZ64" s="404"/>
      <c r="MHA64" s="404"/>
      <c r="MHB64" s="404"/>
      <c r="MHC64" s="404"/>
      <c r="MHD64" s="404"/>
      <c r="MHE64" s="404"/>
      <c r="MHF64" s="404"/>
      <c r="MHG64" s="404"/>
      <c r="MHH64" s="404"/>
      <c r="MHI64" s="404"/>
      <c r="MHJ64" s="404"/>
      <c r="MHK64" s="404"/>
      <c r="MHL64" s="404"/>
      <c r="MHM64" s="404"/>
      <c r="MHN64" s="404"/>
      <c r="MHO64" s="404"/>
      <c r="MHP64" s="404"/>
      <c r="MHQ64" s="404"/>
      <c r="MHR64" s="404"/>
      <c r="MHS64" s="404"/>
      <c r="MHT64" s="404"/>
      <c r="MHU64" s="404"/>
      <c r="MHV64" s="404"/>
      <c r="MHW64" s="404"/>
      <c r="MHX64" s="404"/>
      <c r="MHY64" s="404"/>
      <c r="MHZ64" s="404"/>
      <c r="MIA64" s="404"/>
      <c r="MIB64" s="404"/>
      <c r="MIC64" s="404"/>
      <c r="MID64" s="404"/>
      <c r="MIE64" s="404"/>
      <c r="MIF64" s="404"/>
      <c r="MIG64" s="404"/>
      <c r="MIH64" s="404"/>
      <c r="MII64" s="404"/>
      <c r="MIJ64" s="404"/>
      <c r="MIK64" s="404"/>
      <c r="MIL64" s="404"/>
      <c r="MIM64" s="404"/>
      <c r="MIN64" s="404"/>
      <c r="MIO64" s="404"/>
      <c r="MIP64" s="404"/>
      <c r="MIQ64" s="404"/>
      <c r="MIR64" s="404"/>
      <c r="MIS64" s="404"/>
      <c r="MIT64" s="404"/>
      <c r="MIU64" s="404"/>
      <c r="MIV64" s="404"/>
      <c r="MIW64" s="404"/>
      <c r="MIX64" s="404"/>
      <c r="MIY64" s="404"/>
      <c r="MIZ64" s="404"/>
      <c r="MJA64" s="404"/>
      <c r="MJB64" s="404"/>
      <c r="MJC64" s="404"/>
      <c r="MJD64" s="404"/>
      <c r="MJE64" s="404"/>
      <c r="MJF64" s="404"/>
      <c r="MJG64" s="404"/>
      <c r="MJH64" s="404"/>
      <c r="MJI64" s="404"/>
      <c r="MJJ64" s="404"/>
      <c r="MJK64" s="404"/>
      <c r="MJL64" s="404"/>
      <c r="MJM64" s="404"/>
      <c r="MJN64" s="404"/>
      <c r="MJO64" s="404"/>
      <c r="MJP64" s="404"/>
      <c r="MJQ64" s="404"/>
      <c r="MJR64" s="404"/>
      <c r="MJS64" s="404"/>
      <c r="MJT64" s="404"/>
      <c r="MJU64" s="404"/>
      <c r="MJV64" s="404"/>
      <c r="MJW64" s="404"/>
      <c r="MJX64" s="404"/>
      <c r="MJY64" s="404"/>
      <c r="MJZ64" s="404"/>
      <c r="MKA64" s="404"/>
      <c r="MKB64" s="404"/>
      <c r="MKC64" s="404"/>
      <c r="MKD64" s="404"/>
      <c r="MKE64" s="404"/>
      <c r="MKF64" s="404"/>
      <c r="MKG64" s="404"/>
      <c r="MKH64" s="404"/>
      <c r="MKI64" s="404"/>
      <c r="MKJ64" s="404"/>
      <c r="MKK64" s="404"/>
      <c r="MKL64" s="404"/>
      <c r="MKM64" s="404"/>
      <c r="MKN64" s="404"/>
      <c r="MKO64" s="404"/>
      <c r="MKP64" s="404"/>
      <c r="MKQ64" s="404"/>
      <c r="MKR64" s="404"/>
      <c r="MKS64" s="404"/>
      <c r="MKT64" s="404"/>
      <c r="MKU64" s="404"/>
      <c r="MKV64" s="404"/>
      <c r="MKW64" s="404"/>
      <c r="MKX64" s="404"/>
      <c r="MKY64" s="404"/>
      <c r="MKZ64" s="404"/>
      <c r="MLA64" s="404"/>
      <c r="MLB64" s="404"/>
      <c r="MLC64" s="404"/>
      <c r="MLD64" s="404"/>
      <c r="MLE64" s="404"/>
      <c r="MLF64" s="404"/>
      <c r="MLG64" s="404"/>
      <c r="MLH64" s="404"/>
      <c r="MLI64" s="404"/>
      <c r="MLJ64" s="404"/>
      <c r="MLK64" s="404"/>
      <c r="MLL64" s="404"/>
      <c r="MLM64" s="404"/>
      <c r="MLN64" s="404"/>
      <c r="MLO64" s="404"/>
      <c r="MLP64" s="404"/>
      <c r="MLQ64" s="404"/>
      <c r="MLR64" s="404"/>
      <c r="MLS64" s="404"/>
      <c r="MLT64" s="404"/>
      <c r="MLU64" s="404"/>
      <c r="MLV64" s="404"/>
      <c r="MLW64" s="404"/>
      <c r="MLX64" s="404"/>
      <c r="MLY64" s="404"/>
      <c r="MLZ64" s="404"/>
      <c r="MMA64" s="404"/>
      <c r="MMB64" s="404"/>
      <c r="MMC64" s="404"/>
      <c r="MMD64" s="404"/>
      <c r="MME64" s="404"/>
      <c r="MMF64" s="404"/>
      <c r="MMG64" s="404"/>
      <c r="MMH64" s="404"/>
      <c r="MMI64" s="404"/>
      <c r="MMJ64" s="404"/>
      <c r="MMK64" s="404"/>
      <c r="MML64" s="404"/>
      <c r="MMM64" s="404"/>
      <c r="MMN64" s="404"/>
      <c r="MMO64" s="404"/>
      <c r="MMP64" s="404"/>
      <c r="MMQ64" s="404"/>
      <c r="MMR64" s="404"/>
      <c r="MMS64" s="404"/>
      <c r="MMT64" s="404"/>
      <c r="MMU64" s="404"/>
      <c r="MMV64" s="404"/>
      <c r="MMW64" s="404"/>
      <c r="MMX64" s="404"/>
      <c r="MMY64" s="404"/>
      <c r="MMZ64" s="404"/>
      <c r="MNA64" s="404"/>
      <c r="MNB64" s="404"/>
      <c r="MNC64" s="404"/>
      <c r="MND64" s="404"/>
      <c r="MNE64" s="404"/>
      <c r="MNF64" s="404"/>
      <c r="MNG64" s="404"/>
      <c r="MNH64" s="404"/>
      <c r="MNI64" s="404"/>
      <c r="MNJ64" s="404"/>
      <c r="MNK64" s="404"/>
      <c r="MNL64" s="404"/>
      <c r="MNM64" s="404"/>
      <c r="MNN64" s="404"/>
      <c r="MNO64" s="404"/>
      <c r="MNP64" s="404"/>
      <c r="MNQ64" s="404"/>
      <c r="MNR64" s="404"/>
      <c r="MNS64" s="404"/>
      <c r="MNT64" s="404"/>
      <c r="MNU64" s="404"/>
      <c r="MNV64" s="404"/>
      <c r="MNW64" s="404"/>
      <c r="MNX64" s="404"/>
      <c r="MNY64" s="404"/>
      <c r="MNZ64" s="404"/>
      <c r="MOA64" s="404"/>
      <c r="MOB64" s="404"/>
      <c r="MOC64" s="404"/>
      <c r="MOD64" s="404"/>
      <c r="MOE64" s="404"/>
      <c r="MOF64" s="404"/>
      <c r="MOG64" s="404"/>
      <c r="MOH64" s="404"/>
      <c r="MOI64" s="404"/>
      <c r="MOJ64" s="404"/>
      <c r="MOK64" s="404"/>
      <c r="MOL64" s="404"/>
      <c r="MOM64" s="404"/>
      <c r="MON64" s="404"/>
      <c r="MOO64" s="404"/>
      <c r="MOP64" s="404"/>
      <c r="MOQ64" s="404"/>
      <c r="MOR64" s="404"/>
      <c r="MOS64" s="404"/>
      <c r="MOT64" s="404"/>
      <c r="MOU64" s="404"/>
      <c r="MOV64" s="404"/>
      <c r="MOW64" s="404"/>
      <c r="MOX64" s="404"/>
      <c r="MOY64" s="404"/>
      <c r="MOZ64" s="404"/>
      <c r="MPA64" s="404"/>
      <c r="MPB64" s="404"/>
      <c r="MPC64" s="404"/>
      <c r="MPD64" s="404"/>
      <c r="MPE64" s="404"/>
      <c r="MPF64" s="404"/>
      <c r="MPG64" s="404"/>
      <c r="MPH64" s="404"/>
      <c r="MPI64" s="404"/>
      <c r="MPJ64" s="404"/>
      <c r="MPK64" s="404"/>
      <c r="MPL64" s="404"/>
      <c r="MPM64" s="404"/>
      <c r="MPN64" s="404"/>
      <c r="MPO64" s="404"/>
      <c r="MPP64" s="404"/>
      <c r="MPQ64" s="404"/>
      <c r="MPR64" s="404"/>
      <c r="MPS64" s="404"/>
      <c r="MPT64" s="404"/>
      <c r="MPU64" s="404"/>
      <c r="MPV64" s="404"/>
      <c r="MPW64" s="404"/>
      <c r="MPX64" s="404"/>
      <c r="MPY64" s="404"/>
      <c r="MPZ64" s="404"/>
      <c r="MQA64" s="404"/>
      <c r="MQB64" s="404"/>
      <c r="MQC64" s="404"/>
      <c r="MQD64" s="404"/>
      <c r="MQE64" s="404"/>
      <c r="MQF64" s="404"/>
      <c r="MQG64" s="404"/>
      <c r="MQH64" s="404"/>
      <c r="MQI64" s="404"/>
      <c r="MQJ64" s="404"/>
      <c r="MQK64" s="404"/>
      <c r="MQL64" s="404"/>
      <c r="MQM64" s="404"/>
      <c r="MQN64" s="404"/>
      <c r="MQO64" s="404"/>
      <c r="MQP64" s="404"/>
      <c r="MQQ64" s="404"/>
      <c r="MQR64" s="404"/>
      <c r="MQS64" s="404"/>
      <c r="MQT64" s="404"/>
      <c r="MQU64" s="404"/>
      <c r="MQV64" s="404"/>
      <c r="MQW64" s="404"/>
      <c r="MQX64" s="404"/>
      <c r="MQY64" s="404"/>
      <c r="MQZ64" s="404"/>
      <c r="MRA64" s="404"/>
      <c r="MRB64" s="404"/>
      <c r="MRC64" s="404"/>
      <c r="MRD64" s="404"/>
      <c r="MRE64" s="404"/>
      <c r="MRF64" s="404"/>
      <c r="MRG64" s="404"/>
      <c r="MRH64" s="404"/>
      <c r="MRI64" s="404"/>
      <c r="MRJ64" s="404"/>
      <c r="MRK64" s="404"/>
      <c r="MRL64" s="404"/>
      <c r="MRM64" s="404"/>
      <c r="MRN64" s="404"/>
      <c r="MRO64" s="404"/>
      <c r="MRP64" s="404"/>
      <c r="MRQ64" s="404"/>
      <c r="MRR64" s="404"/>
      <c r="MRS64" s="404"/>
      <c r="MRT64" s="404"/>
      <c r="MRU64" s="404"/>
      <c r="MRV64" s="404"/>
      <c r="MRW64" s="404"/>
      <c r="MRX64" s="404"/>
      <c r="MRY64" s="404"/>
      <c r="MRZ64" s="404"/>
      <c r="MSA64" s="404"/>
      <c r="MSB64" s="404"/>
      <c r="MSC64" s="404"/>
      <c r="MSD64" s="404"/>
      <c r="MSE64" s="404"/>
      <c r="MSF64" s="404"/>
      <c r="MSG64" s="404"/>
      <c r="MSH64" s="404"/>
      <c r="MSI64" s="404"/>
      <c r="MSJ64" s="404"/>
      <c r="MSK64" s="404"/>
      <c r="MSL64" s="404"/>
      <c r="MSM64" s="404"/>
      <c r="MSN64" s="404"/>
      <c r="MSO64" s="404"/>
      <c r="MSP64" s="404"/>
      <c r="MSQ64" s="404"/>
      <c r="MSR64" s="404"/>
      <c r="MSS64" s="404"/>
      <c r="MST64" s="404"/>
      <c r="MSU64" s="404"/>
      <c r="MSV64" s="404"/>
      <c r="MSW64" s="404"/>
      <c r="MSX64" s="404"/>
      <c r="MSY64" s="404"/>
      <c r="MSZ64" s="404"/>
      <c r="MTA64" s="404"/>
      <c r="MTB64" s="404"/>
      <c r="MTC64" s="404"/>
      <c r="MTD64" s="404"/>
      <c r="MTE64" s="404"/>
      <c r="MTF64" s="404"/>
      <c r="MTG64" s="404"/>
      <c r="MTH64" s="404"/>
      <c r="MTI64" s="404"/>
      <c r="MTJ64" s="404"/>
      <c r="MTK64" s="404"/>
      <c r="MTL64" s="404"/>
      <c r="MTM64" s="404"/>
      <c r="MTN64" s="404"/>
      <c r="MTO64" s="404"/>
      <c r="MTP64" s="404"/>
      <c r="MTQ64" s="404"/>
      <c r="MTR64" s="404"/>
      <c r="MTS64" s="404"/>
      <c r="MTT64" s="404"/>
      <c r="MTU64" s="404"/>
      <c r="MTV64" s="404"/>
      <c r="MTW64" s="404"/>
      <c r="MTX64" s="404"/>
      <c r="MTY64" s="404"/>
      <c r="MTZ64" s="404"/>
      <c r="MUA64" s="404"/>
      <c r="MUB64" s="404"/>
      <c r="MUC64" s="404"/>
      <c r="MUD64" s="404"/>
      <c r="MUE64" s="404"/>
      <c r="MUF64" s="404"/>
      <c r="MUG64" s="404"/>
      <c r="MUH64" s="404"/>
      <c r="MUI64" s="404"/>
      <c r="MUJ64" s="404"/>
      <c r="MUK64" s="404"/>
      <c r="MUL64" s="404"/>
      <c r="MUM64" s="404"/>
      <c r="MUN64" s="404"/>
      <c r="MUO64" s="404"/>
      <c r="MUP64" s="404"/>
      <c r="MUQ64" s="404"/>
      <c r="MUR64" s="404"/>
      <c r="MUS64" s="404"/>
      <c r="MUT64" s="404"/>
      <c r="MUU64" s="404"/>
      <c r="MUV64" s="404"/>
      <c r="MUW64" s="404"/>
      <c r="MUX64" s="404"/>
      <c r="MUY64" s="404"/>
      <c r="MUZ64" s="404"/>
      <c r="MVA64" s="404"/>
      <c r="MVB64" s="404"/>
      <c r="MVC64" s="404"/>
      <c r="MVD64" s="404"/>
      <c r="MVE64" s="404"/>
      <c r="MVF64" s="404"/>
      <c r="MVG64" s="404"/>
      <c r="MVH64" s="404"/>
      <c r="MVI64" s="404"/>
      <c r="MVJ64" s="404"/>
      <c r="MVK64" s="404"/>
      <c r="MVL64" s="404"/>
      <c r="MVM64" s="404"/>
      <c r="MVN64" s="404"/>
      <c r="MVO64" s="404"/>
      <c r="MVP64" s="404"/>
      <c r="MVQ64" s="404"/>
      <c r="MVR64" s="404"/>
      <c r="MVS64" s="404"/>
      <c r="MVT64" s="404"/>
      <c r="MVU64" s="404"/>
      <c r="MVV64" s="404"/>
      <c r="MVW64" s="404"/>
      <c r="MVX64" s="404"/>
      <c r="MVY64" s="404"/>
      <c r="MVZ64" s="404"/>
      <c r="MWA64" s="404"/>
      <c r="MWB64" s="404"/>
      <c r="MWC64" s="404"/>
      <c r="MWD64" s="404"/>
      <c r="MWE64" s="404"/>
      <c r="MWF64" s="404"/>
      <c r="MWG64" s="404"/>
      <c r="MWH64" s="404"/>
      <c r="MWI64" s="404"/>
      <c r="MWJ64" s="404"/>
      <c r="MWK64" s="404"/>
      <c r="MWL64" s="404"/>
      <c r="MWM64" s="404"/>
      <c r="MWN64" s="404"/>
      <c r="MWO64" s="404"/>
      <c r="MWP64" s="404"/>
      <c r="MWQ64" s="404"/>
      <c r="MWR64" s="404"/>
      <c r="MWS64" s="404"/>
      <c r="MWT64" s="404"/>
      <c r="MWU64" s="404"/>
      <c r="MWV64" s="404"/>
      <c r="MWW64" s="404"/>
      <c r="MWX64" s="404"/>
      <c r="MWY64" s="404"/>
      <c r="MWZ64" s="404"/>
      <c r="MXA64" s="404"/>
      <c r="MXB64" s="404"/>
      <c r="MXC64" s="404"/>
      <c r="MXD64" s="404"/>
      <c r="MXE64" s="404"/>
      <c r="MXF64" s="404"/>
      <c r="MXG64" s="404"/>
      <c r="MXH64" s="404"/>
      <c r="MXI64" s="404"/>
      <c r="MXJ64" s="404"/>
      <c r="MXK64" s="404"/>
      <c r="MXL64" s="404"/>
      <c r="MXM64" s="404"/>
      <c r="MXN64" s="404"/>
      <c r="MXO64" s="404"/>
      <c r="MXP64" s="404"/>
      <c r="MXQ64" s="404"/>
      <c r="MXR64" s="404"/>
      <c r="MXS64" s="404"/>
      <c r="MXT64" s="404"/>
      <c r="MXU64" s="404"/>
      <c r="MXV64" s="404"/>
      <c r="MXW64" s="404"/>
      <c r="MXX64" s="404"/>
      <c r="MXY64" s="404"/>
      <c r="MXZ64" s="404"/>
      <c r="MYA64" s="404"/>
      <c r="MYB64" s="404"/>
      <c r="MYC64" s="404"/>
      <c r="MYD64" s="404"/>
      <c r="MYE64" s="404"/>
      <c r="MYF64" s="404"/>
      <c r="MYG64" s="404"/>
      <c r="MYH64" s="404"/>
      <c r="MYI64" s="404"/>
      <c r="MYJ64" s="404"/>
      <c r="MYK64" s="404"/>
      <c r="MYL64" s="404"/>
      <c r="MYM64" s="404"/>
      <c r="MYN64" s="404"/>
      <c r="MYO64" s="404"/>
      <c r="MYP64" s="404"/>
      <c r="MYQ64" s="404"/>
      <c r="MYR64" s="404"/>
      <c r="MYS64" s="404"/>
      <c r="MYT64" s="404"/>
      <c r="MYU64" s="404"/>
      <c r="MYV64" s="404"/>
      <c r="MYW64" s="404"/>
      <c r="MYX64" s="404"/>
      <c r="MYY64" s="404"/>
      <c r="MYZ64" s="404"/>
      <c r="MZA64" s="404"/>
      <c r="MZB64" s="404"/>
      <c r="MZC64" s="404"/>
      <c r="MZD64" s="404"/>
      <c r="MZE64" s="404"/>
      <c r="MZF64" s="404"/>
      <c r="MZG64" s="404"/>
      <c r="MZH64" s="404"/>
      <c r="MZI64" s="404"/>
      <c r="MZJ64" s="404"/>
      <c r="MZK64" s="404"/>
      <c r="MZL64" s="404"/>
      <c r="MZM64" s="404"/>
      <c r="MZN64" s="404"/>
      <c r="MZO64" s="404"/>
      <c r="MZP64" s="404"/>
      <c r="MZQ64" s="404"/>
      <c r="MZR64" s="404"/>
      <c r="MZS64" s="404"/>
      <c r="MZT64" s="404"/>
      <c r="MZU64" s="404"/>
      <c r="MZV64" s="404"/>
      <c r="MZW64" s="404"/>
      <c r="MZX64" s="404"/>
      <c r="MZY64" s="404"/>
      <c r="MZZ64" s="404"/>
      <c r="NAA64" s="404"/>
      <c r="NAB64" s="404"/>
      <c r="NAC64" s="404"/>
      <c r="NAD64" s="404"/>
      <c r="NAE64" s="404"/>
      <c r="NAF64" s="404"/>
      <c r="NAG64" s="404"/>
      <c r="NAH64" s="404"/>
      <c r="NAI64" s="404"/>
      <c r="NAJ64" s="404"/>
      <c r="NAK64" s="404"/>
      <c r="NAL64" s="404"/>
      <c r="NAM64" s="404"/>
      <c r="NAN64" s="404"/>
      <c r="NAO64" s="404"/>
      <c r="NAP64" s="404"/>
      <c r="NAQ64" s="404"/>
      <c r="NAR64" s="404"/>
      <c r="NAS64" s="404"/>
      <c r="NAT64" s="404"/>
      <c r="NAU64" s="404"/>
      <c r="NAV64" s="404"/>
      <c r="NAW64" s="404"/>
      <c r="NAX64" s="404"/>
      <c r="NAY64" s="404"/>
      <c r="NAZ64" s="404"/>
      <c r="NBA64" s="404"/>
      <c r="NBB64" s="404"/>
      <c r="NBC64" s="404"/>
      <c r="NBD64" s="404"/>
      <c r="NBE64" s="404"/>
      <c r="NBF64" s="404"/>
      <c r="NBG64" s="404"/>
      <c r="NBH64" s="404"/>
      <c r="NBI64" s="404"/>
      <c r="NBJ64" s="404"/>
      <c r="NBK64" s="404"/>
      <c r="NBL64" s="404"/>
      <c r="NBM64" s="404"/>
      <c r="NBN64" s="404"/>
      <c r="NBO64" s="404"/>
      <c r="NBP64" s="404"/>
      <c r="NBQ64" s="404"/>
      <c r="NBR64" s="404"/>
      <c r="NBS64" s="404"/>
      <c r="NBT64" s="404"/>
      <c r="NBU64" s="404"/>
      <c r="NBV64" s="404"/>
      <c r="NBW64" s="404"/>
      <c r="NBX64" s="404"/>
      <c r="NBY64" s="404"/>
      <c r="NBZ64" s="404"/>
      <c r="NCA64" s="404"/>
      <c r="NCB64" s="404"/>
      <c r="NCC64" s="404"/>
      <c r="NCD64" s="404"/>
      <c r="NCE64" s="404"/>
      <c r="NCF64" s="404"/>
      <c r="NCG64" s="404"/>
      <c r="NCH64" s="404"/>
      <c r="NCI64" s="404"/>
      <c r="NCJ64" s="404"/>
      <c r="NCK64" s="404"/>
      <c r="NCL64" s="404"/>
      <c r="NCM64" s="404"/>
      <c r="NCN64" s="404"/>
      <c r="NCO64" s="404"/>
      <c r="NCP64" s="404"/>
      <c r="NCQ64" s="404"/>
      <c r="NCR64" s="404"/>
      <c r="NCS64" s="404"/>
      <c r="NCT64" s="404"/>
      <c r="NCU64" s="404"/>
      <c r="NCV64" s="404"/>
      <c r="NCW64" s="404"/>
      <c r="NCX64" s="404"/>
      <c r="NCY64" s="404"/>
      <c r="NCZ64" s="404"/>
      <c r="NDA64" s="404"/>
      <c r="NDB64" s="404"/>
      <c r="NDC64" s="404"/>
      <c r="NDD64" s="404"/>
      <c r="NDE64" s="404"/>
      <c r="NDF64" s="404"/>
      <c r="NDG64" s="404"/>
      <c r="NDH64" s="404"/>
      <c r="NDI64" s="404"/>
      <c r="NDJ64" s="404"/>
      <c r="NDK64" s="404"/>
      <c r="NDL64" s="404"/>
      <c r="NDM64" s="404"/>
      <c r="NDN64" s="404"/>
      <c r="NDO64" s="404"/>
      <c r="NDP64" s="404"/>
      <c r="NDQ64" s="404"/>
      <c r="NDR64" s="404"/>
      <c r="NDS64" s="404"/>
      <c r="NDT64" s="404"/>
      <c r="NDU64" s="404"/>
      <c r="NDV64" s="404"/>
      <c r="NDW64" s="404"/>
      <c r="NDX64" s="404"/>
      <c r="NDY64" s="404"/>
      <c r="NDZ64" s="404"/>
      <c r="NEA64" s="404"/>
      <c r="NEB64" s="404"/>
      <c r="NEC64" s="404"/>
      <c r="NED64" s="404"/>
      <c r="NEE64" s="404"/>
      <c r="NEF64" s="404"/>
      <c r="NEG64" s="404"/>
      <c r="NEH64" s="404"/>
      <c r="NEI64" s="404"/>
      <c r="NEJ64" s="404"/>
      <c r="NEK64" s="404"/>
      <c r="NEL64" s="404"/>
      <c r="NEM64" s="404"/>
      <c r="NEN64" s="404"/>
      <c r="NEO64" s="404"/>
      <c r="NEP64" s="404"/>
      <c r="NEQ64" s="404"/>
      <c r="NER64" s="404"/>
      <c r="NES64" s="404"/>
      <c r="NET64" s="404"/>
      <c r="NEU64" s="404"/>
      <c r="NEV64" s="404"/>
      <c r="NEW64" s="404"/>
      <c r="NEX64" s="404"/>
      <c r="NEY64" s="404"/>
      <c r="NEZ64" s="404"/>
      <c r="NFA64" s="404"/>
      <c r="NFB64" s="404"/>
      <c r="NFC64" s="404"/>
      <c r="NFD64" s="404"/>
      <c r="NFE64" s="404"/>
      <c r="NFF64" s="404"/>
      <c r="NFG64" s="404"/>
      <c r="NFH64" s="404"/>
      <c r="NFI64" s="404"/>
      <c r="NFJ64" s="404"/>
      <c r="NFK64" s="404"/>
      <c r="NFL64" s="404"/>
      <c r="NFM64" s="404"/>
      <c r="NFN64" s="404"/>
      <c r="NFO64" s="404"/>
      <c r="NFP64" s="404"/>
      <c r="NFQ64" s="404"/>
      <c r="NFR64" s="404"/>
      <c r="NFS64" s="404"/>
      <c r="NFT64" s="404"/>
      <c r="NFU64" s="404"/>
      <c r="NFV64" s="404"/>
      <c r="NFW64" s="404"/>
      <c r="NFX64" s="404"/>
      <c r="NFY64" s="404"/>
      <c r="NFZ64" s="404"/>
      <c r="NGA64" s="404"/>
      <c r="NGB64" s="404"/>
      <c r="NGC64" s="404"/>
      <c r="NGD64" s="404"/>
      <c r="NGE64" s="404"/>
      <c r="NGF64" s="404"/>
      <c r="NGG64" s="404"/>
      <c r="NGH64" s="404"/>
      <c r="NGI64" s="404"/>
      <c r="NGJ64" s="404"/>
      <c r="NGK64" s="404"/>
      <c r="NGL64" s="404"/>
      <c r="NGM64" s="404"/>
      <c r="NGN64" s="404"/>
      <c r="NGO64" s="404"/>
      <c r="NGP64" s="404"/>
      <c r="NGQ64" s="404"/>
      <c r="NGR64" s="404"/>
      <c r="NGS64" s="404"/>
      <c r="NGT64" s="404"/>
      <c r="NGU64" s="404"/>
      <c r="NGV64" s="404"/>
      <c r="NGW64" s="404"/>
      <c r="NGX64" s="404"/>
      <c r="NGY64" s="404"/>
      <c r="NGZ64" s="404"/>
      <c r="NHA64" s="404"/>
      <c r="NHB64" s="404"/>
      <c r="NHC64" s="404"/>
      <c r="NHD64" s="404"/>
      <c r="NHE64" s="404"/>
      <c r="NHF64" s="404"/>
      <c r="NHG64" s="404"/>
      <c r="NHH64" s="404"/>
      <c r="NHI64" s="404"/>
      <c r="NHJ64" s="404"/>
      <c r="NHK64" s="404"/>
      <c r="NHL64" s="404"/>
      <c r="NHM64" s="404"/>
      <c r="NHN64" s="404"/>
      <c r="NHO64" s="404"/>
      <c r="NHP64" s="404"/>
      <c r="NHQ64" s="404"/>
      <c r="NHR64" s="404"/>
      <c r="NHS64" s="404"/>
      <c r="NHT64" s="404"/>
      <c r="NHU64" s="404"/>
      <c r="NHV64" s="404"/>
      <c r="NHW64" s="404"/>
      <c r="NHX64" s="404"/>
      <c r="NHY64" s="404"/>
      <c r="NHZ64" s="404"/>
      <c r="NIA64" s="404"/>
      <c r="NIB64" s="404"/>
      <c r="NIC64" s="404"/>
      <c r="NID64" s="404"/>
      <c r="NIE64" s="404"/>
      <c r="NIF64" s="404"/>
      <c r="NIG64" s="404"/>
      <c r="NIH64" s="404"/>
      <c r="NII64" s="404"/>
      <c r="NIJ64" s="404"/>
      <c r="NIK64" s="404"/>
      <c r="NIL64" s="404"/>
      <c r="NIM64" s="404"/>
      <c r="NIN64" s="404"/>
      <c r="NIO64" s="404"/>
      <c r="NIP64" s="404"/>
      <c r="NIQ64" s="404"/>
      <c r="NIR64" s="404"/>
      <c r="NIS64" s="404"/>
      <c r="NIT64" s="404"/>
      <c r="NIU64" s="404"/>
      <c r="NIV64" s="404"/>
      <c r="NIW64" s="404"/>
      <c r="NIX64" s="404"/>
      <c r="NIY64" s="404"/>
      <c r="NIZ64" s="404"/>
      <c r="NJA64" s="404"/>
      <c r="NJB64" s="404"/>
      <c r="NJC64" s="404"/>
      <c r="NJD64" s="404"/>
      <c r="NJE64" s="404"/>
      <c r="NJF64" s="404"/>
      <c r="NJG64" s="404"/>
      <c r="NJH64" s="404"/>
      <c r="NJI64" s="404"/>
      <c r="NJJ64" s="404"/>
      <c r="NJK64" s="404"/>
      <c r="NJL64" s="404"/>
      <c r="NJM64" s="404"/>
      <c r="NJN64" s="404"/>
      <c r="NJO64" s="404"/>
      <c r="NJP64" s="404"/>
      <c r="NJQ64" s="404"/>
      <c r="NJR64" s="404"/>
      <c r="NJS64" s="404"/>
      <c r="NJT64" s="404"/>
      <c r="NJU64" s="404"/>
      <c r="NJV64" s="404"/>
      <c r="NJW64" s="404"/>
      <c r="NJX64" s="404"/>
      <c r="NJY64" s="404"/>
      <c r="NJZ64" s="404"/>
      <c r="NKA64" s="404"/>
      <c r="NKB64" s="404"/>
      <c r="NKC64" s="404"/>
      <c r="NKD64" s="404"/>
      <c r="NKE64" s="404"/>
      <c r="NKF64" s="404"/>
      <c r="NKG64" s="404"/>
      <c r="NKH64" s="404"/>
      <c r="NKI64" s="404"/>
      <c r="NKJ64" s="404"/>
      <c r="NKK64" s="404"/>
      <c r="NKL64" s="404"/>
      <c r="NKM64" s="404"/>
      <c r="NKN64" s="404"/>
      <c r="NKO64" s="404"/>
      <c r="NKP64" s="404"/>
      <c r="NKQ64" s="404"/>
      <c r="NKR64" s="404"/>
      <c r="NKS64" s="404"/>
      <c r="NKT64" s="404"/>
      <c r="NKU64" s="404"/>
      <c r="NKV64" s="404"/>
      <c r="NKW64" s="404"/>
      <c r="NKX64" s="404"/>
      <c r="NKY64" s="404"/>
      <c r="NKZ64" s="404"/>
      <c r="NLA64" s="404"/>
      <c r="NLB64" s="404"/>
      <c r="NLC64" s="404"/>
      <c r="NLD64" s="404"/>
      <c r="NLE64" s="404"/>
      <c r="NLF64" s="404"/>
      <c r="NLG64" s="404"/>
      <c r="NLH64" s="404"/>
      <c r="NLI64" s="404"/>
      <c r="NLJ64" s="404"/>
      <c r="NLK64" s="404"/>
      <c r="NLL64" s="404"/>
      <c r="NLM64" s="404"/>
      <c r="NLN64" s="404"/>
      <c r="NLO64" s="404"/>
      <c r="NLP64" s="404"/>
      <c r="NLQ64" s="404"/>
      <c r="NLR64" s="404"/>
      <c r="NLS64" s="404"/>
      <c r="NLT64" s="404"/>
      <c r="NLU64" s="404"/>
      <c r="NLV64" s="404"/>
      <c r="NLW64" s="404"/>
      <c r="NLX64" s="404"/>
      <c r="NLY64" s="404"/>
      <c r="NLZ64" s="404"/>
      <c r="NMA64" s="404"/>
      <c r="NMB64" s="404"/>
      <c r="NMC64" s="404"/>
      <c r="NMD64" s="404"/>
      <c r="NME64" s="404"/>
      <c r="NMF64" s="404"/>
      <c r="NMG64" s="404"/>
      <c r="NMH64" s="404"/>
      <c r="NMI64" s="404"/>
      <c r="NMJ64" s="404"/>
      <c r="NMK64" s="404"/>
      <c r="NML64" s="404"/>
      <c r="NMM64" s="404"/>
      <c r="NMN64" s="404"/>
      <c r="NMO64" s="404"/>
      <c r="NMP64" s="404"/>
      <c r="NMQ64" s="404"/>
      <c r="NMR64" s="404"/>
      <c r="NMS64" s="404"/>
      <c r="NMT64" s="404"/>
      <c r="NMU64" s="404"/>
      <c r="NMV64" s="404"/>
      <c r="NMW64" s="404"/>
      <c r="NMX64" s="404"/>
      <c r="NMY64" s="404"/>
      <c r="NMZ64" s="404"/>
      <c r="NNA64" s="404"/>
      <c r="NNB64" s="404"/>
      <c r="NNC64" s="404"/>
      <c r="NND64" s="404"/>
      <c r="NNE64" s="404"/>
      <c r="NNF64" s="404"/>
      <c r="NNG64" s="404"/>
      <c r="NNH64" s="404"/>
      <c r="NNI64" s="404"/>
      <c r="NNJ64" s="404"/>
      <c r="NNK64" s="404"/>
      <c r="NNL64" s="404"/>
      <c r="NNM64" s="404"/>
      <c r="NNN64" s="404"/>
      <c r="NNO64" s="404"/>
      <c r="NNP64" s="404"/>
      <c r="NNQ64" s="404"/>
      <c r="NNR64" s="404"/>
      <c r="NNS64" s="404"/>
      <c r="NNT64" s="404"/>
      <c r="NNU64" s="404"/>
      <c r="NNV64" s="404"/>
      <c r="NNW64" s="404"/>
      <c r="NNX64" s="404"/>
      <c r="NNY64" s="404"/>
      <c r="NNZ64" s="404"/>
      <c r="NOA64" s="404"/>
      <c r="NOB64" s="404"/>
      <c r="NOC64" s="404"/>
      <c r="NOD64" s="404"/>
      <c r="NOE64" s="404"/>
      <c r="NOF64" s="404"/>
      <c r="NOG64" s="404"/>
      <c r="NOH64" s="404"/>
      <c r="NOI64" s="404"/>
      <c r="NOJ64" s="404"/>
      <c r="NOK64" s="404"/>
      <c r="NOL64" s="404"/>
      <c r="NOM64" s="404"/>
      <c r="NON64" s="404"/>
      <c r="NOO64" s="404"/>
      <c r="NOP64" s="404"/>
      <c r="NOQ64" s="404"/>
      <c r="NOR64" s="404"/>
      <c r="NOS64" s="404"/>
      <c r="NOT64" s="404"/>
      <c r="NOU64" s="404"/>
      <c r="NOV64" s="404"/>
      <c r="NOW64" s="404"/>
      <c r="NOX64" s="404"/>
      <c r="NOY64" s="404"/>
      <c r="NOZ64" s="404"/>
      <c r="NPA64" s="404"/>
      <c r="NPB64" s="404"/>
      <c r="NPC64" s="404"/>
      <c r="NPD64" s="404"/>
      <c r="NPE64" s="404"/>
      <c r="NPF64" s="404"/>
      <c r="NPG64" s="404"/>
      <c r="NPH64" s="404"/>
      <c r="NPI64" s="404"/>
      <c r="NPJ64" s="404"/>
      <c r="NPK64" s="404"/>
      <c r="NPL64" s="404"/>
      <c r="NPM64" s="404"/>
      <c r="NPN64" s="404"/>
      <c r="NPO64" s="404"/>
      <c r="NPP64" s="404"/>
      <c r="NPQ64" s="404"/>
      <c r="NPR64" s="404"/>
      <c r="NPS64" s="404"/>
      <c r="NPT64" s="404"/>
      <c r="NPU64" s="404"/>
      <c r="NPV64" s="404"/>
      <c r="NPW64" s="404"/>
      <c r="NPX64" s="404"/>
      <c r="NPY64" s="404"/>
      <c r="NPZ64" s="404"/>
      <c r="NQA64" s="404"/>
      <c r="NQB64" s="404"/>
      <c r="NQC64" s="404"/>
      <c r="NQD64" s="404"/>
      <c r="NQE64" s="404"/>
      <c r="NQF64" s="404"/>
      <c r="NQG64" s="404"/>
      <c r="NQH64" s="404"/>
      <c r="NQI64" s="404"/>
      <c r="NQJ64" s="404"/>
      <c r="NQK64" s="404"/>
      <c r="NQL64" s="404"/>
      <c r="NQM64" s="404"/>
      <c r="NQN64" s="404"/>
      <c r="NQO64" s="404"/>
      <c r="NQP64" s="404"/>
      <c r="NQQ64" s="404"/>
      <c r="NQR64" s="404"/>
      <c r="NQS64" s="404"/>
      <c r="NQT64" s="404"/>
      <c r="NQU64" s="404"/>
      <c r="NQV64" s="404"/>
      <c r="NQW64" s="404"/>
      <c r="NQX64" s="404"/>
      <c r="NQY64" s="404"/>
      <c r="NQZ64" s="404"/>
      <c r="NRA64" s="404"/>
      <c r="NRB64" s="404"/>
      <c r="NRC64" s="404"/>
      <c r="NRD64" s="404"/>
      <c r="NRE64" s="404"/>
      <c r="NRF64" s="404"/>
      <c r="NRG64" s="404"/>
      <c r="NRH64" s="404"/>
      <c r="NRI64" s="404"/>
      <c r="NRJ64" s="404"/>
      <c r="NRK64" s="404"/>
      <c r="NRL64" s="404"/>
      <c r="NRM64" s="404"/>
      <c r="NRN64" s="404"/>
      <c r="NRO64" s="404"/>
      <c r="NRP64" s="404"/>
      <c r="NRQ64" s="404"/>
      <c r="NRR64" s="404"/>
      <c r="NRS64" s="404"/>
      <c r="NRT64" s="404"/>
      <c r="NRU64" s="404"/>
      <c r="NRV64" s="404"/>
      <c r="NRW64" s="404"/>
      <c r="NRX64" s="404"/>
      <c r="NRY64" s="404"/>
      <c r="NRZ64" s="404"/>
      <c r="NSA64" s="404"/>
      <c r="NSB64" s="404"/>
      <c r="NSC64" s="404"/>
      <c r="NSD64" s="404"/>
      <c r="NSE64" s="404"/>
      <c r="NSF64" s="404"/>
      <c r="NSG64" s="404"/>
      <c r="NSH64" s="404"/>
      <c r="NSI64" s="404"/>
      <c r="NSJ64" s="404"/>
      <c r="NSK64" s="404"/>
      <c r="NSL64" s="404"/>
      <c r="NSM64" s="404"/>
      <c r="NSN64" s="404"/>
      <c r="NSO64" s="404"/>
      <c r="NSP64" s="404"/>
      <c r="NSQ64" s="404"/>
      <c r="NSR64" s="404"/>
      <c r="NSS64" s="404"/>
      <c r="NST64" s="404"/>
      <c r="NSU64" s="404"/>
      <c r="NSV64" s="404"/>
      <c r="NSW64" s="404"/>
      <c r="NSX64" s="404"/>
      <c r="NSY64" s="404"/>
      <c r="NSZ64" s="404"/>
      <c r="NTA64" s="404"/>
      <c r="NTB64" s="404"/>
      <c r="NTC64" s="404"/>
      <c r="NTD64" s="404"/>
      <c r="NTE64" s="404"/>
      <c r="NTF64" s="404"/>
      <c r="NTG64" s="404"/>
      <c r="NTH64" s="404"/>
      <c r="NTI64" s="404"/>
      <c r="NTJ64" s="404"/>
      <c r="NTK64" s="404"/>
      <c r="NTL64" s="404"/>
      <c r="NTM64" s="404"/>
      <c r="NTN64" s="404"/>
      <c r="NTO64" s="404"/>
      <c r="NTP64" s="404"/>
      <c r="NTQ64" s="404"/>
      <c r="NTR64" s="404"/>
      <c r="NTS64" s="404"/>
      <c r="NTT64" s="404"/>
      <c r="NTU64" s="404"/>
      <c r="NTV64" s="404"/>
      <c r="NTW64" s="404"/>
      <c r="NTX64" s="404"/>
      <c r="NTY64" s="404"/>
      <c r="NTZ64" s="404"/>
      <c r="NUA64" s="404"/>
      <c r="NUB64" s="404"/>
      <c r="NUC64" s="404"/>
      <c r="NUD64" s="404"/>
      <c r="NUE64" s="404"/>
      <c r="NUF64" s="404"/>
      <c r="NUG64" s="404"/>
      <c r="NUH64" s="404"/>
      <c r="NUI64" s="404"/>
      <c r="NUJ64" s="404"/>
      <c r="NUK64" s="404"/>
      <c r="NUL64" s="404"/>
      <c r="NUM64" s="404"/>
      <c r="NUN64" s="404"/>
      <c r="NUO64" s="404"/>
      <c r="NUP64" s="404"/>
      <c r="NUQ64" s="404"/>
      <c r="NUR64" s="404"/>
      <c r="NUS64" s="404"/>
      <c r="NUT64" s="404"/>
      <c r="NUU64" s="404"/>
      <c r="NUV64" s="404"/>
      <c r="NUW64" s="404"/>
      <c r="NUX64" s="404"/>
      <c r="NUY64" s="404"/>
      <c r="NUZ64" s="404"/>
      <c r="NVA64" s="404"/>
      <c r="NVB64" s="404"/>
      <c r="NVC64" s="404"/>
      <c r="NVD64" s="404"/>
      <c r="NVE64" s="404"/>
      <c r="NVF64" s="404"/>
      <c r="NVG64" s="404"/>
      <c r="NVH64" s="404"/>
      <c r="NVI64" s="404"/>
      <c r="NVJ64" s="404"/>
      <c r="NVK64" s="404"/>
      <c r="NVL64" s="404"/>
      <c r="NVM64" s="404"/>
      <c r="NVN64" s="404"/>
      <c r="NVO64" s="404"/>
      <c r="NVP64" s="404"/>
      <c r="NVQ64" s="404"/>
      <c r="NVR64" s="404"/>
      <c r="NVS64" s="404"/>
      <c r="NVT64" s="404"/>
      <c r="NVU64" s="404"/>
      <c r="NVV64" s="404"/>
      <c r="NVW64" s="404"/>
      <c r="NVX64" s="404"/>
      <c r="NVY64" s="404"/>
      <c r="NVZ64" s="404"/>
      <c r="NWA64" s="404"/>
      <c r="NWB64" s="404"/>
      <c r="NWC64" s="404"/>
      <c r="NWD64" s="404"/>
      <c r="NWE64" s="404"/>
      <c r="NWF64" s="404"/>
      <c r="NWG64" s="404"/>
      <c r="NWH64" s="404"/>
      <c r="NWI64" s="404"/>
      <c r="NWJ64" s="404"/>
      <c r="NWK64" s="404"/>
      <c r="NWL64" s="404"/>
      <c r="NWM64" s="404"/>
      <c r="NWN64" s="404"/>
      <c r="NWO64" s="404"/>
      <c r="NWP64" s="404"/>
      <c r="NWQ64" s="404"/>
      <c r="NWR64" s="404"/>
      <c r="NWS64" s="404"/>
      <c r="NWT64" s="404"/>
      <c r="NWU64" s="404"/>
      <c r="NWV64" s="404"/>
      <c r="NWW64" s="404"/>
      <c r="NWX64" s="404"/>
      <c r="NWY64" s="404"/>
      <c r="NWZ64" s="404"/>
      <c r="NXA64" s="404"/>
      <c r="NXB64" s="404"/>
      <c r="NXC64" s="404"/>
      <c r="NXD64" s="404"/>
      <c r="NXE64" s="404"/>
      <c r="NXF64" s="404"/>
      <c r="NXG64" s="404"/>
      <c r="NXH64" s="404"/>
      <c r="NXI64" s="404"/>
      <c r="NXJ64" s="404"/>
      <c r="NXK64" s="404"/>
      <c r="NXL64" s="404"/>
      <c r="NXM64" s="404"/>
      <c r="NXN64" s="404"/>
      <c r="NXO64" s="404"/>
      <c r="NXP64" s="404"/>
      <c r="NXQ64" s="404"/>
      <c r="NXR64" s="404"/>
      <c r="NXS64" s="404"/>
      <c r="NXT64" s="404"/>
      <c r="NXU64" s="404"/>
      <c r="NXV64" s="404"/>
      <c r="NXW64" s="404"/>
      <c r="NXX64" s="404"/>
      <c r="NXY64" s="404"/>
      <c r="NXZ64" s="404"/>
      <c r="NYA64" s="404"/>
      <c r="NYB64" s="404"/>
      <c r="NYC64" s="404"/>
      <c r="NYD64" s="404"/>
      <c r="NYE64" s="404"/>
      <c r="NYF64" s="404"/>
      <c r="NYG64" s="404"/>
      <c r="NYH64" s="404"/>
      <c r="NYI64" s="404"/>
      <c r="NYJ64" s="404"/>
      <c r="NYK64" s="404"/>
      <c r="NYL64" s="404"/>
      <c r="NYM64" s="404"/>
      <c r="NYN64" s="404"/>
      <c r="NYO64" s="404"/>
      <c r="NYP64" s="404"/>
      <c r="NYQ64" s="404"/>
      <c r="NYR64" s="404"/>
      <c r="NYS64" s="404"/>
      <c r="NYT64" s="404"/>
      <c r="NYU64" s="404"/>
      <c r="NYV64" s="404"/>
      <c r="NYW64" s="404"/>
      <c r="NYX64" s="404"/>
      <c r="NYY64" s="404"/>
      <c r="NYZ64" s="404"/>
      <c r="NZA64" s="404"/>
      <c r="NZB64" s="404"/>
      <c r="NZC64" s="404"/>
      <c r="NZD64" s="404"/>
      <c r="NZE64" s="404"/>
      <c r="NZF64" s="404"/>
      <c r="NZG64" s="404"/>
      <c r="NZH64" s="404"/>
      <c r="NZI64" s="404"/>
      <c r="NZJ64" s="404"/>
      <c r="NZK64" s="404"/>
      <c r="NZL64" s="404"/>
      <c r="NZM64" s="404"/>
      <c r="NZN64" s="404"/>
      <c r="NZO64" s="404"/>
      <c r="NZP64" s="404"/>
      <c r="NZQ64" s="404"/>
      <c r="NZR64" s="404"/>
      <c r="NZS64" s="404"/>
      <c r="NZT64" s="404"/>
      <c r="NZU64" s="404"/>
      <c r="NZV64" s="404"/>
      <c r="NZW64" s="404"/>
      <c r="NZX64" s="404"/>
      <c r="NZY64" s="404"/>
      <c r="NZZ64" s="404"/>
      <c r="OAA64" s="404"/>
      <c r="OAB64" s="404"/>
      <c r="OAC64" s="404"/>
      <c r="OAD64" s="404"/>
      <c r="OAE64" s="404"/>
      <c r="OAF64" s="404"/>
      <c r="OAG64" s="404"/>
      <c r="OAH64" s="404"/>
      <c r="OAI64" s="404"/>
      <c r="OAJ64" s="404"/>
      <c r="OAK64" s="404"/>
      <c r="OAL64" s="404"/>
      <c r="OAM64" s="404"/>
      <c r="OAN64" s="404"/>
      <c r="OAO64" s="404"/>
      <c r="OAP64" s="404"/>
      <c r="OAQ64" s="404"/>
      <c r="OAR64" s="404"/>
      <c r="OAS64" s="404"/>
      <c r="OAT64" s="404"/>
      <c r="OAU64" s="404"/>
      <c r="OAV64" s="404"/>
      <c r="OAW64" s="404"/>
      <c r="OAX64" s="404"/>
      <c r="OAY64" s="404"/>
      <c r="OAZ64" s="404"/>
      <c r="OBA64" s="404"/>
      <c r="OBB64" s="404"/>
      <c r="OBC64" s="404"/>
      <c r="OBD64" s="404"/>
      <c r="OBE64" s="404"/>
      <c r="OBF64" s="404"/>
      <c r="OBG64" s="404"/>
      <c r="OBH64" s="404"/>
      <c r="OBI64" s="404"/>
      <c r="OBJ64" s="404"/>
      <c r="OBK64" s="404"/>
      <c r="OBL64" s="404"/>
      <c r="OBM64" s="404"/>
      <c r="OBN64" s="404"/>
      <c r="OBO64" s="404"/>
      <c r="OBP64" s="404"/>
      <c r="OBQ64" s="404"/>
      <c r="OBR64" s="404"/>
      <c r="OBS64" s="404"/>
      <c r="OBT64" s="404"/>
      <c r="OBU64" s="404"/>
      <c r="OBV64" s="404"/>
      <c r="OBW64" s="404"/>
      <c r="OBX64" s="404"/>
      <c r="OBY64" s="404"/>
      <c r="OBZ64" s="404"/>
      <c r="OCA64" s="404"/>
      <c r="OCB64" s="404"/>
      <c r="OCC64" s="404"/>
      <c r="OCD64" s="404"/>
      <c r="OCE64" s="404"/>
      <c r="OCF64" s="404"/>
      <c r="OCG64" s="404"/>
      <c r="OCH64" s="404"/>
      <c r="OCI64" s="404"/>
      <c r="OCJ64" s="404"/>
      <c r="OCK64" s="404"/>
      <c r="OCL64" s="404"/>
      <c r="OCM64" s="404"/>
      <c r="OCN64" s="404"/>
      <c r="OCO64" s="404"/>
      <c r="OCP64" s="404"/>
      <c r="OCQ64" s="404"/>
      <c r="OCR64" s="404"/>
      <c r="OCS64" s="404"/>
      <c r="OCT64" s="404"/>
      <c r="OCU64" s="404"/>
      <c r="OCV64" s="404"/>
      <c r="OCW64" s="404"/>
      <c r="OCX64" s="404"/>
      <c r="OCY64" s="404"/>
      <c r="OCZ64" s="404"/>
      <c r="ODA64" s="404"/>
      <c r="ODB64" s="404"/>
      <c r="ODC64" s="404"/>
      <c r="ODD64" s="404"/>
      <c r="ODE64" s="404"/>
      <c r="ODF64" s="404"/>
      <c r="ODG64" s="404"/>
      <c r="ODH64" s="404"/>
      <c r="ODI64" s="404"/>
      <c r="ODJ64" s="404"/>
      <c r="ODK64" s="404"/>
      <c r="ODL64" s="404"/>
      <c r="ODM64" s="404"/>
      <c r="ODN64" s="404"/>
      <c r="ODO64" s="404"/>
      <c r="ODP64" s="404"/>
      <c r="ODQ64" s="404"/>
      <c r="ODR64" s="404"/>
      <c r="ODS64" s="404"/>
      <c r="ODT64" s="404"/>
      <c r="ODU64" s="404"/>
      <c r="ODV64" s="404"/>
      <c r="ODW64" s="404"/>
      <c r="ODX64" s="404"/>
      <c r="ODY64" s="404"/>
      <c r="ODZ64" s="404"/>
      <c r="OEA64" s="404"/>
      <c r="OEB64" s="404"/>
      <c r="OEC64" s="404"/>
      <c r="OED64" s="404"/>
      <c r="OEE64" s="404"/>
      <c r="OEF64" s="404"/>
      <c r="OEG64" s="404"/>
      <c r="OEH64" s="404"/>
      <c r="OEI64" s="404"/>
      <c r="OEJ64" s="404"/>
      <c r="OEK64" s="404"/>
      <c r="OEL64" s="404"/>
      <c r="OEM64" s="404"/>
      <c r="OEN64" s="404"/>
      <c r="OEO64" s="404"/>
      <c r="OEP64" s="404"/>
      <c r="OEQ64" s="404"/>
      <c r="OER64" s="404"/>
      <c r="OES64" s="404"/>
      <c r="OET64" s="404"/>
      <c r="OEU64" s="404"/>
      <c r="OEV64" s="404"/>
      <c r="OEW64" s="404"/>
      <c r="OEX64" s="404"/>
      <c r="OEY64" s="404"/>
      <c r="OEZ64" s="404"/>
      <c r="OFA64" s="404"/>
      <c r="OFB64" s="404"/>
      <c r="OFC64" s="404"/>
      <c r="OFD64" s="404"/>
      <c r="OFE64" s="404"/>
      <c r="OFF64" s="404"/>
      <c r="OFG64" s="404"/>
      <c r="OFH64" s="404"/>
      <c r="OFI64" s="404"/>
      <c r="OFJ64" s="404"/>
      <c r="OFK64" s="404"/>
      <c r="OFL64" s="404"/>
      <c r="OFM64" s="404"/>
      <c r="OFN64" s="404"/>
      <c r="OFO64" s="404"/>
      <c r="OFP64" s="404"/>
      <c r="OFQ64" s="404"/>
      <c r="OFR64" s="404"/>
      <c r="OFS64" s="404"/>
      <c r="OFT64" s="404"/>
      <c r="OFU64" s="404"/>
      <c r="OFV64" s="404"/>
      <c r="OFW64" s="404"/>
      <c r="OFX64" s="404"/>
      <c r="OFY64" s="404"/>
      <c r="OFZ64" s="404"/>
      <c r="OGA64" s="404"/>
      <c r="OGB64" s="404"/>
      <c r="OGC64" s="404"/>
      <c r="OGD64" s="404"/>
      <c r="OGE64" s="404"/>
      <c r="OGF64" s="404"/>
      <c r="OGG64" s="404"/>
      <c r="OGH64" s="404"/>
      <c r="OGI64" s="404"/>
      <c r="OGJ64" s="404"/>
      <c r="OGK64" s="404"/>
      <c r="OGL64" s="404"/>
      <c r="OGM64" s="404"/>
      <c r="OGN64" s="404"/>
      <c r="OGO64" s="404"/>
      <c r="OGP64" s="404"/>
      <c r="OGQ64" s="404"/>
      <c r="OGR64" s="404"/>
      <c r="OGS64" s="404"/>
      <c r="OGT64" s="404"/>
      <c r="OGU64" s="404"/>
      <c r="OGV64" s="404"/>
      <c r="OGW64" s="404"/>
      <c r="OGX64" s="404"/>
      <c r="OGY64" s="404"/>
      <c r="OGZ64" s="404"/>
      <c r="OHA64" s="404"/>
      <c r="OHB64" s="404"/>
      <c r="OHC64" s="404"/>
      <c r="OHD64" s="404"/>
      <c r="OHE64" s="404"/>
      <c r="OHF64" s="404"/>
      <c r="OHG64" s="404"/>
      <c r="OHH64" s="404"/>
      <c r="OHI64" s="404"/>
      <c r="OHJ64" s="404"/>
      <c r="OHK64" s="404"/>
      <c r="OHL64" s="404"/>
      <c r="OHM64" s="404"/>
      <c r="OHN64" s="404"/>
      <c r="OHO64" s="404"/>
      <c r="OHP64" s="404"/>
      <c r="OHQ64" s="404"/>
      <c r="OHR64" s="404"/>
      <c r="OHS64" s="404"/>
      <c r="OHT64" s="404"/>
      <c r="OHU64" s="404"/>
      <c r="OHV64" s="404"/>
      <c r="OHW64" s="404"/>
      <c r="OHX64" s="404"/>
      <c r="OHY64" s="404"/>
      <c r="OHZ64" s="404"/>
      <c r="OIA64" s="404"/>
      <c r="OIB64" s="404"/>
      <c r="OIC64" s="404"/>
      <c r="OID64" s="404"/>
      <c r="OIE64" s="404"/>
      <c r="OIF64" s="404"/>
      <c r="OIG64" s="404"/>
      <c r="OIH64" s="404"/>
      <c r="OII64" s="404"/>
      <c r="OIJ64" s="404"/>
      <c r="OIK64" s="404"/>
      <c r="OIL64" s="404"/>
      <c r="OIM64" s="404"/>
      <c r="OIN64" s="404"/>
      <c r="OIO64" s="404"/>
      <c r="OIP64" s="404"/>
      <c r="OIQ64" s="404"/>
      <c r="OIR64" s="404"/>
      <c r="OIS64" s="404"/>
      <c r="OIT64" s="404"/>
      <c r="OIU64" s="404"/>
      <c r="OIV64" s="404"/>
      <c r="OIW64" s="404"/>
      <c r="OIX64" s="404"/>
      <c r="OIY64" s="404"/>
      <c r="OIZ64" s="404"/>
      <c r="OJA64" s="404"/>
      <c r="OJB64" s="404"/>
      <c r="OJC64" s="404"/>
      <c r="OJD64" s="404"/>
      <c r="OJE64" s="404"/>
      <c r="OJF64" s="404"/>
      <c r="OJG64" s="404"/>
      <c r="OJH64" s="404"/>
      <c r="OJI64" s="404"/>
      <c r="OJJ64" s="404"/>
      <c r="OJK64" s="404"/>
      <c r="OJL64" s="404"/>
      <c r="OJM64" s="404"/>
      <c r="OJN64" s="404"/>
      <c r="OJO64" s="404"/>
      <c r="OJP64" s="404"/>
      <c r="OJQ64" s="404"/>
      <c r="OJR64" s="404"/>
      <c r="OJS64" s="404"/>
      <c r="OJT64" s="404"/>
      <c r="OJU64" s="404"/>
      <c r="OJV64" s="404"/>
      <c r="OJW64" s="404"/>
      <c r="OJX64" s="404"/>
      <c r="OJY64" s="404"/>
      <c r="OJZ64" s="404"/>
      <c r="OKA64" s="404"/>
      <c r="OKB64" s="404"/>
      <c r="OKC64" s="404"/>
      <c r="OKD64" s="404"/>
      <c r="OKE64" s="404"/>
      <c r="OKF64" s="404"/>
      <c r="OKG64" s="404"/>
      <c r="OKH64" s="404"/>
      <c r="OKI64" s="404"/>
      <c r="OKJ64" s="404"/>
      <c r="OKK64" s="404"/>
      <c r="OKL64" s="404"/>
      <c r="OKM64" s="404"/>
      <c r="OKN64" s="404"/>
      <c r="OKO64" s="404"/>
      <c r="OKP64" s="404"/>
      <c r="OKQ64" s="404"/>
      <c r="OKR64" s="404"/>
      <c r="OKS64" s="404"/>
      <c r="OKT64" s="404"/>
      <c r="OKU64" s="404"/>
      <c r="OKV64" s="404"/>
      <c r="OKW64" s="404"/>
      <c r="OKX64" s="404"/>
      <c r="OKY64" s="404"/>
      <c r="OKZ64" s="404"/>
      <c r="OLA64" s="404"/>
      <c r="OLB64" s="404"/>
      <c r="OLC64" s="404"/>
      <c r="OLD64" s="404"/>
      <c r="OLE64" s="404"/>
      <c r="OLF64" s="404"/>
      <c r="OLG64" s="404"/>
      <c r="OLH64" s="404"/>
      <c r="OLI64" s="404"/>
      <c r="OLJ64" s="404"/>
      <c r="OLK64" s="404"/>
      <c r="OLL64" s="404"/>
      <c r="OLM64" s="404"/>
      <c r="OLN64" s="404"/>
      <c r="OLO64" s="404"/>
      <c r="OLP64" s="404"/>
      <c r="OLQ64" s="404"/>
      <c r="OLR64" s="404"/>
      <c r="OLS64" s="404"/>
      <c r="OLT64" s="404"/>
      <c r="OLU64" s="404"/>
      <c r="OLV64" s="404"/>
      <c r="OLW64" s="404"/>
      <c r="OLX64" s="404"/>
      <c r="OLY64" s="404"/>
      <c r="OLZ64" s="404"/>
      <c r="OMA64" s="404"/>
      <c r="OMB64" s="404"/>
      <c r="OMC64" s="404"/>
      <c r="OMD64" s="404"/>
      <c r="OME64" s="404"/>
      <c r="OMF64" s="404"/>
      <c r="OMG64" s="404"/>
      <c r="OMH64" s="404"/>
      <c r="OMI64" s="404"/>
      <c r="OMJ64" s="404"/>
      <c r="OMK64" s="404"/>
      <c r="OML64" s="404"/>
      <c r="OMM64" s="404"/>
      <c r="OMN64" s="404"/>
      <c r="OMO64" s="404"/>
      <c r="OMP64" s="404"/>
      <c r="OMQ64" s="404"/>
      <c r="OMR64" s="404"/>
      <c r="OMS64" s="404"/>
      <c r="OMT64" s="404"/>
      <c r="OMU64" s="404"/>
      <c r="OMV64" s="404"/>
      <c r="OMW64" s="404"/>
      <c r="OMX64" s="404"/>
      <c r="OMY64" s="404"/>
      <c r="OMZ64" s="404"/>
      <c r="ONA64" s="404"/>
      <c r="ONB64" s="404"/>
      <c r="ONC64" s="404"/>
      <c r="OND64" s="404"/>
      <c r="ONE64" s="404"/>
      <c r="ONF64" s="404"/>
      <c r="ONG64" s="404"/>
      <c r="ONH64" s="404"/>
      <c r="ONI64" s="404"/>
      <c r="ONJ64" s="404"/>
      <c r="ONK64" s="404"/>
      <c r="ONL64" s="404"/>
      <c r="ONM64" s="404"/>
      <c r="ONN64" s="404"/>
      <c r="ONO64" s="404"/>
      <c r="ONP64" s="404"/>
      <c r="ONQ64" s="404"/>
      <c r="ONR64" s="404"/>
      <c r="ONS64" s="404"/>
      <c r="ONT64" s="404"/>
      <c r="ONU64" s="404"/>
      <c r="ONV64" s="404"/>
      <c r="ONW64" s="404"/>
      <c r="ONX64" s="404"/>
      <c r="ONY64" s="404"/>
      <c r="ONZ64" s="404"/>
      <c r="OOA64" s="404"/>
      <c r="OOB64" s="404"/>
      <c r="OOC64" s="404"/>
      <c r="OOD64" s="404"/>
      <c r="OOE64" s="404"/>
      <c r="OOF64" s="404"/>
      <c r="OOG64" s="404"/>
      <c r="OOH64" s="404"/>
      <c r="OOI64" s="404"/>
      <c r="OOJ64" s="404"/>
      <c r="OOK64" s="404"/>
      <c r="OOL64" s="404"/>
      <c r="OOM64" s="404"/>
      <c r="OON64" s="404"/>
      <c r="OOO64" s="404"/>
      <c r="OOP64" s="404"/>
      <c r="OOQ64" s="404"/>
      <c r="OOR64" s="404"/>
      <c r="OOS64" s="404"/>
      <c r="OOT64" s="404"/>
      <c r="OOU64" s="404"/>
      <c r="OOV64" s="404"/>
      <c r="OOW64" s="404"/>
      <c r="OOX64" s="404"/>
      <c r="OOY64" s="404"/>
      <c r="OOZ64" s="404"/>
      <c r="OPA64" s="404"/>
      <c r="OPB64" s="404"/>
      <c r="OPC64" s="404"/>
      <c r="OPD64" s="404"/>
      <c r="OPE64" s="404"/>
      <c r="OPF64" s="404"/>
      <c r="OPG64" s="404"/>
      <c r="OPH64" s="404"/>
      <c r="OPI64" s="404"/>
      <c r="OPJ64" s="404"/>
      <c r="OPK64" s="404"/>
      <c r="OPL64" s="404"/>
      <c r="OPM64" s="404"/>
      <c r="OPN64" s="404"/>
      <c r="OPO64" s="404"/>
      <c r="OPP64" s="404"/>
      <c r="OPQ64" s="404"/>
      <c r="OPR64" s="404"/>
      <c r="OPS64" s="404"/>
      <c r="OPT64" s="404"/>
      <c r="OPU64" s="404"/>
      <c r="OPV64" s="404"/>
      <c r="OPW64" s="404"/>
      <c r="OPX64" s="404"/>
      <c r="OPY64" s="404"/>
      <c r="OPZ64" s="404"/>
      <c r="OQA64" s="404"/>
      <c r="OQB64" s="404"/>
      <c r="OQC64" s="404"/>
      <c r="OQD64" s="404"/>
      <c r="OQE64" s="404"/>
      <c r="OQF64" s="404"/>
      <c r="OQG64" s="404"/>
      <c r="OQH64" s="404"/>
      <c r="OQI64" s="404"/>
      <c r="OQJ64" s="404"/>
      <c r="OQK64" s="404"/>
      <c r="OQL64" s="404"/>
      <c r="OQM64" s="404"/>
      <c r="OQN64" s="404"/>
      <c r="OQO64" s="404"/>
      <c r="OQP64" s="404"/>
      <c r="OQQ64" s="404"/>
      <c r="OQR64" s="404"/>
      <c r="OQS64" s="404"/>
      <c r="OQT64" s="404"/>
      <c r="OQU64" s="404"/>
      <c r="OQV64" s="404"/>
      <c r="OQW64" s="404"/>
      <c r="OQX64" s="404"/>
      <c r="OQY64" s="404"/>
      <c r="OQZ64" s="404"/>
      <c r="ORA64" s="404"/>
      <c r="ORB64" s="404"/>
      <c r="ORC64" s="404"/>
      <c r="ORD64" s="404"/>
      <c r="ORE64" s="404"/>
      <c r="ORF64" s="404"/>
      <c r="ORG64" s="404"/>
      <c r="ORH64" s="404"/>
      <c r="ORI64" s="404"/>
      <c r="ORJ64" s="404"/>
      <c r="ORK64" s="404"/>
      <c r="ORL64" s="404"/>
      <c r="ORM64" s="404"/>
      <c r="ORN64" s="404"/>
      <c r="ORO64" s="404"/>
      <c r="ORP64" s="404"/>
      <c r="ORQ64" s="404"/>
      <c r="ORR64" s="404"/>
      <c r="ORS64" s="404"/>
      <c r="ORT64" s="404"/>
      <c r="ORU64" s="404"/>
      <c r="ORV64" s="404"/>
      <c r="ORW64" s="404"/>
      <c r="ORX64" s="404"/>
      <c r="ORY64" s="404"/>
      <c r="ORZ64" s="404"/>
      <c r="OSA64" s="404"/>
      <c r="OSB64" s="404"/>
      <c r="OSC64" s="404"/>
      <c r="OSD64" s="404"/>
      <c r="OSE64" s="404"/>
      <c r="OSF64" s="404"/>
      <c r="OSG64" s="404"/>
      <c r="OSH64" s="404"/>
      <c r="OSI64" s="404"/>
      <c r="OSJ64" s="404"/>
      <c r="OSK64" s="404"/>
      <c r="OSL64" s="404"/>
      <c r="OSM64" s="404"/>
      <c r="OSN64" s="404"/>
      <c r="OSO64" s="404"/>
      <c r="OSP64" s="404"/>
      <c r="OSQ64" s="404"/>
      <c r="OSR64" s="404"/>
      <c r="OSS64" s="404"/>
      <c r="OST64" s="404"/>
      <c r="OSU64" s="404"/>
      <c r="OSV64" s="404"/>
      <c r="OSW64" s="404"/>
      <c r="OSX64" s="404"/>
      <c r="OSY64" s="404"/>
      <c r="OSZ64" s="404"/>
      <c r="OTA64" s="404"/>
      <c r="OTB64" s="404"/>
      <c r="OTC64" s="404"/>
      <c r="OTD64" s="404"/>
      <c r="OTE64" s="404"/>
      <c r="OTF64" s="404"/>
      <c r="OTG64" s="404"/>
      <c r="OTH64" s="404"/>
      <c r="OTI64" s="404"/>
      <c r="OTJ64" s="404"/>
      <c r="OTK64" s="404"/>
      <c r="OTL64" s="404"/>
      <c r="OTM64" s="404"/>
      <c r="OTN64" s="404"/>
      <c r="OTO64" s="404"/>
      <c r="OTP64" s="404"/>
      <c r="OTQ64" s="404"/>
      <c r="OTR64" s="404"/>
      <c r="OTS64" s="404"/>
      <c r="OTT64" s="404"/>
      <c r="OTU64" s="404"/>
      <c r="OTV64" s="404"/>
      <c r="OTW64" s="404"/>
      <c r="OTX64" s="404"/>
      <c r="OTY64" s="404"/>
      <c r="OTZ64" s="404"/>
      <c r="OUA64" s="404"/>
      <c r="OUB64" s="404"/>
      <c r="OUC64" s="404"/>
      <c r="OUD64" s="404"/>
      <c r="OUE64" s="404"/>
      <c r="OUF64" s="404"/>
      <c r="OUG64" s="404"/>
      <c r="OUH64" s="404"/>
      <c r="OUI64" s="404"/>
      <c r="OUJ64" s="404"/>
      <c r="OUK64" s="404"/>
      <c r="OUL64" s="404"/>
      <c r="OUM64" s="404"/>
      <c r="OUN64" s="404"/>
      <c r="OUO64" s="404"/>
      <c r="OUP64" s="404"/>
      <c r="OUQ64" s="404"/>
      <c r="OUR64" s="404"/>
      <c r="OUS64" s="404"/>
      <c r="OUT64" s="404"/>
      <c r="OUU64" s="404"/>
      <c r="OUV64" s="404"/>
      <c r="OUW64" s="404"/>
      <c r="OUX64" s="404"/>
      <c r="OUY64" s="404"/>
      <c r="OUZ64" s="404"/>
      <c r="OVA64" s="404"/>
      <c r="OVB64" s="404"/>
      <c r="OVC64" s="404"/>
      <c r="OVD64" s="404"/>
      <c r="OVE64" s="404"/>
      <c r="OVF64" s="404"/>
      <c r="OVG64" s="404"/>
      <c r="OVH64" s="404"/>
      <c r="OVI64" s="404"/>
      <c r="OVJ64" s="404"/>
      <c r="OVK64" s="404"/>
      <c r="OVL64" s="404"/>
      <c r="OVM64" s="404"/>
      <c r="OVN64" s="404"/>
      <c r="OVO64" s="404"/>
      <c r="OVP64" s="404"/>
      <c r="OVQ64" s="404"/>
      <c r="OVR64" s="404"/>
      <c r="OVS64" s="404"/>
      <c r="OVT64" s="404"/>
      <c r="OVU64" s="404"/>
      <c r="OVV64" s="404"/>
      <c r="OVW64" s="404"/>
      <c r="OVX64" s="404"/>
      <c r="OVY64" s="404"/>
      <c r="OVZ64" s="404"/>
      <c r="OWA64" s="404"/>
      <c r="OWB64" s="404"/>
      <c r="OWC64" s="404"/>
      <c r="OWD64" s="404"/>
      <c r="OWE64" s="404"/>
      <c r="OWF64" s="404"/>
      <c r="OWG64" s="404"/>
      <c r="OWH64" s="404"/>
      <c r="OWI64" s="404"/>
      <c r="OWJ64" s="404"/>
      <c r="OWK64" s="404"/>
      <c r="OWL64" s="404"/>
      <c r="OWM64" s="404"/>
      <c r="OWN64" s="404"/>
      <c r="OWO64" s="404"/>
      <c r="OWP64" s="404"/>
      <c r="OWQ64" s="404"/>
      <c r="OWR64" s="404"/>
      <c r="OWS64" s="404"/>
      <c r="OWT64" s="404"/>
      <c r="OWU64" s="404"/>
      <c r="OWV64" s="404"/>
      <c r="OWW64" s="404"/>
      <c r="OWX64" s="404"/>
      <c r="OWY64" s="404"/>
      <c r="OWZ64" s="404"/>
      <c r="OXA64" s="404"/>
      <c r="OXB64" s="404"/>
      <c r="OXC64" s="404"/>
      <c r="OXD64" s="404"/>
      <c r="OXE64" s="404"/>
      <c r="OXF64" s="404"/>
      <c r="OXG64" s="404"/>
      <c r="OXH64" s="404"/>
      <c r="OXI64" s="404"/>
      <c r="OXJ64" s="404"/>
      <c r="OXK64" s="404"/>
      <c r="OXL64" s="404"/>
      <c r="OXM64" s="404"/>
      <c r="OXN64" s="404"/>
      <c r="OXO64" s="404"/>
      <c r="OXP64" s="404"/>
      <c r="OXQ64" s="404"/>
      <c r="OXR64" s="404"/>
      <c r="OXS64" s="404"/>
      <c r="OXT64" s="404"/>
      <c r="OXU64" s="404"/>
      <c r="OXV64" s="404"/>
      <c r="OXW64" s="404"/>
      <c r="OXX64" s="404"/>
      <c r="OXY64" s="404"/>
      <c r="OXZ64" s="404"/>
      <c r="OYA64" s="404"/>
      <c r="OYB64" s="404"/>
      <c r="OYC64" s="404"/>
      <c r="OYD64" s="404"/>
      <c r="OYE64" s="404"/>
      <c r="OYF64" s="404"/>
      <c r="OYG64" s="404"/>
      <c r="OYH64" s="404"/>
      <c r="OYI64" s="404"/>
      <c r="OYJ64" s="404"/>
      <c r="OYK64" s="404"/>
      <c r="OYL64" s="404"/>
      <c r="OYM64" s="404"/>
      <c r="OYN64" s="404"/>
      <c r="OYO64" s="404"/>
      <c r="OYP64" s="404"/>
      <c r="OYQ64" s="404"/>
      <c r="OYR64" s="404"/>
      <c r="OYS64" s="404"/>
      <c r="OYT64" s="404"/>
      <c r="OYU64" s="404"/>
      <c r="OYV64" s="404"/>
      <c r="OYW64" s="404"/>
      <c r="OYX64" s="404"/>
      <c r="OYY64" s="404"/>
      <c r="OYZ64" s="404"/>
      <c r="OZA64" s="404"/>
      <c r="OZB64" s="404"/>
      <c r="OZC64" s="404"/>
      <c r="OZD64" s="404"/>
      <c r="OZE64" s="404"/>
      <c r="OZF64" s="404"/>
      <c r="OZG64" s="404"/>
      <c r="OZH64" s="404"/>
      <c r="OZI64" s="404"/>
      <c r="OZJ64" s="404"/>
      <c r="OZK64" s="404"/>
      <c r="OZL64" s="404"/>
      <c r="OZM64" s="404"/>
      <c r="OZN64" s="404"/>
      <c r="OZO64" s="404"/>
      <c r="OZP64" s="404"/>
      <c r="OZQ64" s="404"/>
      <c r="OZR64" s="404"/>
      <c r="OZS64" s="404"/>
      <c r="OZT64" s="404"/>
      <c r="OZU64" s="404"/>
      <c r="OZV64" s="404"/>
      <c r="OZW64" s="404"/>
      <c r="OZX64" s="404"/>
      <c r="OZY64" s="404"/>
      <c r="OZZ64" s="404"/>
      <c r="PAA64" s="404"/>
      <c r="PAB64" s="404"/>
      <c r="PAC64" s="404"/>
      <c r="PAD64" s="404"/>
      <c r="PAE64" s="404"/>
      <c r="PAF64" s="404"/>
      <c r="PAG64" s="404"/>
      <c r="PAH64" s="404"/>
      <c r="PAI64" s="404"/>
      <c r="PAJ64" s="404"/>
      <c r="PAK64" s="404"/>
      <c r="PAL64" s="404"/>
      <c r="PAM64" s="404"/>
      <c r="PAN64" s="404"/>
      <c r="PAO64" s="404"/>
      <c r="PAP64" s="404"/>
      <c r="PAQ64" s="404"/>
      <c r="PAR64" s="404"/>
      <c r="PAS64" s="404"/>
      <c r="PAT64" s="404"/>
      <c r="PAU64" s="404"/>
      <c r="PAV64" s="404"/>
      <c r="PAW64" s="404"/>
      <c r="PAX64" s="404"/>
      <c r="PAY64" s="404"/>
      <c r="PAZ64" s="404"/>
      <c r="PBA64" s="404"/>
      <c r="PBB64" s="404"/>
      <c r="PBC64" s="404"/>
      <c r="PBD64" s="404"/>
      <c r="PBE64" s="404"/>
      <c r="PBF64" s="404"/>
      <c r="PBG64" s="404"/>
      <c r="PBH64" s="404"/>
      <c r="PBI64" s="404"/>
      <c r="PBJ64" s="404"/>
      <c r="PBK64" s="404"/>
      <c r="PBL64" s="404"/>
      <c r="PBM64" s="404"/>
      <c r="PBN64" s="404"/>
      <c r="PBO64" s="404"/>
      <c r="PBP64" s="404"/>
      <c r="PBQ64" s="404"/>
      <c r="PBR64" s="404"/>
      <c r="PBS64" s="404"/>
      <c r="PBT64" s="404"/>
      <c r="PBU64" s="404"/>
      <c r="PBV64" s="404"/>
      <c r="PBW64" s="404"/>
      <c r="PBX64" s="404"/>
      <c r="PBY64" s="404"/>
      <c r="PBZ64" s="404"/>
      <c r="PCA64" s="404"/>
      <c r="PCB64" s="404"/>
      <c r="PCC64" s="404"/>
      <c r="PCD64" s="404"/>
      <c r="PCE64" s="404"/>
      <c r="PCF64" s="404"/>
      <c r="PCG64" s="404"/>
      <c r="PCH64" s="404"/>
      <c r="PCI64" s="404"/>
      <c r="PCJ64" s="404"/>
      <c r="PCK64" s="404"/>
      <c r="PCL64" s="404"/>
      <c r="PCM64" s="404"/>
      <c r="PCN64" s="404"/>
      <c r="PCO64" s="404"/>
      <c r="PCP64" s="404"/>
      <c r="PCQ64" s="404"/>
      <c r="PCR64" s="404"/>
      <c r="PCS64" s="404"/>
      <c r="PCT64" s="404"/>
      <c r="PCU64" s="404"/>
      <c r="PCV64" s="404"/>
      <c r="PCW64" s="404"/>
      <c r="PCX64" s="404"/>
      <c r="PCY64" s="404"/>
      <c r="PCZ64" s="404"/>
      <c r="PDA64" s="404"/>
      <c r="PDB64" s="404"/>
      <c r="PDC64" s="404"/>
      <c r="PDD64" s="404"/>
      <c r="PDE64" s="404"/>
      <c r="PDF64" s="404"/>
      <c r="PDG64" s="404"/>
      <c r="PDH64" s="404"/>
      <c r="PDI64" s="404"/>
      <c r="PDJ64" s="404"/>
      <c r="PDK64" s="404"/>
      <c r="PDL64" s="404"/>
      <c r="PDM64" s="404"/>
      <c r="PDN64" s="404"/>
      <c r="PDO64" s="404"/>
      <c r="PDP64" s="404"/>
      <c r="PDQ64" s="404"/>
      <c r="PDR64" s="404"/>
      <c r="PDS64" s="404"/>
      <c r="PDT64" s="404"/>
      <c r="PDU64" s="404"/>
      <c r="PDV64" s="404"/>
      <c r="PDW64" s="404"/>
      <c r="PDX64" s="404"/>
      <c r="PDY64" s="404"/>
      <c r="PDZ64" s="404"/>
      <c r="PEA64" s="404"/>
      <c r="PEB64" s="404"/>
      <c r="PEC64" s="404"/>
      <c r="PED64" s="404"/>
      <c r="PEE64" s="404"/>
      <c r="PEF64" s="404"/>
      <c r="PEG64" s="404"/>
      <c r="PEH64" s="404"/>
      <c r="PEI64" s="404"/>
      <c r="PEJ64" s="404"/>
      <c r="PEK64" s="404"/>
      <c r="PEL64" s="404"/>
      <c r="PEM64" s="404"/>
      <c r="PEN64" s="404"/>
      <c r="PEO64" s="404"/>
      <c r="PEP64" s="404"/>
      <c r="PEQ64" s="404"/>
      <c r="PER64" s="404"/>
      <c r="PES64" s="404"/>
      <c r="PET64" s="404"/>
      <c r="PEU64" s="404"/>
      <c r="PEV64" s="404"/>
      <c r="PEW64" s="404"/>
      <c r="PEX64" s="404"/>
      <c r="PEY64" s="404"/>
      <c r="PEZ64" s="404"/>
      <c r="PFA64" s="404"/>
      <c r="PFB64" s="404"/>
      <c r="PFC64" s="404"/>
      <c r="PFD64" s="404"/>
      <c r="PFE64" s="404"/>
      <c r="PFF64" s="404"/>
      <c r="PFG64" s="404"/>
      <c r="PFH64" s="404"/>
      <c r="PFI64" s="404"/>
      <c r="PFJ64" s="404"/>
      <c r="PFK64" s="404"/>
      <c r="PFL64" s="404"/>
      <c r="PFM64" s="404"/>
      <c r="PFN64" s="404"/>
      <c r="PFO64" s="404"/>
      <c r="PFP64" s="404"/>
      <c r="PFQ64" s="404"/>
      <c r="PFR64" s="404"/>
      <c r="PFS64" s="404"/>
      <c r="PFT64" s="404"/>
      <c r="PFU64" s="404"/>
      <c r="PFV64" s="404"/>
      <c r="PFW64" s="404"/>
      <c r="PFX64" s="404"/>
      <c r="PFY64" s="404"/>
      <c r="PFZ64" s="404"/>
      <c r="PGA64" s="404"/>
      <c r="PGB64" s="404"/>
      <c r="PGC64" s="404"/>
      <c r="PGD64" s="404"/>
      <c r="PGE64" s="404"/>
      <c r="PGF64" s="404"/>
      <c r="PGG64" s="404"/>
      <c r="PGH64" s="404"/>
      <c r="PGI64" s="404"/>
      <c r="PGJ64" s="404"/>
      <c r="PGK64" s="404"/>
      <c r="PGL64" s="404"/>
      <c r="PGM64" s="404"/>
      <c r="PGN64" s="404"/>
      <c r="PGO64" s="404"/>
      <c r="PGP64" s="404"/>
      <c r="PGQ64" s="404"/>
      <c r="PGR64" s="404"/>
      <c r="PGS64" s="404"/>
      <c r="PGT64" s="404"/>
      <c r="PGU64" s="404"/>
      <c r="PGV64" s="404"/>
      <c r="PGW64" s="404"/>
      <c r="PGX64" s="404"/>
      <c r="PGY64" s="404"/>
      <c r="PGZ64" s="404"/>
      <c r="PHA64" s="404"/>
      <c r="PHB64" s="404"/>
      <c r="PHC64" s="404"/>
      <c r="PHD64" s="404"/>
      <c r="PHE64" s="404"/>
      <c r="PHF64" s="404"/>
      <c r="PHG64" s="404"/>
      <c r="PHH64" s="404"/>
      <c r="PHI64" s="404"/>
      <c r="PHJ64" s="404"/>
      <c r="PHK64" s="404"/>
      <c r="PHL64" s="404"/>
      <c r="PHM64" s="404"/>
      <c r="PHN64" s="404"/>
      <c r="PHO64" s="404"/>
      <c r="PHP64" s="404"/>
      <c r="PHQ64" s="404"/>
      <c r="PHR64" s="404"/>
      <c r="PHS64" s="404"/>
      <c r="PHT64" s="404"/>
      <c r="PHU64" s="404"/>
      <c r="PHV64" s="404"/>
      <c r="PHW64" s="404"/>
      <c r="PHX64" s="404"/>
      <c r="PHY64" s="404"/>
      <c r="PHZ64" s="404"/>
      <c r="PIA64" s="404"/>
      <c r="PIB64" s="404"/>
      <c r="PIC64" s="404"/>
      <c r="PID64" s="404"/>
      <c r="PIE64" s="404"/>
      <c r="PIF64" s="404"/>
      <c r="PIG64" s="404"/>
      <c r="PIH64" s="404"/>
      <c r="PII64" s="404"/>
      <c r="PIJ64" s="404"/>
      <c r="PIK64" s="404"/>
      <c r="PIL64" s="404"/>
      <c r="PIM64" s="404"/>
      <c r="PIN64" s="404"/>
      <c r="PIO64" s="404"/>
      <c r="PIP64" s="404"/>
      <c r="PIQ64" s="404"/>
      <c r="PIR64" s="404"/>
      <c r="PIS64" s="404"/>
      <c r="PIT64" s="404"/>
      <c r="PIU64" s="404"/>
      <c r="PIV64" s="404"/>
      <c r="PIW64" s="404"/>
      <c r="PIX64" s="404"/>
      <c r="PIY64" s="404"/>
      <c r="PIZ64" s="404"/>
      <c r="PJA64" s="404"/>
      <c r="PJB64" s="404"/>
      <c r="PJC64" s="404"/>
      <c r="PJD64" s="404"/>
      <c r="PJE64" s="404"/>
      <c r="PJF64" s="404"/>
      <c r="PJG64" s="404"/>
      <c r="PJH64" s="404"/>
      <c r="PJI64" s="404"/>
      <c r="PJJ64" s="404"/>
      <c r="PJK64" s="404"/>
      <c r="PJL64" s="404"/>
      <c r="PJM64" s="404"/>
      <c r="PJN64" s="404"/>
      <c r="PJO64" s="404"/>
      <c r="PJP64" s="404"/>
      <c r="PJQ64" s="404"/>
      <c r="PJR64" s="404"/>
      <c r="PJS64" s="404"/>
      <c r="PJT64" s="404"/>
      <c r="PJU64" s="404"/>
      <c r="PJV64" s="404"/>
      <c r="PJW64" s="404"/>
      <c r="PJX64" s="404"/>
      <c r="PJY64" s="404"/>
      <c r="PJZ64" s="404"/>
      <c r="PKA64" s="404"/>
      <c r="PKB64" s="404"/>
      <c r="PKC64" s="404"/>
      <c r="PKD64" s="404"/>
      <c r="PKE64" s="404"/>
      <c r="PKF64" s="404"/>
      <c r="PKG64" s="404"/>
      <c r="PKH64" s="404"/>
      <c r="PKI64" s="404"/>
      <c r="PKJ64" s="404"/>
      <c r="PKK64" s="404"/>
      <c r="PKL64" s="404"/>
      <c r="PKM64" s="404"/>
      <c r="PKN64" s="404"/>
      <c r="PKO64" s="404"/>
      <c r="PKP64" s="404"/>
      <c r="PKQ64" s="404"/>
      <c r="PKR64" s="404"/>
      <c r="PKS64" s="404"/>
      <c r="PKT64" s="404"/>
      <c r="PKU64" s="404"/>
      <c r="PKV64" s="404"/>
      <c r="PKW64" s="404"/>
      <c r="PKX64" s="404"/>
      <c r="PKY64" s="404"/>
      <c r="PKZ64" s="404"/>
      <c r="PLA64" s="404"/>
      <c r="PLB64" s="404"/>
      <c r="PLC64" s="404"/>
      <c r="PLD64" s="404"/>
      <c r="PLE64" s="404"/>
      <c r="PLF64" s="404"/>
      <c r="PLG64" s="404"/>
      <c r="PLH64" s="404"/>
      <c r="PLI64" s="404"/>
      <c r="PLJ64" s="404"/>
      <c r="PLK64" s="404"/>
      <c r="PLL64" s="404"/>
      <c r="PLM64" s="404"/>
      <c r="PLN64" s="404"/>
      <c r="PLO64" s="404"/>
      <c r="PLP64" s="404"/>
      <c r="PLQ64" s="404"/>
      <c r="PLR64" s="404"/>
      <c r="PLS64" s="404"/>
      <c r="PLT64" s="404"/>
      <c r="PLU64" s="404"/>
      <c r="PLV64" s="404"/>
      <c r="PLW64" s="404"/>
      <c r="PLX64" s="404"/>
      <c r="PLY64" s="404"/>
      <c r="PLZ64" s="404"/>
      <c r="PMA64" s="404"/>
      <c r="PMB64" s="404"/>
      <c r="PMC64" s="404"/>
      <c r="PMD64" s="404"/>
      <c r="PME64" s="404"/>
      <c r="PMF64" s="404"/>
      <c r="PMG64" s="404"/>
      <c r="PMH64" s="404"/>
      <c r="PMI64" s="404"/>
      <c r="PMJ64" s="404"/>
      <c r="PMK64" s="404"/>
      <c r="PML64" s="404"/>
      <c r="PMM64" s="404"/>
      <c r="PMN64" s="404"/>
      <c r="PMO64" s="404"/>
      <c r="PMP64" s="404"/>
      <c r="PMQ64" s="404"/>
      <c r="PMR64" s="404"/>
      <c r="PMS64" s="404"/>
      <c r="PMT64" s="404"/>
      <c r="PMU64" s="404"/>
      <c r="PMV64" s="404"/>
      <c r="PMW64" s="404"/>
      <c r="PMX64" s="404"/>
      <c r="PMY64" s="404"/>
      <c r="PMZ64" s="404"/>
      <c r="PNA64" s="404"/>
      <c r="PNB64" s="404"/>
      <c r="PNC64" s="404"/>
      <c r="PND64" s="404"/>
      <c r="PNE64" s="404"/>
      <c r="PNF64" s="404"/>
      <c r="PNG64" s="404"/>
      <c r="PNH64" s="404"/>
      <c r="PNI64" s="404"/>
      <c r="PNJ64" s="404"/>
      <c r="PNK64" s="404"/>
      <c r="PNL64" s="404"/>
      <c r="PNM64" s="404"/>
      <c r="PNN64" s="404"/>
      <c r="PNO64" s="404"/>
      <c r="PNP64" s="404"/>
      <c r="PNQ64" s="404"/>
      <c r="PNR64" s="404"/>
      <c r="PNS64" s="404"/>
      <c r="PNT64" s="404"/>
      <c r="PNU64" s="404"/>
      <c r="PNV64" s="404"/>
      <c r="PNW64" s="404"/>
      <c r="PNX64" s="404"/>
      <c r="PNY64" s="404"/>
      <c r="PNZ64" s="404"/>
      <c r="POA64" s="404"/>
      <c r="POB64" s="404"/>
      <c r="POC64" s="404"/>
      <c r="POD64" s="404"/>
      <c r="POE64" s="404"/>
      <c r="POF64" s="404"/>
      <c r="POG64" s="404"/>
      <c r="POH64" s="404"/>
      <c r="POI64" s="404"/>
      <c r="POJ64" s="404"/>
      <c r="POK64" s="404"/>
      <c r="POL64" s="404"/>
      <c r="POM64" s="404"/>
      <c r="PON64" s="404"/>
      <c r="POO64" s="404"/>
      <c r="POP64" s="404"/>
      <c r="POQ64" s="404"/>
      <c r="POR64" s="404"/>
      <c r="POS64" s="404"/>
      <c r="POT64" s="404"/>
      <c r="POU64" s="404"/>
      <c r="POV64" s="404"/>
      <c r="POW64" s="404"/>
      <c r="POX64" s="404"/>
      <c r="POY64" s="404"/>
      <c r="POZ64" s="404"/>
      <c r="PPA64" s="404"/>
      <c r="PPB64" s="404"/>
      <c r="PPC64" s="404"/>
      <c r="PPD64" s="404"/>
      <c r="PPE64" s="404"/>
      <c r="PPF64" s="404"/>
      <c r="PPG64" s="404"/>
      <c r="PPH64" s="404"/>
      <c r="PPI64" s="404"/>
      <c r="PPJ64" s="404"/>
      <c r="PPK64" s="404"/>
      <c r="PPL64" s="404"/>
      <c r="PPM64" s="404"/>
      <c r="PPN64" s="404"/>
      <c r="PPO64" s="404"/>
      <c r="PPP64" s="404"/>
      <c r="PPQ64" s="404"/>
      <c r="PPR64" s="404"/>
      <c r="PPS64" s="404"/>
      <c r="PPT64" s="404"/>
      <c r="PPU64" s="404"/>
      <c r="PPV64" s="404"/>
      <c r="PPW64" s="404"/>
      <c r="PPX64" s="404"/>
      <c r="PPY64" s="404"/>
      <c r="PPZ64" s="404"/>
      <c r="PQA64" s="404"/>
      <c r="PQB64" s="404"/>
      <c r="PQC64" s="404"/>
      <c r="PQD64" s="404"/>
      <c r="PQE64" s="404"/>
      <c r="PQF64" s="404"/>
      <c r="PQG64" s="404"/>
      <c r="PQH64" s="404"/>
      <c r="PQI64" s="404"/>
      <c r="PQJ64" s="404"/>
      <c r="PQK64" s="404"/>
      <c r="PQL64" s="404"/>
      <c r="PQM64" s="404"/>
      <c r="PQN64" s="404"/>
      <c r="PQO64" s="404"/>
      <c r="PQP64" s="404"/>
      <c r="PQQ64" s="404"/>
      <c r="PQR64" s="404"/>
      <c r="PQS64" s="404"/>
      <c r="PQT64" s="404"/>
      <c r="PQU64" s="404"/>
      <c r="PQV64" s="404"/>
      <c r="PQW64" s="404"/>
      <c r="PQX64" s="404"/>
      <c r="PQY64" s="404"/>
      <c r="PQZ64" s="404"/>
      <c r="PRA64" s="404"/>
      <c r="PRB64" s="404"/>
      <c r="PRC64" s="404"/>
      <c r="PRD64" s="404"/>
      <c r="PRE64" s="404"/>
      <c r="PRF64" s="404"/>
      <c r="PRG64" s="404"/>
      <c r="PRH64" s="404"/>
      <c r="PRI64" s="404"/>
      <c r="PRJ64" s="404"/>
      <c r="PRK64" s="404"/>
      <c r="PRL64" s="404"/>
      <c r="PRM64" s="404"/>
      <c r="PRN64" s="404"/>
      <c r="PRO64" s="404"/>
      <c r="PRP64" s="404"/>
      <c r="PRQ64" s="404"/>
      <c r="PRR64" s="404"/>
      <c r="PRS64" s="404"/>
      <c r="PRT64" s="404"/>
      <c r="PRU64" s="404"/>
      <c r="PRV64" s="404"/>
      <c r="PRW64" s="404"/>
      <c r="PRX64" s="404"/>
      <c r="PRY64" s="404"/>
      <c r="PRZ64" s="404"/>
      <c r="PSA64" s="404"/>
      <c r="PSB64" s="404"/>
      <c r="PSC64" s="404"/>
      <c r="PSD64" s="404"/>
      <c r="PSE64" s="404"/>
      <c r="PSF64" s="404"/>
      <c r="PSG64" s="404"/>
      <c r="PSH64" s="404"/>
      <c r="PSI64" s="404"/>
      <c r="PSJ64" s="404"/>
      <c r="PSK64" s="404"/>
      <c r="PSL64" s="404"/>
      <c r="PSM64" s="404"/>
      <c r="PSN64" s="404"/>
      <c r="PSO64" s="404"/>
      <c r="PSP64" s="404"/>
      <c r="PSQ64" s="404"/>
      <c r="PSR64" s="404"/>
      <c r="PSS64" s="404"/>
      <c r="PST64" s="404"/>
      <c r="PSU64" s="404"/>
      <c r="PSV64" s="404"/>
      <c r="PSW64" s="404"/>
      <c r="PSX64" s="404"/>
      <c r="PSY64" s="404"/>
      <c r="PSZ64" s="404"/>
      <c r="PTA64" s="404"/>
      <c r="PTB64" s="404"/>
      <c r="PTC64" s="404"/>
      <c r="PTD64" s="404"/>
      <c r="PTE64" s="404"/>
      <c r="PTF64" s="404"/>
      <c r="PTG64" s="404"/>
      <c r="PTH64" s="404"/>
      <c r="PTI64" s="404"/>
      <c r="PTJ64" s="404"/>
      <c r="PTK64" s="404"/>
      <c r="PTL64" s="404"/>
      <c r="PTM64" s="404"/>
      <c r="PTN64" s="404"/>
      <c r="PTO64" s="404"/>
      <c r="PTP64" s="404"/>
      <c r="PTQ64" s="404"/>
      <c r="PTR64" s="404"/>
      <c r="PTS64" s="404"/>
      <c r="PTT64" s="404"/>
      <c r="PTU64" s="404"/>
      <c r="PTV64" s="404"/>
      <c r="PTW64" s="404"/>
      <c r="PTX64" s="404"/>
      <c r="PTY64" s="404"/>
      <c r="PTZ64" s="404"/>
      <c r="PUA64" s="404"/>
      <c r="PUB64" s="404"/>
      <c r="PUC64" s="404"/>
      <c r="PUD64" s="404"/>
      <c r="PUE64" s="404"/>
      <c r="PUF64" s="404"/>
      <c r="PUG64" s="404"/>
      <c r="PUH64" s="404"/>
      <c r="PUI64" s="404"/>
      <c r="PUJ64" s="404"/>
      <c r="PUK64" s="404"/>
      <c r="PUL64" s="404"/>
      <c r="PUM64" s="404"/>
      <c r="PUN64" s="404"/>
      <c r="PUO64" s="404"/>
      <c r="PUP64" s="404"/>
      <c r="PUQ64" s="404"/>
      <c r="PUR64" s="404"/>
      <c r="PUS64" s="404"/>
      <c r="PUT64" s="404"/>
      <c r="PUU64" s="404"/>
      <c r="PUV64" s="404"/>
      <c r="PUW64" s="404"/>
      <c r="PUX64" s="404"/>
      <c r="PUY64" s="404"/>
      <c r="PUZ64" s="404"/>
      <c r="PVA64" s="404"/>
      <c r="PVB64" s="404"/>
      <c r="PVC64" s="404"/>
      <c r="PVD64" s="404"/>
      <c r="PVE64" s="404"/>
      <c r="PVF64" s="404"/>
      <c r="PVG64" s="404"/>
      <c r="PVH64" s="404"/>
      <c r="PVI64" s="404"/>
      <c r="PVJ64" s="404"/>
      <c r="PVK64" s="404"/>
      <c r="PVL64" s="404"/>
      <c r="PVM64" s="404"/>
      <c r="PVN64" s="404"/>
      <c r="PVO64" s="404"/>
      <c r="PVP64" s="404"/>
      <c r="PVQ64" s="404"/>
      <c r="PVR64" s="404"/>
      <c r="PVS64" s="404"/>
      <c r="PVT64" s="404"/>
      <c r="PVU64" s="404"/>
      <c r="PVV64" s="404"/>
      <c r="PVW64" s="404"/>
      <c r="PVX64" s="404"/>
      <c r="PVY64" s="404"/>
      <c r="PVZ64" s="404"/>
      <c r="PWA64" s="404"/>
      <c r="PWB64" s="404"/>
      <c r="PWC64" s="404"/>
      <c r="PWD64" s="404"/>
      <c r="PWE64" s="404"/>
      <c r="PWF64" s="404"/>
      <c r="PWG64" s="404"/>
      <c r="PWH64" s="404"/>
      <c r="PWI64" s="404"/>
      <c r="PWJ64" s="404"/>
      <c r="PWK64" s="404"/>
      <c r="PWL64" s="404"/>
      <c r="PWM64" s="404"/>
      <c r="PWN64" s="404"/>
      <c r="PWO64" s="404"/>
      <c r="PWP64" s="404"/>
      <c r="PWQ64" s="404"/>
      <c r="PWR64" s="404"/>
      <c r="PWS64" s="404"/>
      <c r="PWT64" s="404"/>
      <c r="PWU64" s="404"/>
      <c r="PWV64" s="404"/>
      <c r="PWW64" s="404"/>
      <c r="PWX64" s="404"/>
      <c r="PWY64" s="404"/>
      <c r="PWZ64" s="404"/>
      <c r="PXA64" s="404"/>
      <c r="PXB64" s="404"/>
      <c r="PXC64" s="404"/>
      <c r="PXD64" s="404"/>
      <c r="PXE64" s="404"/>
      <c r="PXF64" s="404"/>
      <c r="PXG64" s="404"/>
      <c r="PXH64" s="404"/>
      <c r="PXI64" s="404"/>
      <c r="PXJ64" s="404"/>
      <c r="PXK64" s="404"/>
      <c r="PXL64" s="404"/>
      <c r="PXM64" s="404"/>
      <c r="PXN64" s="404"/>
      <c r="PXO64" s="404"/>
      <c r="PXP64" s="404"/>
      <c r="PXQ64" s="404"/>
      <c r="PXR64" s="404"/>
      <c r="PXS64" s="404"/>
      <c r="PXT64" s="404"/>
      <c r="PXU64" s="404"/>
      <c r="PXV64" s="404"/>
      <c r="PXW64" s="404"/>
      <c r="PXX64" s="404"/>
      <c r="PXY64" s="404"/>
      <c r="PXZ64" s="404"/>
      <c r="PYA64" s="404"/>
      <c r="PYB64" s="404"/>
      <c r="PYC64" s="404"/>
      <c r="PYD64" s="404"/>
      <c r="PYE64" s="404"/>
      <c r="PYF64" s="404"/>
      <c r="PYG64" s="404"/>
      <c r="PYH64" s="404"/>
      <c r="PYI64" s="404"/>
      <c r="PYJ64" s="404"/>
      <c r="PYK64" s="404"/>
      <c r="PYL64" s="404"/>
      <c r="PYM64" s="404"/>
      <c r="PYN64" s="404"/>
      <c r="PYO64" s="404"/>
      <c r="PYP64" s="404"/>
      <c r="PYQ64" s="404"/>
      <c r="PYR64" s="404"/>
      <c r="PYS64" s="404"/>
      <c r="PYT64" s="404"/>
      <c r="PYU64" s="404"/>
      <c r="PYV64" s="404"/>
      <c r="PYW64" s="404"/>
      <c r="PYX64" s="404"/>
      <c r="PYY64" s="404"/>
      <c r="PYZ64" s="404"/>
      <c r="PZA64" s="404"/>
      <c r="PZB64" s="404"/>
      <c r="PZC64" s="404"/>
      <c r="PZD64" s="404"/>
      <c r="PZE64" s="404"/>
      <c r="PZF64" s="404"/>
      <c r="PZG64" s="404"/>
      <c r="PZH64" s="404"/>
      <c r="PZI64" s="404"/>
      <c r="PZJ64" s="404"/>
      <c r="PZK64" s="404"/>
      <c r="PZL64" s="404"/>
      <c r="PZM64" s="404"/>
      <c r="PZN64" s="404"/>
      <c r="PZO64" s="404"/>
      <c r="PZP64" s="404"/>
      <c r="PZQ64" s="404"/>
      <c r="PZR64" s="404"/>
      <c r="PZS64" s="404"/>
      <c r="PZT64" s="404"/>
      <c r="PZU64" s="404"/>
      <c r="PZV64" s="404"/>
      <c r="PZW64" s="404"/>
      <c r="PZX64" s="404"/>
      <c r="PZY64" s="404"/>
      <c r="PZZ64" s="404"/>
      <c r="QAA64" s="404"/>
      <c r="QAB64" s="404"/>
      <c r="QAC64" s="404"/>
      <c r="QAD64" s="404"/>
      <c r="QAE64" s="404"/>
      <c r="QAF64" s="404"/>
      <c r="QAG64" s="404"/>
      <c r="QAH64" s="404"/>
      <c r="QAI64" s="404"/>
      <c r="QAJ64" s="404"/>
      <c r="QAK64" s="404"/>
      <c r="QAL64" s="404"/>
      <c r="QAM64" s="404"/>
      <c r="QAN64" s="404"/>
      <c r="QAO64" s="404"/>
      <c r="QAP64" s="404"/>
      <c r="QAQ64" s="404"/>
      <c r="QAR64" s="404"/>
      <c r="QAS64" s="404"/>
      <c r="QAT64" s="404"/>
      <c r="QAU64" s="404"/>
      <c r="QAV64" s="404"/>
      <c r="QAW64" s="404"/>
      <c r="QAX64" s="404"/>
      <c r="QAY64" s="404"/>
      <c r="QAZ64" s="404"/>
      <c r="QBA64" s="404"/>
      <c r="QBB64" s="404"/>
      <c r="QBC64" s="404"/>
      <c r="QBD64" s="404"/>
      <c r="QBE64" s="404"/>
      <c r="QBF64" s="404"/>
      <c r="QBG64" s="404"/>
      <c r="QBH64" s="404"/>
      <c r="QBI64" s="404"/>
      <c r="QBJ64" s="404"/>
      <c r="QBK64" s="404"/>
      <c r="QBL64" s="404"/>
      <c r="QBM64" s="404"/>
      <c r="QBN64" s="404"/>
      <c r="QBO64" s="404"/>
      <c r="QBP64" s="404"/>
      <c r="QBQ64" s="404"/>
      <c r="QBR64" s="404"/>
      <c r="QBS64" s="404"/>
      <c r="QBT64" s="404"/>
      <c r="QBU64" s="404"/>
      <c r="QBV64" s="404"/>
      <c r="QBW64" s="404"/>
      <c r="QBX64" s="404"/>
      <c r="QBY64" s="404"/>
      <c r="QBZ64" s="404"/>
      <c r="QCA64" s="404"/>
      <c r="QCB64" s="404"/>
      <c r="QCC64" s="404"/>
      <c r="QCD64" s="404"/>
      <c r="QCE64" s="404"/>
      <c r="QCF64" s="404"/>
      <c r="QCG64" s="404"/>
      <c r="QCH64" s="404"/>
      <c r="QCI64" s="404"/>
      <c r="QCJ64" s="404"/>
      <c r="QCK64" s="404"/>
      <c r="QCL64" s="404"/>
      <c r="QCM64" s="404"/>
      <c r="QCN64" s="404"/>
      <c r="QCO64" s="404"/>
      <c r="QCP64" s="404"/>
      <c r="QCQ64" s="404"/>
      <c r="QCR64" s="404"/>
      <c r="QCS64" s="404"/>
      <c r="QCT64" s="404"/>
      <c r="QCU64" s="404"/>
      <c r="QCV64" s="404"/>
      <c r="QCW64" s="404"/>
      <c r="QCX64" s="404"/>
      <c r="QCY64" s="404"/>
      <c r="QCZ64" s="404"/>
      <c r="QDA64" s="404"/>
      <c r="QDB64" s="404"/>
      <c r="QDC64" s="404"/>
      <c r="QDD64" s="404"/>
      <c r="QDE64" s="404"/>
      <c r="QDF64" s="404"/>
      <c r="QDG64" s="404"/>
      <c r="QDH64" s="404"/>
      <c r="QDI64" s="404"/>
      <c r="QDJ64" s="404"/>
      <c r="QDK64" s="404"/>
      <c r="QDL64" s="404"/>
      <c r="QDM64" s="404"/>
      <c r="QDN64" s="404"/>
      <c r="QDO64" s="404"/>
      <c r="QDP64" s="404"/>
      <c r="QDQ64" s="404"/>
      <c r="QDR64" s="404"/>
      <c r="QDS64" s="404"/>
      <c r="QDT64" s="404"/>
      <c r="QDU64" s="404"/>
      <c r="QDV64" s="404"/>
      <c r="QDW64" s="404"/>
      <c r="QDX64" s="404"/>
      <c r="QDY64" s="404"/>
      <c r="QDZ64" s="404"/>
      <c r="QEA64" s="404"/>
      <c r="QEB64" s="404"/>
      <c r="QEC64" s="404"/>
      <c r="QED64" s="404"/>
      <c r="QEE64" s="404"/>
      <c r="QEF64" s="404"/>
      <c r="QEG64" s="404"/>
      <c r="QEH64" s="404"/>
      <c r="QEI64" s="404"/>
      <c r="QEJ64" s="404"/>
      <c r="QEK64" s="404"/>
      <c r="QEL64" s="404"/>
      <c r="QEM64" s="404"/>
      <c r="QEN64" s="404"/>
      <c r="QEO64" s="404"/>
      <c r="QEP64" s="404"/>
      <c r="QEQ64" s="404"/>
      <c r="QER64" s="404"/>
      <c r="QES64" s="404"/>
      <c r="QET64" s="404"/>
      <c r="QEU64" s="404"/>
      <c r="QEV64" s="404"/>
      <c r="QEW64" s="404"/>
      <c r="QEX64" s="404"/>
      <c r="QEY64" s="404"/>
      <c r="QEZ64" s="404"/>
      <c r="QFA64" s="404"/>
      <c r="QFB64" s="404"/>
      <c r="QFC64" s="404"/>
      <c r="QFD64" s="404"/>
      <c r="QFE64" s="404"/>
      <c r="QFF64" s="404"/>
      <c r="QFG64" s="404"/>
      <c r="QFH64" s="404"/>
      <c r="QFI64" s="404"/>
      <c r="QFJ64" s="404"/>
      <c r="QFK64" s="404"/>
      <c r="QFL64" s="404"/>
      <c r="QFM64" s="404"/>
      <c r="QFN64" s="404"/>
      <c r="QFO64" s="404"/>
      <c r="QFP64" s="404"/>
      <c r="QFQ64" s="404"/>
      <c r="QFR64" s="404"/>
      <c r="QFS64" s="404"/>
      <c r="QFT64" s="404"/>
      <c r="QFU64" s="404"/>
      <c r="QFV64" s="404"/>
      <c r="QFW64" s="404"/>
      <c r="QFX64" s="404"/>
      <c r="QFY64" s="404"/>
      <c r="QFZ64" s="404"/>
      <c r="QGA64" s="404"/>
      <c r="QGB64" s="404"/>
      <c r="QGC64" s="404"/>
      <c r="QGD64" s="404"/>
      <c r="QGE64" s="404"/>
      <c r="QGF64" s="404"/>
      <c r="QGG64" s="404"/>
      <c r="QGH64" s="404"/>
      <c r="QGI64" s="404"/>
      <c r="QGJ64" s="404"/>
      <c r="QGK64" s="404"/>
      <c r="QGL64" s="404"/>
      <c r="QGM64" s="404"/>
      <c r="QGN64" s="404"/>
      <c r="QGO64" s="404"/>
      <c r="QGP64" s="404"/>
      <c r="QGQ64" s="404"/>
      <c r="QGR64" s="404"/>
      <c r="QGS64" s="404"/>
      <c r="QGT64" s="404"/>
      <c r="QGU64" s="404"/>
      <c r="QGV64" s="404"/>
      <c r="QGW64" s="404"/>
      <c r="QGX64" s="404"/>
      <c r="QGY64" s="404"/>
      <c r="QGZ64" s="404"/>
      <c r="QHA64" s="404"/>
      <c r="QHB64" s="404"/>
      <c r="QHC64" s="404"/>
      <c r="QHD64" s="404"/>
      <c r="QHE64" s="404"/>
      <c r="QHF64" s="404"/>
      <c r="QHG64" s="404"/>
      <c r="QHH64" s="404"/>
      <c r="QHI64" s="404"/>
      <c r="QHJ64" s="404"/>
      <c r="QHK64" s="404"/>
      <c r="QHL64" s="404"/>
      <c r="QHM64" s="404"/>
      <c r="QHN64" s="404"/>
      <c r="QHO64" s="404"/>
      <c r="QHP64" s="404"/>
      <c r="QHQ64" s="404"/>
      <c r="QHR64" s="404"/>
      <c r="QHS64" s="404"/>
      <c r="QHT64" s="404"/>
      <c r="QHU64" s="404"/>
      <c r="QHV64" s="404"/>
      <c r="QHW64" s="404"/>
      <c r="QHX64" s="404"/>
      <c r="QHY64" s="404"/>
      <c r="QHZ64" s="404"/>
      <c r="QIA64" s="404"/>
      <c r="QIB64" s="404"/>
      <c r="QIC64" s="404"/>
      <c r="QID64" s="404"/>
      <c r="QIE64" s="404"/>
      <c r="QIF64" s="404"/>
      <c r="QIG64" s="404"/>
      <c r="QIH64" s="404"/>
      <c r="QII64" s="404"/>
      <c r="QIJ64" s="404"/>
      <c r="QIK64" s="404"/>
      <c r="QIL64" s="404"/>
      <c r="QIM64" s="404"/>
      <c r="QIN64" s="404"/>
      <c r="QIO64" s="404"/>
      <c r="QIP64" s="404"/>
      <c r="QIQ64" s="404"/>
      <c r="QIR64" s="404"/>
      <c r="QIS64" s="404"/>
      <c r="QIT64" s="404"/>
      <c r="QIU64" s="404"/>
      <c r="QIV64" s="404"/>
      <c r="QIW64" s="404"/>
      <c r="QIX64" s="404"/>
      <c r="QIY64" s="404"/>
      <c r="QIZ64" s="404"/>
      <c r="QJA64" s="404"/>
      <c r="QJB64" s="404"/>
      <c r="QJC64" s="404"/>
      <c r="QJD64" s="404"/>
      <c r="QJE64" s="404"/>
      <c r="QJF64" s="404"/>
      <c r="QJG64" s="404"/>
      <c r="QJH64" s="404"/>
      <c r="QJI64" s="404"/>
      <c r="QJJ64" s="404"/>
      <c r="QJK64" s="404"/>
      <c r="QJL64" s="404"/>
      <c r="QJM64" s="404"/>
      <c r="QJN64" s="404"/>
      <c r="QJO64" s="404"/>
      <c r="QJP64" s="404"/>
      <c r="QJQ64" s="404"/>
      <c r="QJR64" s="404"/>
      <c r="QJS64" s="404"/>
      <c r="QJT64" s="404"/>
      <c r="QJU64" s="404"/>
      <c r="QJV64" s="404"/>
      <c r="QJW64" s="404"/>
      <c r="QJX64" s="404"/>
      <c r="QJY64" s="404"/>
      <c r="QJZ64" s="404"/>
      <c r="QKA64" s="404"/>
      <c r="QKB64" s="404"/>
      <c r="QKC64" s="404"/>
      <c r="QKD64" s="404"/>
      <c r="QKE64" s="404"/>
      <c r="QKF64" s="404"/>
      <c r="QKG64" s="404"/>
      <c r="QKH64" s="404"/>
      <c r="QKI64" s="404"/>
      <c r="QKJ64" s="404"/>
      <c r="QKK64" s="404"/>
      <c r="QKL64" s="404"/>
      <c r="QKM64" s="404"/>
      <c r="QKN64" s="404"/>
      <c r="QKO64" s="404"/>
      <c r="QKP64" s="404"/>
      <c r="QKQ64" s="404"/>
      <c r="QKR64" s="404"/>
      <c r="QKS64" s="404"/>
      <c r="QKT64" s="404"/>
      <c r="QKU64" s="404"/>
      <c r="QKV64" s="404"/>
      <c r="QKW64" s="404"/>
      <c r="QKX64" s="404"/>
      <c r="QKY64" s="404"/>
      <c r="QKZ64" s="404"/>
      <c r="QLA64" s="404"/>
      <c r="QLB64" s="404"/>
      <c r="QLC64" s="404"/>
      <c r="QLD64" s="404"/>
      <c r="QLE64" s="404"/>
      <c r="QLF64" s="404"/>
      <c r="QLG64" s="404"/>
      <c r="QLH64" s="404"/>
      <c r="QLI64" s="404"/>
      <c r="QLJ64" s="404"/>
      <c r="QLK64" s="404"/>
      <c r="QLL64" s="404"/>
      <c r="QLM64" s="404"/>
      <c r="QLN64" s="404"/>
      <c r="QLO64" s="404"/>
      <c r="QLP64" s="404"/>
      <c r="QLQ64" s="404"/>
      <c r="QLR64" s="404"/>
      <c r="QLS64" s="404"/>
      <c r="QLT64" s="404"/>
      <c r="QLU64" s="404"/>
      <c r="QLV64" s="404"/>
      <c r="QLW64" s="404"/>
      <c r="QLX64" s="404"/>
      <c r="QLY64" s="404"/>
      <c r="QLZ64" s="404"/>
      <c r="QMA64" s="404"/>
      <c r="QMB64" s="404"/>
      <c r="QMC64" s="404"/>
      <c r="QMD64" s="404"/>
      <c r="QME64" s="404"/>
      <c r="QMF64" s="404"/>
      <c r="QMG64" s="404"/>
      <c r="QMH64" s="404"/>
      <c r="QMI64" s="404"/>
      <c r="QMJ64" s="404"/>
      <c r="QMK64" s="404"/>
      <c r="QML64" s="404"/>
      <c r="QMM64" s="404"/>
      <c r="QMN64" s="404"/>
      <c r="QMO64" s="404"/>
      <c r="QMP64" s="404"/>
      <c r="QMQ64" s="404"/>
      <c r="QMR64" s="404"/>
      <c r="QMS64" s="404"/>
      <c r="QMT64" s="404"/>
      <c r="QMU64" s="404"/>
      <c r="QMV64" s="404"/>
      <c r="QMW64" s="404"/>
      <c r="QMX64" s="404"/>
      <c r="QMY64" s="404"/>
      <c r="QMZ64" s="404"/>
      <c r="QNA64" s="404"/>
      <c r="QNB64" s="404"/>
      <c r="QNC64" s="404"/>
      <c r="QND64" s="404"/>
      <c r="QNE64" s="404"/>
      <c r="QNF64" s="404"/>
      <c r="QNG64" s="404"/>
      <c r="QNH64" s="404"/>
      <c r="QNI64" s="404"/>
      <c r="QNJ64" s="404"/>
      <c r="QNK64" s="404"/>
      <c r="QNL64" s="404"/>
      <c r="QNM64" s="404"/>
      <c r="QNN64" s="404"/>
      <c r="QNO64" s="404"/>
      <c r="QNP64" s="404"/>
      <c r="QNQ64" s="404"/>
      <c r="QNR64" s="404"/>
      <c r="QNS64" s="404"/>
      <c r="QNT64" s="404"/>
      <c r="QNU64" s="404"/>
      <c r="QNV64" s="404"/>
      <c r="QNW64" s="404"/>
      <c r="QNX64" s="404"/>
      <c r="QNY64" s="404"/>
      <c r="QNZ64" s="404"/>
      <c r="QOA64" s="404"/>
      <c r="QOB64" s="404"/>
      <c r="QOC64" s="404"/>
      <c r="QOD64" s="404"/>
      <c r="QOE64" s="404"/>
      <c r="QOF64" s="404"/>
      <c r="QOG64" s="404"/>
      <c r="QOH64" s="404"/>
      <c r="QOI64" s="404"/>
      <c r="QOJ64" s="404"/>
      <c r="QOK64" s="404"/>
      <c r="QOL64" s="404"/>
      <c r="QOM64" s="404"/>
      <c r="QON64" s="404"/>
      <c r="QOO64" s="404"/>
      <c r="QOP64" s="404"/>
      <c r="QOQ64" s="404"/>
      <c r="QOR64" s="404"/>
      <c r="QOS64" s="404"/>
      <c r="QOT64" s="404"/>
      <c r="QOU64" s="404"/>
      <c r="QOV64" s="404"/>
      <c r="QOW64" s="404"/>
      <c r="QOX64" s="404"/>
      <c r="QOY64" s="404"/>
      <c r="QOZ64" s="404"/>
      <c r="QPA64" s="404"/>
      <c r="QPB64" s="404"/>
      <c r="QPC64" s="404"/>
      <c r="QPD64" s="404"/>
      <c r="QPE64" s="404"/>
      <c r="QPF64" s="404"/>
      <c r="QPG64" s="404"/>
      <c r="QPH64" s="404"/>
      <c r="QPI64" s="404"/>
      <c r="QPJ64" s="404"/>
      <c r="QPK64" s="404"/>
      <c r="QPL64" s="404"/>
      <c r="QPM64" s="404"/>
      <c r="QPN64" s="404"/>
      <c r="QPO64" s="404"/>
      <c r="QPP64" s="404"/>
      <c r="QPQ64" s="404"/>
      <c r="QPR64" s="404"/>
      <c r="QPS64" s="404"/>
      <c r="QPT64" s="404"/>
      <c r="QPU64" s="404"/>
      <c r="QPV64" s="404"/>
      <c r="QPW64" s="404"/>
      <c r="QPX64" s="404"/>
      <c r="QPY64" s="404"/>
      <c r="QPZ64" s="404"/>
      <c r="QQA64" s="404"/>
      <c r="QQB64" s="404"/>
      <c r="QQC64" s="404"/>
      <c r="QQD64" s="404"/>
      <c r="QQE64" s="404"/>
      <c r="QQF64" s="404"/>
      <c r="QQG64" s="404"/>
      <c r="QQH64" s="404"/>
      <c r="QQI64" s="404"/>
      <c r="QQJ64" s="404"/>
      <c r="QQK64" s="404"/>
      <c r="QQL64" s="404"/>
      <c r="QQM64" s="404"/>
      <c r="QQN64" s="404"/>
      <c r="QQO64" s="404"/>
      <c r="QQP64" s="404"/>
      <c r="QQQ64" s="404"/>
      <c r="QQR64" s="404"/>
      <c r="QQS64" s="404"/>
      <c r="QQT64" s="404"/>
      <c r="QQU64" s="404"/>
      <c r="QQV64" s="404"/>
      <c r="QQW64" s="404"/>
      <c r="QQX64" s="404"/>
      <c r="QQY64" s="404"/>
      <c r="QQZ64" s="404"/>
      <c r="QRA64" s="404"/>
      <c r="QRB64" s="404"/>
      <c r="QRC64" s="404"/>
      <c r="QRD64" s="404"/>
      <c r="QRE64" s="404"/>
      <c r="QRF64" s="404"/>
      <c r="QRG64" s="404"/>
      <c r="QRH64" s="404"/>
      <c r="QRI64" s="404"/>
      <c r="QRJ64" s="404"/>
      <c r="QRK64" s="404"/>
      <c r="QRL64" s="404"/>
      <c r="QRM64" s="404"/>
      <c r="QRN64" s="404"/>
      <c r="QRO64" s="404"/>
      <c r="QRP64" s="404"/>
      <c r="QRQ64" s="404"/>
      <c r="QRR64" s="404"/>
      <c r="QRS64" s="404"/>
      <c r="QRT64" s="404"/>
      <c r="QRU64" s="404"/>
      <c r="QRV64" s="404"/>
      <c r="QRW64" s="404"/>
      <c r="QRX64" s="404"/>
      <c r="QRY64" s="404"/>
      <c r="QRZ64" s="404"/>
      <c r="QSA64" s="404"/>
      <c r="QSB64" s="404"/>
      <c r="QSC64" s="404"/>
      <c r="QSD64" s="404"/>
      <c r="QSE64" s="404"/>
      <c r="QSF64" s="404"/>
      <c r="QSG64" s="404"/>
      <c r="QSH64" s="404"/>
      <c r="QSI64" s="404"/>
      <c r="QSJ64" s="404"/>
      <c r="QSK64" s="404"/>
      <c r="QSL64" s="404"/>
      <c r="QSM64" s="404"/>
      <c r="QSN64" s="404"/>
      <c r="QSO64" s="404"/>
      <c r="QSP64" s="404"/>
      <c r="QSQ64" s="404"/>
      <c r="QSR64" s="404"/>
      <c r="QSS64" s="404"/>
      <c r="QST64" s="404"/>
      <c r="QSU64" s="404"/>
      <c r="QSV64" s="404"/>
      <c r="QSW64" s="404"/>
      <c r="QSX64" s="404"/>
      <c r="QSY64" s="404"/>
      <c r="QSZ64" s="404"/>
      <c r="QTA64" s="404"/>
      <c r="QTB64" s="404"/>
      <c r="QTC64" s="404"/>
      <c r="QTD64" s="404"/>
      <c r="QTE64" s="404"/>
      <c r="QTF64" s="404"/>
      <c r="QTG64" s="404"/>
      <c r="QTH64" s="404"/>
      <c r="QTI64" s="404"/>
      <c r="QTJ64" s="404"/>
      <c r="QTK64" s="404"/>
      <c r="QTL64" s="404"/>
      <c r="QTM64" s="404"/>
      <c r="QTN64" s="404"/>
      <c r="QTO64" s="404"/>
      <c r="QTP64" s="404"/>
      <c r="QTQ64" s="404"/>
      <c r="QTR64" s="404"/>
      <c r="QTS64" s="404"/>
      <c r="QTT64" s="404"/>
      <c r="QTU64" s="404"/>
      <c r="QTV64" s="404"/>
      <c r="QTW64" s="404"/>
      <c r="QTX64" s="404"/>
      <c r="QTY64" s="404"/>
      <c r="QTZ64" s="404"/>
      <c r="QUA64" s="404"/>
      <c r="QUB64" s="404"/>
      <c r="QUC64" s="404"/>
      <c r="QUD64" s="404"/>
      <c r="QUE64" s="404"/>
      <c r="QUF64" s="404"/>
      <c r="QUG64" s="404"/>
      <c r="QUH64" s="404"/>
      <c r="QUI64" s="404"/>
      <c r="QUJ64" s="404"/>
      <c r="QUK64" s="404"/>
      <c r="QUL64" s="404"/>
      <c r="QUM64" s="404"/>
      <c r="QUN64" s="404"/>
      <c r="QUO64" s="404"/>
      <c r="QUP64" s="404"/>
      <c r="QUQ64" s="404"/>
      <c r="QUR64" s="404"/>
      <c r="QUS64" s="404"/>
      <c r="QUT64" s="404"/>
      <c r="QUU64" s="404"/>
      <c r="QUV64" s="404"/>
      <c r="QUW64" s="404"/>
      <c r="QUX64" s="404"/>
      <c r="QUY64" s="404"/>
      <c r="QUZ64" s="404"/>
      <c r="QVA64" s="404"/>
      <c r="QVB64" s="404"/>
      <c r="QVC64" s="404"/>
      <c r="QVD64" s="404"/>
      <c r="QVE64" s="404"/>
      <c r="QVF64" s="404"/>
      <c r="QVG64" s="404"/>
      <c r="QVH64" s="404"/>
      <c r="QVI64" s="404"/>
      <c r="QVJ64" s="404"/>
      <c r="QVK64" s="404"/>
      <c r="QVL64" s="404"/>
      <c r="QVM64" s="404"/>
      <c r="QVN64" s="404"/>
      <c r="QVO64" s="404"/>
      <c r="QVP64" s="404"/>
      <c r="QVQ64" s="404"/>
      <c r="QVR64" s="404"/>
      <c r="QVS64" s="404"/>
      <c r="QVT64" s="404"/>
      <c r="QVU64" s="404"/>
      <c r="QVV64" s="404"/>
      <c r="QVW64" s="404"/>
      <c r="QVX64" s="404"/>
      <c r="QVY64" s="404"/>
      <c r="QVZ64" s="404"/>
      <c r="QWA64" s="404"/>
      <c r="QWB64" s="404"/>
      <c r="QWC64" s="404"/>
      <c r="QWD64" s="404"/>
      <c r="QWE64" s="404"/>
      <c r="QWF64" s="404"/>
      <c r="QWG64" s="404"/>
      <c r="QWH64" s="404"/>
      <c r="QWI64" s="404"/>
      <c r="QWJ64" s="404"/>
      <c r="QWK64" s="404"/>
      <c r="QWL64" s="404"/>
      <c r="QWM64" s="404"/>
      <c r="QWN64" s="404"/>
      <c r="QWO64" s="404"/>
      <c r="QWP64" s="404"/>
      <c r="QWQ64" s="404"/>
      <c r="QWR64" s="404"/>
      <c r="QWS64" s="404"/>
      <c r="QWT64" s="404"/>
      <c r="QWU64" s="404"/>
      <c r="QWV64" s="404"/>
      <c r="QWW64" s="404"/>
      <c r="QWX64" s="404"/>
      <c r="QWY64" s="404"/>
      <c r="QWZ64" s="404"/>
      <c r="QXA64" s="404"/>
      <c r="QXB64" s="404"/>
      <c r="QXC64" s="404"/>
      <c r="QXD64" s="404"/>
      <c r="QXE64" s="404"/>
      <c r="QXF64" s="404"/>
      <c r="QXG64" s="404"/>
      <c r="QXH64" s="404"/>
      <c r="QXI64" s="404"/>
      <c r="QXJ64" s="404"/>
      <c r="QXK64" s="404"/>
      <c r="QXL64" s="404"/>
      <c r="QXM64" s="404"/>
      <c r="QXN64" s="404"/>
      <c r="QXO64" s="404"/>
      <c r="QXP64" s="404"/>
      <c r="QXQ64" s="404"/>
      <c r="QXR64" s="404"/>
      <c r="QXS64" s="404"/>
      <c r="QXT64" s="404"/>
      <c r="QXU64" s="404"/>
      <c r="QXV64" s="404"/>
      <c r="QXW64" s="404"/>
      <c r="QXX64" s="404"/>
      <c r="QXY64" s="404"/>
      <c r="QXZ64" s="404"/>
      <c r="QYA64" s="404"/>
      <c r="QYB64" s="404"/>
      <c r="QYC64" s="404"/>
      <c r="QYD64" s="404"/>
      <c r="QYE64" s="404"/>
      <c r="QYF64" s="404"/>
      <c r="QYG64" s="404"/>
      <c r="QYH64" s="404"/>
      <c r="QYI64" s="404"/>
      <c r="QYJ64" s="404"/>
      <c r="QYK64" s="404"/>
      <c r="QYL64" s="404"/>
      <c r="QYM64" s="404"/>
      <c r="QYN64" s="404"/>
      <c r="QYO64" s="404"/>
      <c r="QYP64" s="404"/>
      <c r="QYQ64" s="404"/>
      <c r="QYR64" s="404"/>
      <c r="QYS64" s="404"/>
      <c r="QYT64" s="404"/>
      <c r="QYU64" s="404"/>
      <c r="QYV64" s="404"/>
      <c r="QYW64" s="404"/>
      <c r="QYX64" s="404"/>
      <c r="QYY64" s="404"/>
      <c r="QYZ64" s="404"/>
      <c r="QZA64" s="404"/>
      <c r="QZB64" s="404"/>
      <c r="QZC64" s="404"/>
      <c r="QZD64" s="404"/>
      <c r="QZE64" s="404"/>
      <c r="QZF64" s="404"/>
      <c r="QZG64" s="404"/>
      <c r="QZH64" s="404"/>
      <c r="QZI64" s="404"/>
      <c r="QZJ64" s="404"/>
      <c r="QZK64" s="404"/>
      <c r="QZL64" s="404"/>
      <c r="QZM64" s="404"/>
      <c r="QZN64" s="404"/>
      <c r="QZO64" s="404"/>
      <c r="QZP64" s="404"/>
      <c r="QZQ64" s="404"/>
      <c r="QZR64" s="404"/>
      <c r="QZS64" s="404"/>
      <c r="QZT64" s="404"/>
      <c r="QZU64" s="404"/>
      <c r="QZV64" s="404"/>
      <c r="QZW64" s="404"/>
      <c r="QZX64" s="404"/>
      <c r="QZY64" s="404"/>
      <c r="QZZ64" s="404"/>
      <c r="RAA64" s="404"/>
      <c r="RAB64" s="404"/>
      <c r="RAC64" s="404"/>
      <c r="RAD64" s="404"/>
      <c r="RAE64" s="404"/>
      <c r="RAF64" s="404"/>
      <c r="RAG64" s="404"/>
      <c r="RAH64" s="404"/>
      <c r="RAI64" s="404"/>
      <c r="RAJ64" s="404"/>
      <c r="RAK64" s="404"/>
      <c r="RAL64" s="404"/>
      <c r="RAM64" s="404"/>
      <c r="RAN64" s="404"/>
      <c r="RAO64" s="404"/>
      <c r="RAP64" s="404"/>
      <c r="RAQ64" s="404"/>
      <c r="RAR64" s="404"/>
      <c r="RAS64" s="404"/>
      <c r="RAT64" s="404"/>
      <c r="RAU64" s="404"/>
      <c r="RAV64" s="404"/>
      <c r="RAW64" s="404"/>
      <c r="RAX64" s="404"/>
      <c r="RAY64" s="404"/>
      <c r="RAZ64" s="404"/>
      <c r="RBA64" s="404"/>
      <c r="RBB64" s="404"/>
      <c r="RBC64" s="404"/>
      <c r="RBD64" s="404"/>
      <c r="RBE64" s="404"/>
      <c r="RBF64" s="404"/>
      <c r="RBG64" s="404"/>
      <c r="RBH64" s="404"/>
      <c r="RBI64" s="404"/>
      <c r="RBJ64" s="404"/>
      <c r="RBK64" s="404"/>
      <c r="RBL64" s="404"/>
      <c r="RBM64" s="404"/>
      <c r="RBN64" s="404"/>
      <c r="RBO64" s="404"/>
      <c r="RBP64" s="404"/>
      <c r="RBQ64" s="404"/>
      <c r="RBR64" s="404"/>
      <c r="RBS64" s="404"/>
      <c r="RBT64" s="404"/>
      <c r="RBU64" s="404"/>
      <c r="RBV64" s="404"/>
      <c r="RBW64" s="404"/>
      <c r="RBX64" s="404"/>
      <c r="RBY64" s="404"/>
      <c r="RBZ64" s="404"/>
      <c r="RCA64" s="404"/>
      <c r="RCB64" s="404"/>
      <c r="RCC64" s="404"/>
      <c r="RCD64" s="404"/>
      <c r="RCE64" s="404"/>
      <c r="RCF64" s="404"/>
      <c r="RCG64" s="404"/>
      <c r="RCH64" s="404"/>
      <c r="RCI64" s="404"/>
      <c r="RCJ64" s="404"/>
      <c r="RCK64" s="404"/>
      <c r="RCL64" s="404"/>
      <c r="RCM64" s="404"/>
      <c r="RCN64" s="404"/>
      <c r="RCO64" s="404"/>
      <c r="RCP64" s="404"/>
      <c r="RCQ64" s="404"/>
      <c r="RCR64" s="404"/>
      <c r="RCS64" s="404"/>
      <c r="RCT64" s="404"/>
      <c r="RCU64" s="404"/>
      <c r="RCV64" s="404"/>
      <c r="RCW64" s="404"/>
      <c r="RCX64" s="404"/>
      <c r="RCY64" s="404"/>
      <c r="RCZ64" s="404"/>
      <c r="RDA64" s="404"/>
      <c r="RDB64" s="404"/>
      <c r="RDC64" s="404"/>
      <c r="RDD64" s="404"/>
      <c r="RDE64" s="404"/>
      <c r="RDF64" s="404"/>
      <c r="RDG64" s="404"/>
      <c r="RDH64" s="404"/>
      <c r="RDI64" s="404"/>
      <c r="RDJ64" s="404"/>
      <c r="RDK64" s="404"/>
      <c r="RDL64" s="404"/>
      <c r="RDM64" s="404"/>
      <c r="RDN64" s="404"/>
      <c r="RDO64" s="404"/>
      <c r="RDP64" s="404"/>
      <c r="RDQ64" s="404"/>
      <c r="RDR64" s="404"/>
      <c r="RDS64" s="404"/>
      <c r="RDT64" s="404"/>
      <c r="RDU64" s="404"/>
      <c r="RDV64" s="404"/>
      <c r="RDW64" s="404"/>
      <c r="RDX64" s="404"/>
      <c r="RDY64" s="404"/>
      <c r="RDZ64" s="404"/>
      <c r="REA64" s="404"/>
      <c r="REB64" s="404"/>
      <c r="REC64" s="404"/>
      <c r="RED64" s="404"/>
      <c r="REE64" s="404"/>
      <c r="REF64" s="404"/>
      <c r="REG64" s="404"/>
      <c r="REH64" s="404"/>
      <c r="REI64" s="404"/>
      <c r="REJ64" s="404"/>
      <c r="REK64" s="404"/>
      <c r="REL64" s="404"/>
      <c r="REM64" s="404"/>
      <c r="REN64" s="404"/>
      <c r="REO64" s="404"/>
      <c r="REP64" s="404"/>
      <c r="REQ64" s="404"/>
      <c r="RER64" s="404"/>
      <c r="RES64" s="404"/>
      <c r="RET64" s="404"/>
      <c r="REU64" s="404"/>
      <c r="REV64" s="404"/>
      <c r="REW64" s="404"/>
      <c r="REX64" s="404"/>
      <c r="REY64" s="404"/>
      <c r="REZ64" s="404"/>
      <c r="RFA64" s="404"/>
      <c r="RFB64" s="404"/>
      <c r="RFC64" s="404"/>
      <c r="RFD64" s="404"/>
      <c r="RFE64" s="404"/>
      <c r="RFF64" s="404"/>
      <c r="RFG64" s="404"/>
      <c r="RFH64" s="404"/>
      <c r="RFI64" s="404"/>
      <c r="RFJ64" s="404"/>
      <c r="RFK64" s="404"/>
      <c r="RFL64" s="404"/>
      <c r="RFM64" s="404"/>
      <c r="RFN64" s="404"/>
      <c r="RFO64" s="404"/>
      <c r="RFP64" s="404"/>
      <c r="RFQ64" s="404"/>
      <c r="RFR64" s="404"/>
      <c r="RFS64" s="404"/>
      <c r="RFT64" s="404"/>
      <c r="RFU64" s="404"/>
      <c r="RFV64" s="404"/>
      <c r="RFW64" s="404"/>
      <c r="RFX64" s="404"/>
      <c r="RFY64" s="404"/>
      <c r="RFZ64" s="404"/>
      <c r="RGA64" s="404"/>
      <c r="RGB64" s="404"/>
      <c r="RGC64" s="404"/>
      <c r="RGD64" s="404"/>
      <c r="RGE64" s="404"/>
      <c r="RGF64" s="404"/>
      <c r="RGG64" s="404"/>
      <c r="RGH64" s="404"/>
      <c r="RGI64" s="404"/>
      <c r="RGJ64" s="404"/>
      <c r="RGK64" s="404"/>
      <c r="RGL64" s="404"/>
      <c r="RGM64" s="404"/>
      <c r="RGN64" s="404"/>
      <c r="RGO64" s="404"/>
      <c r="RGP64" s="404"/>
      <c r="RGQ64" s="404"/>
      <c r="RGR64" s="404"/>
      <c r="RGS64" s="404"/>
      <c r="RGT64" s="404"/>
      <c r="RGU64" s="404"/>
      <c r="RGV64" s="404"/>
      <c r="RGW64" s="404"/>
      <c r="RGX64" s="404"/>
      <c r="RGY64" s="404"/>
      <c r="RGZ64" s="404"/>
      <c r="RHA64" s="404"/>
      <c r="RHB64" s="404"/>
      <c r="RHC64" s="404"/>
      <c r="RHD64" s="404"/>
      <c r="RHE64" s="404"/>
      <c r="RHF64" s="404"/>
      <c r="RHG64" s="404"/>
      <c r="RHH64" s="404"/>
      <c r="RHI64" s="404"/>
      <c r="RHJ64" s="404"/>
      <c r="RHK64" s="404"/>
      <c r="RHL64" s="404"/>
      <c r="RHM64" s="404"/>
      <c r="RHN64" s="404"/>
      <c r="RHO64" s="404"/>
      <c r="RHP64" s="404"/>
      <c r="RHQ64" s="404"/>
      <c r="RHR64" s="404"/>
      <c r="RHS64" s="404"/>
      <c r="RHT64" s="404"/>
      <c r="RHU64" s="404"/>
      <c r="RHV64" s="404"/>
      <c r="RHW64" s="404"/>
      <c r="RHX64" s="404"/>
      <c r="RHY64" s="404"/>
      <c r="RHZ64" s="404"/>
      <c r="RIA64" s="404"/>
      <c r="RIB64" s="404"/>
      <c r="RIC64" s="404"/>
      <c r="RID64" s="404"/>
      <c r="RIE64" s="404"/>
      <c r="RIF64" s="404"/>
      <c r="RIG64" s="404"/>
      <c r="RIH64" s="404"/>
      <c r="RII64" s="404"/>
      <c r="RIJ64" s="404"/>
      <c r="RIK64" s="404"/>
      <c r="RIL64" s="404"/>
      <c r="RIM64" s="404"/>
      <c r="RIN64" s="404"/>
      <c r="RIO64" s="404"/>
      <c r="RIP64" s="404"/>
      <c r="RIQ64" s="404"/>
      <c r="RIR64" s="404"/>
      <c r="RIS64" s="404"/>
      <c r="RIT64" s="404"/>
      <c r="RIU64" s="404"/>
      <c r="RIV64" s="404"/>
      <c r="RIW64" s="404"/>
      <c r="RIX64" s="404"/>
      <c r="RIY64" s="404"/>
      <c r="RIZ64" s="404"/>
      <c r="RJA64" s="404"/>
      <c r="RJB64" s="404"/>
      <c r="RJC64" s="404"/>
      <c r="RJD64" s="404"/>
      <c r="RJE64" s="404"/>
      <c r="RJF64" s="404"/>
      <c r="RJG64" s="404"/>
      <c r="RJH64" s="404"/>
      <c r="RJI64" s="404"/>
      <c r="RJJ64" s="404"/>
      <c r="RJK64" s="404"/>
      <c r="RJL64" s="404"/>
      <c r="RJM64" s="404"/>
      <c r="RJN64" s="404"/>
      <c r="RJO64" s="404"/>
      <c r="RJP64" s="404"/>
      <c r="RJQ64" s="404"/>
      <c r="RJR64" s="404"/>
      <c r="RJS64" s="404"/>
      <c r="RJT64" s="404"/>
      <c r="RJU64" s="404"/>
      <c r="RJV64" s="404"/>
      <c r="RJW64" s="404"/>
      <c r="RJX64" s="404"/>
      <c r="RJY64" s="404"/>
      <c r="RJZ64" s="404"/>
      <c r="RKA64" s="404"/>
      <c r="RKB64" s="404"/>
      <c r="RKC64" s="404"/>
      <c r="RKD64" s="404"/>
      <c r="RKE64" s="404"/>
      <c r="RKF64" s="404"/>
      <c r="RKG64" s="404"/>
      <c r="RKH64" s="404"/>
      <c r="RKI64" s="404"/>
      <c r="RKJ64" s="404"/>
      <c r="RKK64" s="404"/>
      <c r="RKL64" s="404"/>
      <c r="RKM64" s="404"/>
      <c r="RKN64" s="404"/>
      <c r="RKO64" s="404"/>
      <c r="RKP64" s="404"/>
      <c r="RKQ64" s="404"/>
      <c r="RKR64" s="404"/>
      <c r="RKS64" s="404"/>
      <c r="RKT64" s="404"/>
      <c r="RKU64" s="404"/>
      <c r="RKV64" s="404"/>
      <c r="RKW64" s="404"/>
      <c r="RKX64" s="404"/>
      <c r="RKY64" s="404"/>
      <c r="RKZ64" s="404"/>
      <c r="RLA64" s="404"/>
      <c r="RLB64" s="404"/>
      <c r="RLC64" s="404"/>
      <c r="RLD64" s="404"/>
      <c r="RLE64" s="404"/>
      <c r="RLF64" s="404"/>
      <c r="RLG64" s="404"/>
      <c r="RLH64" s="404"/>
      <c r="RLI64" s="404"/>
      <c r="RLJ64" s="404"/>
      <c r="RLK64" s="404"/>
      <c r="RLL64" s="404"/>
      <c r="RLM64" s="404"/>
      <c r="RLN64" s="404"/>
      <c r="RLO64" s="404"/>
      <c r="RLP64" s="404"/>
      <c r="RLQ64" s="404"/>
      <c r="RLR64" s="404"/>
      <c r="RLS64" s="404"/>
      <c r="RLT64" s="404"/>
      <c r="RLU64" s="404"/>
      <c r="RLV64" s="404"/>
      <c r="RLW64" s="404"/>
      <c r="RLX64" s="404"/>
      <c r="RLY64" s="404"/>
      <c r="RLZ64" s="404"/>
      <c r="RMA64" s="404"/>
      <c r="RMB64" s="404"/>
      <c r="RMC64" s="404"/>
      <c r="RMD64" s="404"/>
      <c r="RME64" s="404"/>
      <c r="RMF64" s="404"/>
      <c r="RMG64" s="404"/>
      <c r="RMH64" s="404"/>
      <c r="RMI64" s="404"/>
      <c r="RMJ64" s="404"/>
      <c r="RMK64" s="404"/>
      <c r="RML64" s="404"/>
      <c r="RMM64" s="404"/>
      <c r="RMN64" s="404"/>
      <c r="RMO64" s="404"/>
      <c r="RMP64" s="404"/>
      <c r="RMQ64" s="404"/>
      <c r="RMR64" s="404"/>
      <c r="RMS64" s="404"/>
      <c r="RMT64" s="404"/>
      <c r="RMU64" s="404"/>
      <c r="RMV64" s="404"/>
      <c r="RMW64" s="404"/>
      <c r="RMX64" s="404"/>
      <c r="RMY64" s="404"/>
      <c r="RMZ64" s="404"/>
      <c r="RNA64" s="404"/>
      <c r="RNB64" s="404"/>
      <c r="RNC64" s="404"/>
      <c r="RND64" s="404"/>
      <c r="RNE64" s="404"/>
      <c r="RNF64" s="404"/>
      <c r="RNG64" s="404"/>
      <c r="RNH64" s="404"/>
      <c r="RNI64" s="404"/>
      <c r="RNJ64" s="404"/>
      <c r="RNK64" s="404"/>
      <c r="RNL64" s="404"/>
      <c r="RNM64" s="404"/>
      <c r="RNN64" s="404"/>
      <c r="RNO64" s="404"/>
      <c r="RNP64" s="404"/>
      <c r="RNQ64" s="404"/>
      <c r="RNR64" s="404"/>
      <c r="RNS64" s="404"/>
      <c r="RNT64" s="404"/>
      <c r="RNU64" s="404"/>
      <c r="RNV64" s="404"/>
      <c r="RNW64" s="404"/>
      <c r="RNX64" s="404"/>
      <c r="RNY64" s="404"/>
      <c r="RNZ64" s="404"/>
      <c r="ROA64" s="404"/>
      <c r="ROB64" s="404"/>
      <c r="ROC64" s="404"/>
      <c r="ROD64" s="404"/>
      <c r="ROE64" s="404"/>
      <c r="ROF64" s="404"/>
      <c r="ROG64" s="404"/>
      <c r="ROH64" s="404"/>
      <c r="ROI64" s="404"/>
      <c r="ROJ64" s="404"/>
      <c r="ROK64" s="404"/>
      <c r="ROL64" s="404"/>
      <c r="ROM64" s="404"/>
      <c r="RON64" s="404"/>
      <c r="ROO64" s="404"/>
      <c r="ROP64" s="404"/>
      <c r="ROQ64" s="404"/>
      <c r="ROR64" s="404"/>
      <c r="ROS64" s="404"/>
      <c r="ROT64" s="404"/>
      <c r="ROU64" s="404"/>
      <c r="ROV64" s="404"/>
      <c r="ROW64" s="404"/>
      <c r="ROX64" s="404"/>
      <c r="ROY64" s="404"/>
      <c r="ROZ64" s="404"/>
      <c r="RPA64" s="404"/>
      <c r="RPB64" s="404"/>
      <c r="RPC64" s="404"/>
      <c r="RPD64" s="404"/>
      <c r="RPE64" s="404"/>
      <c r="RPF64" s="404"/>
      <c r="RPG64" s="404"/>
      <c r="RPH64" s="404"/>
      <c r="RPI64" s="404"/>
      <c r="RPJ64" s="404"/>
      <c r="RPK64" s="404"/>
      <c r="RPL64" s="404"/>
      <c r="RPM64" s="404"/>
      <c r="RPN64" s="404"/>
      <c r="RPO64" s="404"/>
      <c r="RPP64" s="404"/>
      <c r="RPQ64" s="404"/>
      <c r="RPR64" s="404"/>
      <c r="RPS64" s="404"/>
      <c r="RPT64" s="404"/>
      <c r="RPU64" s="404"/>
      <c r="RPV64" s="404"/>
      <c r="RPW64" s="404"/>
      <c r="RPX64" s="404"/>
      <c r="RPY64" s="404"/>
      <c r="RPZ64" s="404"/>
      <c r="RQA64" s="404"/>
      <c r="RQB64" s="404"/>
      <c r="RQC64" s="404"/>
      <c r="RQD64" s="404"/>
      <c r="RQE64" s="404"/>
      <c r="RQF64" s="404"/>
      <c r="RQG64" s="404"/>
      <c r="RQH64" s="404"/>
      <c r="RQI64" s="404"/>
      <c r="RQJ64" s="404"/>
      <c r="RQK64" s="404"/>
      <c r="RQL64" s="404"/>
      <c r="RQM64" s="404"/>
      <c r="RQN64" s="404"/>
      <c r="RQO64" s="404"/>
      <c r="RQP64" s="404"/>
      <c r="RQQ64" s="404"/>
      <c r="RQR64" s="404"/>
      <c r="RQS64" s="404"/>
      <c r="RQT64" s="404"/>
      <c r="RQU64" s="404"/>
      <c r="RQV64" s="404"/>
      <c r="RQW64" s="404"/>
      <c r="RQX64" s="404"/>
      <c r="RQY64" s="404"/>
      <c r="RQZ64" s="404"/>
      <c r="RRA64" s="404"/>
      <c r="RRB64" s="404"/>
      <c r="RRC64" s="404"/>
      <c r="RRD64" s="404"/>
      <c r="RRE64" s="404"/>
      <c r="RRF64" s="404"/>
      <c r="RRG64" s="404"/>
      <c r="RRH64" s="404"/>
      <c r="RRI64" s="404"/>
      <c r="RRJ64" s="404"/>
      <c r="RRK64" s="404"/>
      <c r="RRL64" s="404"/>
      <c r="RRM64" s="404"/>
      <c r="RRN64" s="404"/>
      <c r="RRO64" s="404"/>
      <c r="RRP64" s="404"/>
      <c r="RRQ64" s="404"/>
      <c r="RRR64" s="404"/>
      <c r="RRS64" s="404"/>
      <c r="RRT64" s="404"/>
      <c r="RRU64" s="404"/>
      <c r="RRV64" s="404"/>
      <c r="RRW64" s="404"/>
      <c r="RRX64" s="404"/>
      <c r="RRY64" s="404"/>
      <c r="RRZ64" s="404"/>
      <c r="RSA64" s="404"/>
      <c r="RSB64" s="404"/>
      <c r="RSC64" s="404"/>
      <c r="RSD64" s="404"/>
      <c r="RSE64" s="404"/>
      <c r="RSF64" s="404"/>
      <c r="RSG64" s="404"/>
      <c r="RSH64" s="404"/>
      <c r="RSI64" s="404"/>
      <c r="RSJ64" s="404"/>
      <c r="RSK64" s="404"/>
      <c r="RSL64" s="404"/>
      <c r="RSM64" s="404"/>
      <c r="RSN64" s="404"/>
      <c r="RSO64" s="404"/>
      <c r="RSP64" s="404"/>
      <c r="RSQ64" s="404"/>
      <c r="RSR64" s="404"/>
      <c r="RSS64" s="404"/>
      <c r="RST64" s="404"/>
      <c r="RSU64" s="404"/>
      <c r="RSV64" s="404"/>
      <c r="RSW64" s="404"/>
      <c r="RSX64" s="404"/>
      <c r="RSY64" s="404"/>
      <c r="RSZ64" s="404"/>
      <c r="RTA64" s="404"/>
      <c r="RTB64" s="404"/>
      <c r="RTC64" s="404"/>
      <c r="RTD64" s="404"/>
      <c r="RTE64" s="404"/>
      <c r="RTF64" s="404"/>
      <c r="RTG64" s="404"/>
      <c r="RTH64" s="404"/>
      <c r="RTI64" s="404"/>
      <c r="RTJ64" s="404"/>
      <c r="RTK64" s="404"/>
      <c r="RTL64" s="404"/>
      <c r="RTM64" s="404"/>
      <c r="RTN64" s="404"/>
      <c r="RTO64" s="404"/>
      <c r="RTP64" s="404"/>
      <c r="RTQ64" s="404"/>
      <c r="RTR64" s="404"/>
      <c r="RTS64" s="404"/>
      <c r="RTT64" s="404"/>
      <c r="RTU64" s="404"/>
      <c r="RTV64" s="404"/>
      <c r="RTW64" s="404"/>
      <c r="RTX64" s="404"/>
      <c r="RTY64" s="404"/>
      <c r="RTZ64" s="404"/>
      <c r="RUA64" s="404"/>
      <c r="RUB64" s="404"/>
      <c r="RUC64" s="404"/>
      <c r="RUD64" s="404"/>
      <c r="RUE64" s="404"/>
      <c r="RUF64" s="404"/>
      <c r="RUG64" s="404"/>
      <c r="RUH64" s="404"/>
      <c r="RUI64" s="404"/>
      <c r="RUJ64" s="404"/>
      <c r="RUK64" s="404"/>
      <c r="RUL64" s="404"/>
      <c r="RUM64" s="404"/>
      <c r="RUN64" s="404"/>
      <c r="RUO64" s="404"/>
      <c r="RUP64" s="404"/>
      <c r="RUQ64" s="404"/>
      <c r="RUR64" s="404"/>
      <c r="RUS64" s="404"/>
      <c r="RUT64" s="404"/>
      <c r="RUU64" s="404"/>
      <c r="RUV64" s="404"/>
      <c r="RUW64" s="404"/>
      <c r="RUX64" s="404"/>
      <c r="RUY64" s="404"/>
      <c r="RUZ64" s="404"/>
      <c r="RVA64" s="404"/>
      <c r="RVB64" s="404"/>
      <c r="RVC64" s="404"/>
      <c r="RVD64" s="404"/>
      <c r="RVE64" s="404"/>
      <c r="RVF64" s="404"/>
      <c r="RVG64" s="404"/>
      <c r="RVH64" s="404"/>
      <c r="RVI64" s="404"/>
      <c r="RVJ64" s="404"/>
      <c r="RVK64" s="404"/>
      <c r="RVL64" s="404"/>
      <c r="RVM64" s="404"/>
      <c r="RVN64" s="404"/>
      <c r="RVO64" s="404"/>
      <c r="RVP64" s="404"/>
      <c r="RVQ64" s="404"/>
      <c r="RVR64" s="404"/>
      <c r="RVS64" s="404"/>
      <c r="RVT64" s="404"/>
      <c r="RVU64" s="404"/>
      <c r="RVV64" s="404"/>
      <c r="RVW64" s="404"/>
      <c r="RVX64" s="404"/>
      <c r="RVY64" s="404"/>
      <c r="RVZ64" s="404"/>
      <c r="RWA64" s="404"/>
      <c r="RWB64" s="404"/>
      <c r="RWC64" s="404"/>
      <c r="RWD64" s="404"/>
      <c r="RWE64" s="404"/>
      <c r="RWF64" s="404"/>
      <c r="RWG64" s="404"/>
      <c r="RWH64" s="404"/>
      <c r="RWI64" s="404"/>
      <c r="RWJ64" s="404"/>
      <c r="RWK64" s="404"/>
      <c r="RWL64" s="404"/>
      <c r="RWM64" s="404"/>
      <c r="RWN64" s="404"/>
      <c r="RWO64" s="404"/>
      <c r="RWP64" s="404"/>
      <c r="RWQ64" s="404"/>
      <c r="RWR64" s="404"/>
      <c r="RWS64" s="404"/>
      <c r="RWT64" s="404"/>
      <c r="RWU64" s="404"/>
      <c r="RWV64" s="404"/>
      <c r="RWW64" s="404"/>
      <c r="RWX64" s="404"/>
      <c r="RWY64" s="404"/>
      <c r="RWZ64" s="404"/>
      <c r="RXA64" s="404"/>
      <c r="RXB64" s="404"/>
      <c r="RXC64" s="404"/>
      <c r="RXD64" s="404"/>
      <c r="RXE64" s="404"/>
      <c r="RXF64" s="404"/>
      <c r="RXG64" s="404"/>
      <c r="RXH64" s="404"/>
      <c r="RXI64" s="404"/>
      <c r="RXJ64" s="404"/>
      <c r="RXK64" s="404"/>
      <c r="RXL64" s="404"/>
      <c r="RXM64" s="404"/>
      <c r="RXN64" s="404"/>
      <c r="RXO64" s="404"/>
      <c r="RXP64" s="404"/>
      <c r="RXQ64" s="404"/>
      <c r="RXR64" s="404"/>
      <c r="RXS64" s="404"/>
      <c r="RXT64" s="404"/>
      <c r="RXU64" s="404"/>
      <c r="RXV64" s="404"/>
      <c r="RXW64" s="404"/>
      <c r="RXX64" s="404"/>
      <c r="RXY64" s="404"/>
      <c r="RXZ64" s="404"/>
      <c r="RYA64" s="404"/>
      <c r="RYB64" s="404"/>
      <c r="RYC64" s="404"/>
      <c r="RYD64" s="404"/>
      <c r="RYE64" s="404"/>
      <c r="RYF64" s="404"/>
      <c r="RYG64" s="404"/>
      <c r="RYH64" s="404"/>
      <c r="RYI64" s="404"/>
      <c r="RYJ64" s="404"/>
      <c r="RYK64" s="404"/>
      <c r="RYL64" s="404"/>
      <c r="RYM64" s="404"/>
      <c r="RYN64" s="404"/>
      <c r="RYO64" s="404"/>
      <c r="RYP64" s="404"/>
      <c r="RYQ64" s="404"/>
      <c r="RYR64" s="404"/>
      <c r="RYS64" s="404"/>
      <c r="RYT64" s="404"/>
      <c r="RYU64" s="404"/>
      <c r="RYV64" s="404"/>
      <c r="RYW64" s="404"/>
      <c r="RYX64" s="404"/>
      <c r="RYY64" s="404"/>
      <c r="RYZ64" s="404"/>
      <c r="RZA64" s="404"/>
      <c r="RZB64" s="404"/>
      <c r="RZC64" s="404"/>
      <c r="RZD64" s="404"/>
      <c r="RZE64" s="404"/>
      <c r="RZF64" s="404"/>
      <c r="RZG64" s="404"/>
      <c r="RZH64" s="404"/>
      <c r="RZI64" s="404"/>
      <c r="RZJ64" s="404"/>
      <c r="RZK64" s="404"/>
      <c r="RZL64" s="404"/>
      <c r="RZM64" s="404"/>
      <c r="RZN64" s="404"/>
      <c r="RZO64" s="404"/>
      <c r="RZP64" s="404"/>
      <c r="RZQ64" s="404"/>
      <c r="RZR64" s="404"/>
      <c r="RZS64" s="404"/>
      <c r="RZT64" s="404"/>
      <c r="RZU64" s="404"/>
      <c r="RZV64" s="404"/>
      <c r="RZW64" s="404"/>
      <c r="RZX64" s="404"/>
      <c r="RZY64" s="404"/>
      <c r="RZZ64" s="404"/>
      <c r="SAA64" s="404"/>
      <c r="SAB64" s="404"/>
      <c r="SAC64" s="404"/>
      <c r="SAD64" s="404"/>
      <c r="SAE64" s="404"/>
      <c r="SAF64" s="404"/>
      <c r="SAG64" s="404"/>
      <c r="SAH64" s="404"/>
      <c r="SAI64" s="404"/>
      <c r="SAJ64" s="404"/>
      <c r="SAK64" s="404"/>
      <c r="SAL64" s="404"/>
      <c r="SAM64" s="404"/>
      <c r="SAN64" s="404"/>
      <c r="SAO64" s="404"/>
      <c r="SAP64" s="404"/>
      <c r="SAQ64" s="404"/>
      <c r="SAR64" s="404"/>
      <c r="SAS64" s="404"/>
      <c r="SAT64" s="404"/>
      <c r="SAU64" s="404"/>
      <c r="SAV64" s="404"/>
      <c r="SAW64" s="404"/>
      <c r="SAX64" s="404"/>
      <c r="SAY64" s="404"/>
      <c r="SAZ64" s="404"/>
      <c r="SBA64" s="404"/>
      <c r="SBB64" s="404"/>
      <c r="SBC64" s="404"/>
      <c r="SBD64" s="404"/>
      <c r="SBE64" s="404"/>
      <c r="SBF64" s="404"/>
      <c r="SBG64" s="404"/>
      <c r="SBH64" s="404"/>
      <c r="SBI64" s="404"/>
      <c r="SBJ64" s="404"/>
      <c r="SBK64" s="404"/>
      <c r="SBL64" s="404"/>
      <c r="SBM64" s="404"/>
      <c r="SBN64" s="404"/>
      <c r="SBO64" s="404"/>
      <c r="SBP64" s="404"/>
      <c r="SBQ64" s="404"/>
      <c r="SBR64" s="404"/>
      <c r="SBS64" s="404"/>
      <c r="SBT64" s="404"/>
      <c r="SBU64" s="404"/>
      <c r="SBV64" s="404"/>
      <c r="SBW64" s="404"/>
      <c r="SBX64" s="404"/>
      <c r="SBY64" s="404"/>
      <c r="SBZ64" s="404"/>
      <c r="SCA64" s="404"/>
      <c r="SCB64" s="404"/>
      <c r="SCC64" s="404"/>
      <c r="SCD64" s="404"/>
      <c r="SCE64" s="404"/>
      <c r="SCF64" s="404"/>
      <c r="SCG64" s="404"/>
      <c r="SCH64" s="404"/>
      <c r="SCI64" s="404"/>
      <c r="SCJ64" s="404"/>
      <c r="SCK64" s="404"/>
      <c r="SCL64" s="404"/>
      <c r="SCM64" s="404"/>
      <c r="SCN64" s="404"/>
      <c r="SCO64" s="404"/>
      <c r="SCP64" s="404"/>
      <c r="SCQ64" s="404"/>
      <c r="SCR64" s="404"/>
      <c r="SCS64" s="404"/>
      <c r="SCT64" s="404"/>
      <c r="SCU64" s="404"/>
      <c r="SCV64" s="404"/>
      <c r="SCW64" s="404"/>
      <c r="SCX64" s="404"/>
      <c r="SCY64" s="404"/>
      <c r="SCZ64" s="404"/>
      <c r="SDA64" s="404"/>
      <c r="SDB64" s="404"/>
      <c r="SDC64" s="404"/>
      <c r="SDD64" s="404"/>
      <c r="SDE64" s="404"/>
      <c r="SDF64" s="404"/>
      <c r="SDG64" s="404"/>
      <c r="SDH64" s="404"/>
      <c r="SDI64" s="404"/>
      <c r="SDJ64" s="404"/>
      <c r="SDK64" s="404"/>
      <c r="SDL64" s="404"/>
      <c r="SDM64" s="404"/>
      <c r="SDN64" s="404"/>
      <c r="SDO64" s="404"/>
      <c r="SDP64" s="404"/>
      <c r="SDQ64" s="404"/>
      <c r="SDR64" s="404"/>
      <c r="SDS64" s="404"/>
      <c r="SDT64" s="404"/>
      <c r="SDU64" s="404"/>
      <c r="SDV64" s="404"/>
      <c r="SDW64" s="404"/>
      <c r="SDX64" s="404"/>
      <c r="SDY64" s="404"/>
      <c r="SDZ64" s="404"/>
      <c r="SEA64" s="404"/>
      <c r="SEB64" s="404"/>
      <c r="SEC64" s="404"/>
      <c r="SED64" s="404"/>
      <c r="SEE64" s="404"/>
      <c r="SEF64" s="404"/>
      <c r="SEG64" s="404"/>
      <c r="SEH64" s="404"/>
      <c r="SEI64" s="404"/>
      <c r="SEJ64" s="404"/>
      <c r="SEK64" s="404"/>
      <c r="SEL64" s="404"/>
      <c r="SEM64" s="404"/>
      <c r="SEN64" s="404"/>
      <c r="SEO64" s="404"/>
      <c r="SEP64" s="404"/>
      <c r="SEQ64" s="404"/>
      <c r="SER64" s="404"/>
      <c r="SES64" s="404"/>
      <c r="SET64" s="404"/>
      <c r="SEU64" s="404"/>
      <c r="SEV64" s="404"/>
      <c r="SEW64" s="404"/>
      <c r="SEX64" s="404"/>
      <c r="SEY64" s="404"/>
      <c r="SEZ64" s="404"/>
      <c r="SFA64" s="404"/>
      <c r="SFB64" s="404"/>
      <c r="SFC64" s="404"/>
      <c r="SFD64" s="404"/>
      <c r="SFE64" s="404"/>
      <c r="SFF64" s="404"/>
      <c r="SFG64" s="404"/>
      <c r="SFH64" s="404"/>
      <c r="SFI64" s="404"/>
      <c r="SFJ64" s="404"/>
      <c r="SFK64" s="404"/>
      <c r="SFL64" s="404"/>
      <c r="SFM64" s="404"/>
      <c r="SFN64" s="404"/>
      <c r="SFO64" s="404"/>
      <c r="SFP64" s="404"/>
      <c r="SFQ64" s="404"/>
      <c r="SFR64" s="404"/>
      <c r="SFS64" s="404"/>
      <c r="SFT64" s="404"/>
      <c r="SFU64" s="404"/>
      <c r="SFV64" s="404"/>
      <c r="SFW64" s="404"/>
      <c r="SFX64" s="404"/>
      <c r="SFY64" s="404"/>
      <c r="SFZ64" s="404"/>
      <c r="SGA64" s="404"/>
      <c r="SGB64" s="404"/>
      <c r="SGC64" s="404"/>
      <c r="SGD64" s="404"/>
      <c r="SGE64" s="404"/>
      <c r="SGF64" s="404"/>
      <c r="SGG64" s="404"/>
      <c r="SGH64" s="404"/>
      <c r="SGI64" s="404"/>
      <c r="SGJ64" s="404"/>
      <c r="SGK64" s="404"/>
      <c r="SGL64" s="404"/>
      <c r="SGM64" s="404"/>
      <c r="SGN64" s="404"/>
      <c r="SGO64" s="404"/>
      <c r="SGP64" s="404"/>
      <c r="SGQ64" s="404"/>
      <c r="SGR64" s="404"/>
      <c r="SGS64" s="404"/>
      <c r="SGT64" s="404"/>
      <c r="SGU64" s="404"/>
      <c r="SGV64" s="404"/>
      <c r="SGW64" s="404"/>
      <c r="SGX64" s="404"/>
      <c r="SGY64" s="404"/>
      <c r="SGZ64" s="404"/>
      <c r="SHA64" s="404"/>
      <c r="SHB64" s="404"/>
      <c r="SHC64" s="404"/>
      <c r="SHD64" s="404"/>
      <c r="SHE64" s="404"/>
      <c r="SHF64" s="404"/>
      <c r="SHG64" s="404"/>
      <c r="SHH64" s="404"/>
      <c r="SHI64" s="404"/>
      <c r="SHJ64" s="404"/>
      <c r="SHK64" s="404"/>
      <c r="SHL64" s="404"/>
      <c r="SHM64" s="404"/>
      <c r="SHN64" s="404"/>
      <c r="SHO64" s="404"/>
      <c r="SHP64" s="404"/>
      <c r="SHQ64" s="404"/>
      <c r="SHR64" s="404"/>
      <c r="SHS64" s="404"/>
      <c r="SHT64" s="404"/>
      <c r="SHU64" s="404"/>
      <c r="SHV64" s="404"/>
      <c r="SHW64" s="404"/>
      <c r="SHX64" s="404"/>
      <c r="SHY64" s="404"/>
      <c r="SHZ64" s="404"/>
      <c r="SIA64" s="404"/>
      <c r="SIB64" s="404"/>
      <c r="SIC64" s="404"/>
      <c r="SID64" s="404"/>
      <c r="SIE64" s="404"/>
      <c r="SIF64" s="404"/>
      <c r="SIG64" s="404"/>
      <c r="SIH64" s="404"/>
      <c r="SII64" s="404"/>
      <c r="SIJ64" s="404"/>
      <c r="SIK64" s="404"/>
      <c r="SIL64" s="404"/>
      <c r="SIM64" s="404"/>
      <c r="SIN64" s="404"/>
      <c r="SIO64" s="404"/>
      <c r="SIP64" s="404"/>
      <c r="SIQ64" s="404"/>
      <c r="SIR64" s="404"/>
      <c r="SIS64" s="404"/>
      <c r="SIT64" s="404"/>
      <c r="SIU64" s="404"/>
      <c r="SIV64" s="404"/>
      <c r="SIW64" s="404"/>
      <c r="SIX64" s="404"/>
      <c r="SIY64" s="404"/>
      <c r="SIZ64" s="404"/>
      <c r="SJA64" s="404"/>
      <c r="SJB64" s="404"/>
      <c r="SJC64" s="404"/>
      <c r="SJD64" s="404"/>
      <c r="SJE64" s="404"/>
      <c r="SJF64" s="404"/>
      <c r="SJG64" s="404"/>
      <c r="SJH64" s="404"/>
      <c r="SJI64" s="404"/>
      <c r="SJJ64" s="404"/>
      <c r="SJK64" s="404"/>
      <c r="SJL64" s="404"/>
      <c r="SJM64" s="404"/>
      <c r="SJN64" s="404"/>
      <c r="SJO64" s="404"/>
      <c r="SJP64" s="404"/>
      <c r="SJQ64" s="404"/>
      <c r="SJR64" s="404"/>
      <c r="SJS64" s="404"/>
      <c r="SJT64" s="404"/>
      <c r="SJU64" s="404"/>
      <c r="SJV64" s="404"/>
      <c r="SJW64" s="404"/>
      <c r="SJX64" s="404"/>
      <c r="SJY64" s="404"/>
      <c r="SJZ64" s="404"/>
      <c r="SKA64" s="404"/>
      <c r="SKB64" s="404"/>
      <c r="SKC64" s="404"/>
      <c r="SKD64" s="404"/>
      <c r="SKE64" s="404"/>
      <c r="SKF64" s="404"/>
      <c r="SKG64" s="404"/>
      <c r="SKH64" s="404"/>
      <c r="SKI64" s="404"/>
      <c r="SKJ64" s="404"/>
      <c r="SKK64" s="404"/>
      <c r="SKL64" s="404"/>
      <c r="SKM64" s="404"/>
      <c r="SKN64" s="404"/>
      <c r="SKO64" s="404"/>
      <c r="SKP64" s="404"/>
      <c r="SKQ64" s="404"/>
      <c r="SKR64" s="404"/>
      <c r="SKS64" s="404"/>
      <c r="SKT64" s="404"/>
      <c r="SKU64" s="404"/>
      <c r="SKV64" s="404"/>
      <c r="SKW64" s="404"/>
      <c r="SKX64" s="404"/>
      <c r="SKY64" s="404"/>
      <c r="SKZ64" s="404"/>
      <c r="SLA64" s="404"/>
      <c r="SLB64" s="404"/>
      <c r="SLC64" s="404"/>
      <c r="SLD64" s="404"/>
      <c r="SLE64" s="404"/>
      <c r="SLF64" s="404"/>
      <c r="SLG64" s="404"/>
      <c r="SLH64" s="404"/>
      <c r="SLI64" s="404"/>
      <c r="SLJ64" s="404"/>
      <c r="SLK64" s="404"/>
      <c r="SLL64" s="404"/>
      <c r="SLM64" s="404"/>
      <c r="SLN64" s="404"/>
      <c r="SLO64" s="404"/>
      <c r="SLP64" s="404"/>
      <c r="SLQ64" s="404"/>
      <c r="SLR64" s="404"/>
      <c r="SLS64" s="404"/>
      <c r="SLT64" s="404"/>
      <c r="SLU64" s="404"/>
      <c r="SLV64" s="404"/>
      <c r="SLW64" s="404"/>
      <c r="SLX64" s="404"/>
      <c r="SLY64" s="404"/>
      <c r="SLZ64" s="404"/>
      <c r="SMA64" s="404"/>
      <c r="SMB64" s="404"/>
      <c r="SMC64" s="404"/>
      <c r="SMD64" s="404"/>
      <c r="SME64" s="404"/>
      <c r="SMF64" s="404"/>
      <c r="SMG64" s="404"/>
      <c r="SMH64" s="404"/>
      <c r="SMI64" s="404"/>
      <c r="SMJ64" s="404"/>
      <c r="SMK64" s="404"/>
      <c r="SML64" s="404"/>
      <c r="SMM64" s="404"/>
      <c r="SMN64" s="404"/>
      <c r="SMO64" s="404"/>
      <c r="SMP64" s="404"/>
      <c r="SMQ64" s="404"/>
      <c r="SMR64" s="404"/>
      <c r="SMS64" s="404"/>
      <c r="SMT64" s="404"/>
      <c r="SMU64" s="404"/>
      <c r="SMV64" s="404"/>
      <c r="SMW64" s="404"/>
      <c r="SMX64" s="404"/>
      <c r="SMY64" s="404"/>
      <c r="SMZ64" s="404"/>
      <c r="SNA64" s="404"/>
      <c r="SNB64" s="404"/>
      <c r="SNC64" s="404"/>
      <c r="SND64" s="404"/>
      <c r="SNE64" s="404"/>
      <c r="SNF64" s="404"/>
      <c r="SNG64" s="404"/>
      <c r="SNH64" s="404"/>
      <c r="SNI64" s="404"/>
      <c r="SNJ64" s="404"/>
      <c r="SNK64" s="404"/>
      <c r="SNL64" s="404"/>
      <c r="SNM64" s="404"/>
      <c r="SNN64" s="404"/>
      <c r="SNO64" s="404"/>
      <c r="SNP64" s="404"/>
      <c r="SNQ64" s="404"/>
      <c r="SNR64" s="404"/>
      <c r="SNS64" s="404"/>
      <c r="SNT64" s="404"/>
      <c r="SNU64" s="404"/>
      <c r="SNV64" s="404"/>
      <c r="SNW64" s="404"/>
      <c r="SNX64" s="404"/>
      <c r="SNY64" s="404"/>
      <c r="SNZ64" s="404"/>
      <c r="SOA64" s="404"/>
      <c r="SOB64" s="404"/>
      <c r="SOC64" s="404"/>
      <c r="SOD64" s="404"/>
      <c r="SOE64" s="404"/>
      <c r="SOF64" s="404"/>
      <c r="SOG64" s="404"/>
      <c r="SOH64" s="404"/>
      <c r="SOI64" s="404"/>
      <c r="SOJ64" s="404"/>
      <c r="SOK64" s="404"/>
      <c r="SOL64" s="404"/>
      <c r="SOM64" s="404"/>
      <c r="SON64" s="404"/>
      <c r="SOO64" s="404"/>
      <c r="SOP64" s="404"/>
      <c r="SOQ64" s="404"/>
      <c r="SOR64" s="404"/>
      <c r="SOS64" s="404"/>
      <c r="SOT64" s="404"/>
      <c r="SOU64" s="404"/>
      <c r="SOV64" s="404"/>
      <c r="SOW64" s="404"/>
      <c r="SOX64" s="404"/>
      <c r="SOY64" s="404"/>
      <c r="SOZ64" s="404"/>
      <c r="SPA64" s="404"/>
      <c r="SPB64" s="404"/>
      <c r="SPC64" s="404"/>
      <c r="SPD64" s="404"/>
      <c r="SPE64" s="404"/>
      <c r="SPF64" s="404"/>
      <c r="SPG64" s="404"/>
      <c r="SPH64" s="404"/>
      <c r="SPI64" s="404"/>
      <c r="SPJ64" s="404"/>
      <c r="SPK64" s="404"/>
      <c r="SPL64" s="404"/>
      <c r="SPM64" s="404"/>
      <c r="SPN64" s="404"/>
      <c r="SPO64" s="404"/>
      <c r="SPP64" s="404"/>
      <c r="SPQ64" s="404"/>
      <c r="SPR64" s="404"/>
      <c r="SPS64" s="404"/>
      <c r="SPT64" s="404"/>
      <c r="SPU64" s="404"/>
      <c r="SPV64" s="404"/>
      <c r="SPW64" s="404"/>
      <c r="SPX64" s="404"/>
      <c r="SPY64" s="404"/>
      <c r="SPZ64" s="404"/>
      <c r="SQA64" s="404"/>
      <c r="SQB64" s="404"/>
      <c r="SQC64" s="404"/>
      <c r="SQD64" s="404"/>
      <c r="SQE64" s="404"/>
      <c r="SQF64" s="404"/>
      <c r="SQG64" s="404"/>
      <c r="SQH64" s="404"/>
      <c r="SQI64" s="404"/>
      <c r="SQJ64" s="404"/>
      <c r="SQK64" s="404"/>
      <c r="SQL64" s="404"/>
      <c r="SQM64" s="404"/>
      <c r="SQN64" s="404"/>
      <c r="SQO64" s="404"/>
      <c r="SQP64" s="404"/>
      <c r="SQQ64" s="404"/>
      <c r="SQR64" s="404"/>
      <c r="SQS64" s="404"/>
      <c r="SQT64" s="404"/>
      <c r="SQU64" s="404"/>
      <c r="SQV64" s="404"/>
      <c r="SQW64" s="404"/>
      <c r="SQX64" s="404"/>
      <c r="SQY64" s="404"/>
      <c r="SQZ64" s="404"/>
      <c r="SRA64" s="404"/>
      <c r="SRB64" s="404"/>
      <c r="SRC64" s="404"/>
      <c r="SRD64" s="404"/>
      <c r="SRE64" s="404"/>
      <c r="SRF64" s="404"/>
      <c r="SRG64" s="404"/>
      <c r="SRH64" s="404"/>
      <c r="SRI64" s="404"/>
      <c r="SRJ64" s="404"/>
      <c r="SRK64" s="404"/>
      <c r="SRL64" s="404"/>
      <c r="SRM64" s="404"/>
      <c r="SRN64" s="404"/>
      <c r="SRO64" s="404"/>
      <c r="SRP64" s="404"/>
      <c r="SRQ64" s="404"/>
      <c r="SRR64" s="404"/>
      <c r="SRS64" s="404"/>
      <c r="SRT64" s="404"/>
      <c r="SRU64" s="404"/>
      <c r="SRV64" s="404"/>
      <c r="SRW64" s="404"/>
      <c r="SRX64" s="404"/>
      <c r="SRY64" s="404"/>
      <c r="SRZ64" s="404"/>
      <c r="SSA64" s="404"/>
      <c r="SSB64" s="404"/>
      <c r="SSC64" s="404"/>
      <c r="SSD64" s="404"/>
      <c r="SSE64" s="404"/>
      <c r="SSF64" s="404"/>
      <c r="SSG64" s="404"/>
      <c r="SSH64" s="404"/>
      <c r="SSI64" s="404"/>
      <c r="SSJ64" s="404"/>
      <c r="SSK64" s="404"/>
      <c r="SSL64" s="404"/>
      <c r="SSM64" s="404"/>
      <c r="SSN64" s="404"/>
      <c r="SSO64" s="404"/>
      <c r="SSP64" s="404"/>
      <c r="SSQ64" s="404"/>
      <c r="SSR64" s="404"/>
      <c r="SSS64" s="404"/>
      <c r="SST64" s="404"/>
      <c r="SSU64" s="404"/>
      <c r="SSV64" s="404"/>
      <c r="SSW64" s="404"/>
      <c r="SSX64" s="404"/>
      <c r="SSY64" s="404"/>
      <c r="SSZ64" s="404"/>
      <c r="STA64" s="404"/>
      <c r="STB64" s="404"/>
      <c r="STC64" s="404"/>
      <c r="STD64" s="404"/>
      <c r="STE64" s="404"/>
      <c r="STF64" s="404"/>
      <c r="STG64" s="404"/>
      <c r="STH64" s="404"/>
      <c r="STI64" s="404"/>
      <c r="STJ64" s="404"/>
      <c r="STK64" s="404"/>
      <c r="STL64" s="404"/>
      <c r="STM64" s="404"/>
      <c r="STN64" s="404"/>
      <c r="STO64" s="404"/>
      <c r="STP64" s="404"/>
      <c r="STQ64" s="404"/>
      <c r="STR64" s="404"/>
      <c r="STS64" s="404"/>
      <c r="STT64" s="404"/>
      <c r="STU64" s="404"/>
      <c r="STV64" s="404"/>
      <c r="STW64" s="404"/>
      <c r="STX64" s="404"/>
      <c r="STY64" s="404"/>
      <c r="STZ64" s="404"/>
      <c r="SUA64" s="404"/>
      <c r="SUB64" s="404"/>
      <c r="SUC64" s="404"/>
      <c r="SUD64" s="404"/>
      <c r="SUE64" s="404"/>
      <c r="SUF64" s="404"/>
      <c r="SUG64" s="404"/>
      <c r="SUH64" s="404"/>
      <c r="SUI64" s="404"/>
      <c r="SUJ64" s="404"/>
      <c r="SUK64" s="404"/>
      <c r="SUL64" s="404"/>
      <c r="SUM64" s="404"/>
      <c r="SUN64" s="404"/>
      <c r="SUO64" s="404"/>
      <c r="SUP64" s="404"/>
      <c r="SUQ64" s="404"/>
      <c r="SUR64" s="404"/>
      <c r="SUS64" s="404"/>
      <c r="SUT64" s="404"/>
      <c r="SUU64" s="404"/>
      <c r="SUV64" s="404"/>
      <c r="SUW64" s="404"/>
      <c r="SUX64" s="404"/>
      <c r="SUY64" s="404"/>
      <c r="SUZ64" s="404"/>
      <c r="SVA64" s="404"/>
      <c r="SVB64" s="404"/>
      <c r="SVC64" s="404"/>
      <c r="SVD64" s="404"/>
      <c r="SVE64" s="404"/>
      <c r="SVF64" s="404"/>
      <c r="SVG64" s="404"/>
      <c r="SVH64" s="404"/>
      <c r="SVI64" s="404"/>
      <c r="SVJ64" s="404"/>
      <c r="SVK64" s="404"/>
      <c r="SVL64" s="404"/>
      <c r="SVM64" s="404"/>
      <c r="SVN64" s="404"/>
      <c r="SVO64" s="404"/>
      <c r="SVP64" s="404"/>
      <c r="SVQ64" s="404"/>
      <c r="SVR64" s="404"/>
      <c r="SVS64" s="404"/>
      <c r="SVT64" s="404"/>
      <c r="SVU64" s="404"/>
      <c r="SVV64" s="404"/>
      <c r="SVW64" s="404"/>
      <c r="SVX64" s="404"/>
      <c r="SVY64" s="404"/>
      <c r="SVZ64" s="404"/>
      <c r="SWA64" s="404"/>
      <c r="SWB64" s="404"/>
      <c r="SWC64" s="404"/>
      <c r="SWD64" s="404"/>
      <c r="SWE64" s="404"/>
      <c r="SWF64" s="404"/>
      <c r="SWG64" s="404"/>
      <c r="SWH64" s="404"/>
      <c r="SWI64" s="404"/>
      <c r="SWJ64" s="404"/>
      <c r="SWK64" s="404"/>
      <c r="SWL64" s="404"/>
      <c r="SWM64" s="404"/>
      <c r="SWN64" s="404"/>
      <c r="SWO64" s="404"/>
      <c r="SWP64" s="404"/>
      <c r="SWQ64" s="404"/>
      <c r="SWR64" s="404"/>
      <c r="SWS64" s="404"/>
      <c r="SWT64" s="404"/>
      <c r="SWU64" s="404"/>
      <c r="SWV64" s="404"/>
      <c r="SWW64" s="404"/>
      <c r="SWX64" s="404"/>
      <c r="SWY64" s="404"/>
      <c r="SWZ64" s="404"/>
      <c r="SXA64" s="404"/>
      <c r="SXB64" s="404"/>
      <c r="SXC64" s="404"/>
      <c r="SXD64" s="404"/>
      <c r="SXE64" s="404"/>
      <c r="SXF64" s="404"/>
      <c r="SXG64" s="404"/>
      <c r="SXH64" s="404"/>
      <c r="SXI64" s="404"/>
      <c r="SXJ64" s="404"/>
      <c r="SXK64" s="404"/>
      <c r="SXL64" s="404"/>
      <c r="SXM64" s="404"/>
      <c r="SXN64" s="404"/>
      <c r="SXO64" s="404"/>
      <c r="SXP64" s="404"/>
      <c r="SXQ64" s="404"/>
      <c r="SXR64" s="404"/>
      <c r="SXS64" s="404"/>
      <c r="SXT64" s="404"/>
      <c r="SXU64" s="404"/>
      <c r="SXV64" s="404"/>
      <c r="SXW64" s="404"/>
      <c r="SXX64" s="404"/>
      <c r="SXY64" s="404"/>
      <c r="SXZ64" s="404"/>
      <c r="SYA64" s="404"/>
      <c r="SYB64" s="404"/>
      <c r="SYC64" s="404"/>
      <c r="SYD64" s="404"/>
      <c r="SYE64" s="404"/>
      <c r="SYF64" s="404"/>
      <c r="SYG64" s="404"/>
      <c r="SYH64" s="404"/>
      <c r="SYI64" s="404"/>
      <c r="SYJ64" s="404"/>
      <c r="SYK64" s="404"/>
      <c r="SYL64" s="404"/>
      <c r="SYM64" s="404"/>
      <c r="SYN64" s="404"/>
      <c r="SYO64" s="404"/>
      <c r="SYP64" s="404"/>
      <c r="SYQ64" s="404"/>
      <c r="SYR64" s="404"/>
      <c r="SYS64" s="404"/>
      <c r="SYT64" s="404"/>
      <c r="SYU64" s="404"/>
      <c r="SYV64" s="404"/>
      <c r="SYW64" s="404"/>
      <c r="SYX64" s="404"/>
      <c r="SYY64" s="404"/>
      <c r="SYZ64" s="404"/>
      <c r="SZA64" s="404"/>
      <c r="SZB64" s="404"/>
      <c r="SZC64" s="404"/>
      <c r="SZD64" s="404"/>
      <c r="SZE64" s="404"/>
      <c r="SZF64" s="404"/>
      <c r="SZG64" s="404"/>
      <c r="SZH64" s="404"/>
      <c r="SZI64" s="404"/>
      <c r="SZJ64" s="404"/>
      <c r="SZK64" s="404"/>
      <c r="SZL64" s="404"/>
      <c r="SZM64" s="404"/>
      <c r="SZN64" s="404"/>
      <c r="SZO64" s="404"/>
      <c r="SZP64" s="404"/>
      <c r="SZQ64" s="404"/>
      <c r="SZR64" s="404"/>
      <c r="SZS64" s="404"/>
      <c r="SZT64" s="404"/>
      <c r="SZU64" s="404"/>
      <c r="SZV64" s="404"/>
      <c r="SZW64" s="404"/>
      <c r="SZX64" s="404"/>
      <c r="SZY64" s="404"/>
      <c r="SZZ64" s="404"/>
      <c r="TAA64" s="404"/>
      <c r="TAB64" s="404"/>
      <c r="TAC64" s="404"/>
      <c r="TAD64" s="404"/>
      <c r="TAE64" s="404"/>
      <c r="TAF64" s="404"/>
      <c r="TAG64" s="404"/>
      <c r="TAH64" s="404"/>
      <c r="TAI64" s="404"/>
      <c r="TAJ64" s="404"/>
      <c r="TAK64" s="404"/>
      <c r="TAL64" s="404"/>
      <c r="TAM64" s="404"/>
      <c r="TAN64" s="404"/>
      <c r="TAO64" s="404"/>
      <c r="TAP64" s="404"/>
      <c r="TAQ64" s="404"/>
      <c r="TAR64" s="404"/>
      <c r="TAS64" s="404"/>
      <c r="TAT64" s="404"/>
      <c r="TAU64" s="404"/>
      <c r="TAV64" s="404"/>
      <c r="TAW64" s="404"/>
      <c r="TAX64" s="404"/>
      <c r="TAY64" s="404"/>
      <c r="TAZ64" s="404"/>
      <c r="TBA64" s="404"/>
      <c r="TBB64" s="404"/>
      <c r="TBC64" s="404"/>
      <c r="TBD64" s="404"/>
      <c r="TBE64" s="404"/>
      <c r="TBF64" s="404"/>
      <c r="TBG64" s="404"/>
      <c r="TBH64" s="404"/>
      <c r="TBI64" s="404"/>
      <c r="TBJ64" s="404"/>
      <c r="TBK64" s="404"/>
      <c r="TBL64" s="404"/>
      <c r="TBM64" s="404"/>
      <c r="TBN64" s="404"/>
      <c r="TBO64" s="404"/>
      <c r="TBP64" s="404"/>
      <c r="TBQ64" s="404"/>
      <c r="TBR64" s="404"/>
      <c r="TBS64" s="404"/>
      <c r="TBT64" s="404"/>
      <c r="TBU64" s="404"/>
      <c r="TBV64" s="404"/>
      <c r="TBW64" s="404"/>
      <c r="TBX64" s="404"/>
      <c r="TBY64" s="404"/>
      <c r="TBZ64" s="404"/>
      <c r="TCA64" s="404"/>
      <c r="TCB64" s="404"/>
      <c r="TCC64" s="404"/>
      <c r="TCD64" s="404"/>
      <c r="TCE64" s="404"/>
      <c r="TCF64" s="404"/>
      <c r="TCG64" s="404"/>
      <c r="TCH64" s="404"/>
      <c r="TCI64" s="404"/>
      <c r="TCJ64" s="404"/>
      <c r="TCK64" s="404"/>
      <c r="TCL64" s="404"/>
      <c r="TCM64" s="404"/>
      <c r="TCN64" s="404"/>
      <c r="TCO64" s="404"/>
      <c r="TCP64" s="404"/>
      <c r="TCQ64" s="404"/>
      <c r="TCR64" s="404"/>
      <c r="TCS64" s="404"/>
      <c r="TCT64" s="404"/>
      <c r="TCU64" s="404"/>
      <c r="TCV64" s="404"/>
      <c r="TCW64" s="404"/>
      <c r="TCX64" s="404"/>
      <c r="TCY64" s="404"/>
      <c r="TCZ64" s="404"/>
      <c r="TDA64" s="404"/>
      <c r="TDB64" s="404"/>
      <c r="TDC64" s="404"/>
      <c r="TDD64" s="404"/>
      <c r="TDE64" s="404"/>
      <c r="TDF64" s="404"/>
      <c r="TDG64" s="404"/>
      <c r="TDH64" s="404"/>
      <c r="TDI64" s="404"/>
      <c r="TDJ64" s="404"/>
      <c r="TDK64" s="404"/>
      <c r="TDL64" s="404"/>
      <c r="TDM64" s="404"/>
      <c r="TDN64" s="404"/>
      <c r="TDO64" s="404"/>
      <c r="TDP64" s="404"/>
      <c r="TDQ64" s="404"/>
      <c r="TDR64" s="404"/>
      <c r="TDS64" s="404"/>
      <c r="TDT64" s="404"/>
      <c r="TDU64" s="404"/>
      <c r="TDV64" s="404"/>
      <c r="TDW64" s="404"/>
      <c r="TDX64" s="404"/>
      <c r="TDY64" s="404"/>
      <c r="TDZ64" s="404"/>
      <c r="TEA64" s="404"/>
      <c r="TEB64" s="404"/>
      <c r="TEC64" s="404"/>
      <c r="TED64" s="404"/>
      <c r="TEE64" s="404"/>
      <c r="TEF64" s="404"/>
      <c r="TEG64" s="404"/>
      <c r="TEH64" s="404"/>
      <c r="TEI64" s="404"/>
      <c r="TEJ64" s="404"/>
      <c r="TEK64" s="404"/>
      <c r="TEL64" s="404"/>
      <c r="TEM64" s="404"/>
      <c r="TEN64" s="404"/>
      <c r="TEO64" s="404"/>
      <c r="TEP64" s="404"/>
      <c r="TEQ64" s="404"/>
      <c r="TER64" s="404"/>
      <c r="TES64" s="404"/>
      <c r="TET64" s="404"/>
      <c r="TEU64" s="404"/>
      <c r="TEV64" s="404"/>
      <c r="TEW64" s="404"/>
      <c r="TEX64" s="404"/>
      <c r="TEY64" s="404"/>
      <c r="TEZ64" s="404"/>
      <c r="TFA64" s="404"/>
      <c r="TFB64" s="404"/>
      <c r="TFC64" s="404"/>
      <c r="TFD64" s="404"/>
      <c r="TFE64" s="404"/>
      <c r="TFF64" s="404"/>
      <c r="TFG64" s="404"/>
      <c r="TFH64" s="404"/>
      <c r="TFI64" s="404"/>
      <c r="TFJ64" s="404"/>
      <c r="TFK64" s="404"/>
      <c r="TFL64" s="404"/>
      <c r="TFM64" s="404"/>
      <c r="TFN64" s="404"/>
      <c r="TFO64" s="404"/>
      <c r="TFP64" s="404"/>
      <c r="TFQ64" s="404"/>
      <c r="TFR64" s="404"/>
      <c r="TFS64" s="404"/>
      <c r="TFT64" s="404"/>
      <c r="TFU64" s="404"/>
      <c r="TFV64" s="404"/>
      <c r="TFW64" s="404"/>
      <c r="TFX64" s="404"/>
      <c r="TFY64" s="404"/>
      <c r="TFZ64" s="404"/>
      <c r="TGA64" s="404"/>
      <c r="TGB64" s="404"/>
      <c r="TGC64" s="404"/>
      <c r="TGD64" s="404"/>
      <c r="TGE64" s="404"/>
      <c r="TGF64" s="404"/>
      <c r="TGG64" s="404"/>
      <c r="TGH64" s="404"/>
      <c r="TGI64" s="404"/>
      <c r="TGJ64" s="404"/>
      <c r="TGK64" s="404"/>
      <c r="TGL64" s="404"/>
      <c r="TGM64" s="404"/>
      <c r="TGN64" s="404"/>
      <c r="TGO64" s="404"/>
      <c r="TGP64" s="404"/>
      <c r="TGQ64" s="404"/>
      <c r="TGR64" s="404"/>
      <c r="TGS64" s="404"/>
      <c r="TGT64" s="404"/>
      <c r="TGU64" s="404"/>
      <c r="TGV64" s="404"/>
      <c r="TGW64" s="404"/>
      <c r="TGX64" s="404"/>
      <c r="TGY64" s="404"/>
      <c r="TGZ64" s="404"/>
      <c r="THA64" s="404"/>
      <c r="THB64" s="404"/>
      <c r="THC64" s="404"/>
      <c r="THD64" s="404"/>
      <c r="THE64" s="404"/>
      <c r="THF64" s="404"/>
      <c r="THG64" s="404"/>
      <c r="THH64" s="404"/>
      <c r="THI64" s="404"/>
      <c r="THJ64" s="404"/>
      <c r="THK64" s="404"/>
      <c r="THL64" s="404"/>
      <c r="THM64" s="404"/>
      <c r="THN64" s="404"/>
      <c r="THO64" s="404"/>
      <c r="THP64" s="404"/>
      <c r="THQ64" s="404"/>
      <c r="THR64" s="404"/>
      <c r="THS64" s="404"/>
      <c r="THT64" s="404"/>
      <c r="THU64" s="404"/>
      <c r="THV64" s="404"/>
      <c r="THW64" s="404"/>
      <c r="THX64" s="404"/>
      <c r="THY64" s="404"/>
      <c r="THZ64" s="404"/>
      <c r="TIA64" s="404"/>
      <c r="TIB64" s="404"/>
      <c r="TIC64" s="404"/>
      <c r="TID64" s="404"/>
      <c r="TIE64" s="404"/>
      <c r="TIF64" s="404"/>
      <c r="TIG64" s="404"/>
      <c r="TIH64" s="404"/>
      <c r="TII64" s="404"/>
      <c r="TIJ64" s="404"/>
      <c r="TIK64" s="404"/>
      <c r="TIL64" s="404"/>
      <c r="TIM64" s="404"/>
      <c r="TIN64" s="404"/>
      <c r="TIO64" s="404"/>
      <c r="TIP64" s="404"/>
      <c r="TIQ64" s="404"/>
      <c r="TIR64" s="404"/>
      <c r="TIS64" s="404"/>
      <c r="TIT64" s="404"/>
      <c r="TIU64" s="404"/>
      <c r="TIV64" s="404"/>
      <c r="TIW64" s="404"/>
      <c r="TIX64" s="404"/>
      <c r="TIY64" s="404"/>
      <c r="TIZ64" s="404"/>
      <c r="TJA64" s="404"/>
      <c r="TJB64" s="404"/>
      <c r="TJC64" s="404"/>
      <c r="TJD64" s="404"/>
      <c r="TJE64" s="404"/>
      <c r="TJF64" s="404"/>
      <c r="TJG64" s="404"/>
      <c r="TJH64" s="404"/>
      <c r="TJI64" s="404"/>
      <c r="TJJ64" s="404"/>
      <c r="TJK64" s="404"/>
      <c r="TJL64" s="404"/>
      <c r="TJM64" s="404"/>
      <c r="TJN64" s="404"/>
      <c r="TJO64" s="404"/>
      <c r="TJP64" s="404"/>
      <c r="TJQ64" s="404"/>
      <c r="TJR64" s="404"/>
      <c r="TJS64" s="404"/>
      <c r="TJT64" s="404"/>
      <c r="TJU64" s="404"/>
      <c r="TJV64" s="404"/>
      <c r="TJW64" s="404"/>
      <c r="TJX64" s="404"/>
      <c r="TJY64" s="404"/>
      <c r="TJZ64" s="404"/>
      <c r="TKA64" s="404"/>
      <c r="TKB64" s="404"/>
      <c r="TKC64" s="404"/>
      <c r="TKD64" s="404"/>
      <c r="TKE64" s="404"/>
      <c r="TKF64" s="404"/>
      <c r="TKG64" s="404"/>
      <c r="TKH64" s="404"/>
      <c r="TKI64" s="404"/>
      <c r="TKJ64" s="404"/>
      <c r="TKK64" s="404"/>
      <c r="TKL64" s="404"/>
      <c r="TKM64" s="404"/>
      <c r="TKN64" s="404"/>
      <c r="TKO64" s="404"/>
      <c r="TKP64" s="404"/>
      <c r="TKQ64" s="404"/>
      <c r="TKR64" s="404"/>
      <c r="TKS64" s="404"/>
      <c r="TKT64" s="404"/>
      <c r="TKU64" s="404"/>
      <c r="TKV64" s="404"/>
      <c r="TKW64" s="404"/>
      <c r="TKX64" s="404"/>
      <c r="TKY64" s="404"/>
      <c r="TKZ64" s="404"/>
      <c r="TLA64" s="404"/>
      <c r="TLB64" s="404"/>
      <c r="TLC64" s="404"/>
      <c r="TLD64" s="404"/>
      <c r="TLE64" s="404"/>
      <c r="TLF64" s="404"/>
      <c r="TLG64" s="404"/>
      <c r="TLH64" s="404"/>
      <c r="TLI64" s="404"/>
      <c r="TLJ64" s="404"/>
      <c r="TLK64" s="404"/>
      <c r="TLL64" s="404"/>
      <c r="TLM64" s="404"/>
      <c r="TLN64" s="404"/>
      <c r="TLO64" s="404"/>
      <c r="TLP64" s="404"/>
      <c r="TLQ64" s="404"/>
      <c r="TLR64" s="404"/>
      <c r="TLS64" s="404"/>
      <c r="TLT64" s="404"/>
      <c r="TLU64" s="404"/>
      <c r="TLV64" s="404"/>
      <c r="TLW64" s="404"/>
      <c r="TLX64" s="404"/>
      <c r="TLY64" s="404"/>
      <c r="TLZ64" s="404"/>
      <c r="TMA64" s="404"/>
      <c r="TMB64" s="404"/>
      <c r="TMC64" s="404"/>
      <c r="TMD64" s="404"/>
      <c r="TME64" s="404"/>
      <c r="TMF64" s="404"/>
      <c r="TMG64" s="404"/>
      <c r="TMH64" s="404"/>
      <c r="TMI64" s="404"/>
      <c r="TMJ64" s="404"/>
      <c r="TMK64" s="404"/>
      <c r="TML64" s="404"/>
      <c r="TMM64" s="404"/>
      <c r="TMN64" s="404"/>
      <c r="TMO64" s="404"/>
      <c r="TMP64" s="404"/>
      <c r="TMQ64" s="404"/>
      <c r="TMR64" s="404"/>
      <c r="TMS64" s="404"/>
      <c r="TMT64" s="404"/>
      <c r="TMU64" s="404"/>
      <c r="TMV64" s="404"/>
      <c r="TMW64" s="404"/>
      <c r="TMX64" s="404"/>
      <c r="TMY64" s="404"/>
      <c r="TMZ64" s="404"/>
      <c r="TNA64" s="404"/>
      <c r="TNB64" s="404"/>
      <c r="TNC64" s="404"/>
      <c r="TND64" s="404"/>
      <c r="TNE64" s="404"/>
      <c r="TNF64" s="404"/>
      <c r="TNG64" s="404"/>
      <c r="TNH64" s="404"/>
      <c r="TNI64" s="404"/>
      <c r="TNJ64" s="404"/>
      <c r="TNK64" s="404"/>
      <c r="TNL64" s="404"/>
      <c r="TNM64" s="404"/>
      <c r="TNN64" s="404"/>
      <c r="TNO64" s="404"/>
      <c r="TNP64" s="404"/>
      <c r="TNQ64" s="404"/>
      <c r="TNR64" s="404"/>
      <c r="TNS64" s="404"/>
      <c r="TNT64" s="404"/>
      <c r="TNU64" s="404"/>
      <c r="TNV64" s="404"/>
      <c r="TNW64" s="404"/>
      <c r="TNX64" s="404"/>
      <c r="TNY64" s="404"/>
      <c r="TNZ64" s="404"/>
      <c r="TOA64" s="404"/>
      <c r="TOB64" s="404"/>
      <c r="TOC64" s="404"/>
      <c r="TOD64" s="404"/>
      <c r="TOE64" s="404"/>
      <c r="TOF64" s="404"/>
      <c r="TOG64" s="404"/>
      <c r="TOH64" s="404"/>
      <c r="TOI64" s="404"/>
      <c r="TOJ64" s="404"/>
      <c r="TOK64" s="404"/>
      <c r="TOL64" s="404"/>
      <c r="TOM64" s="404"/>
      <c r="TON64" s="404"/>
      <c r="TOO64" s="404"/>
      <c r="TOP64" s="404"/>
      <c r="TOQ64" s="404"/>
      <c r="TOR64" s="404"/>
      <c r="TOS64" s="404"/>
      <c r="TOT64" s="404"/>
      <c r="TOU64" s="404"/>
      <c r="TOV64" s="404"/>
      <c r="TOW64" s="404"/>
      <c r="TOX64" s="404"/>
      <c r="TOY64" s="404"/>
      <c r="TOZ64" s="404"/>
      <c r="TPA64" s="404"/>
      <c r="TPB64" s="404"/>
      <c r="TPC64" s="404"/>
      <c r="TPD64" s="404"/>
      <c r="TPE64" s="404"/>
      <c r="TPF64" s="404"/>
      <c r="TPG64" s="404"/>
      <c r="TPH64" s="404"/>
      <c r="TPI64" s="404"/>
      <c r="TPJ64" s="404"/>
      <c r="TPK64" s="404"/>
      <c r="TPL64" s="404"/>
      <c r="TPM64" s="404"/>
      <c r="TPN64" s="404"/>
      <c r="TPO64" s="404"/>
      <c r="TPP64" s="404"/>
      <c r="TPQ64" s="404"/>
      <c r="TPR64" s="404"/>
      <c r="TPS64" s="404"/>
      <c r="TPT64" s="404"/>
      <c r="TPU64" s="404"/>
      <c r="TPV64" s="404"/>
      <c r="TPW64" s="404"/>
      <c r="TPX64" s="404"/>
      <c r="TPY64" s="404"/>
      <c r="TPZ64" s="404"/>
      <c r="TQA64" s="404"/>
      <c r="TQB64" s="404"/>
      <c r="TQC64" s="404"/>
      <c r="TQD64" s="404"/>
      <c r="TQE64" s="404"/>
      <c r="TQF64" s="404"/>
      <c r="TQG64" s="404"/>
      <c r="TQH64" s="404"/>
      <c r="TQI64" s="404"/>
      <c r="TQJ64" s="404"/>
      <c r="TQK64" s="404"/>
      <c r="TQL64" s="404"/>
      <c r="TQM64" s="404"/>
      <c r="TQN64" s="404"/>
      <c r="TQO64" s="404"/>
      <c r="TQP64" s="404"/>
      <c r="TQQ64" s="404"/>
      <c r="TQR64" s="404"/>
      <c r="TQS64" s="404"/>
      <c r="TQT64" s="404"/>
      <c r="TQU64" s="404"/>
      <c r="TQV64" s="404"/>
      <c r="TQW64" s="404"/>
      <c r="TQX64" s="404"/>
      <c r="TQY64" s="404"/>
      <c r="TQZ64" s="404"/>
      <c r="TRA64" s="404"/>
      <c r="TRB64" s="404"/>
      <c r="TRC64" s="404"/>
      <c r="TRD64" s="404"/>
      <c r="TRE64" s="404"/>
      <c r="TRF64" s="404"/>
      <c r="TRG64" s="404"/>
      <c r="TRH64" s="404"/>
      <c r="TRI64" s="404"/>
      <c r="TRJ64" s="404"/>
      <c r="TRK64" s="404"/>
      <c r="TRL64" s="404"/>
      <c r="TRM64" s="404"/>
      <c r="TRN64" s="404"/>
      <c r="TRO64" s="404"/>
      <c r="TRP64" s="404"/>
      <c r="TRQ64" s="404"/>
      <c r="TRR64" s="404"/>
      <c r="TRS64" s="404"/>
      <c r="TRT64" s="404"/>
      <c r="TRU64" s="404"/>
      <c r="TRV64" s="404"/>
      <c r="TRW64" s="404"/>
      <c r="TRX64" s="404"/>
      <c r="TRY64" s="404"/>
      <c r="TRZ64" s="404"/>
      <c r="TSA64" s="404"/>
      <c r="TSB64" s="404"/>
      <c r="TSC64" s="404"/>
      <c r="TSD64" s="404"/>
      <c r="TSE64" s="404"/>
      <c r="TSF64" s="404"/>
      <c r="TSG64" s="404"/>
      <c r="TSH64" s="404"/>
      <c r="TSI64" s="404"/>
      <c r="TSJ64" s="404"/>
      <c r="TSK64" s="404"/>
      <c r="TSL64" s="404"/>
      <c r="TSM64" s="404"/>
      <c r="TSN64" s="404"/>
      <c r="TSO64" s="404"/>
      <c r="TSP64" s="404"/>
      <c r="TSQ64" s="404"/>
      <c r="TSR64" s="404"/>
      <c r="TSS64" s="404"/>
      <c r="TST64" s="404"/>
      <c r="TSU64" s="404"/>
      <c r="TSV64" s="404"/>
      <c r="TSW64" s="404"/>
      <c r="TSX64" s="404"/>
      <c r="TSY64" s="404"/>
      <c r="TSZ64" s="404"/>
      <c r="TTA64" s="404"/>
      <c r="TTB64" s="404"/>
      <c r="TTC64" s="404"/>
      <c r="TTD64" s="404"/>
      <c r="TTE64" s="404"/>
      <c r="TTF64" s="404"/>
      <c r="TTG64" s="404"/>
      <c r="TTH64" s="404"/>
      <c r="TTI64" s="404"/>
      <c r="TTJ64" s="404"/>
      <c r="TTK64" s="404"/>
      <c r="TTL64" s="404"/>
      <c r="TTM64" s="404"/>
      <c r="TTN64" s="404"/>
      <c r="TTO64" s="404"/>
      <c r="TTP64" s="404"/>
      <c r="TTQ64" s="404"/>
      <c r="TTR64" s="404"/>
      <c r="TTS64" s="404"/>
      <c r="TTT64" s="404"/>
      <c r="TTU64" s="404"/>
      <c r="TTV64" s="404"/>
      <c r="TTW64" s="404"/>
      <c r="TTX64" s="404"/>
      <c r="TTY64" s="404"/>
      <c r="TTZ64" s="404"/>
      <c r="TUA64" s="404"/>
      <c r="TUB64" s="404"/>
      <c r="TUC64" s="404"/>
      <c r="TUD64" s="404"/>
      <c r="TUE64" s="404"/>
      <c r="TUF64" s="404"/>
      <c r="TUG64" s="404"/>
      <c r="TUH64" s="404"/>
      <c r="TUI64" s="404"/>
      <c r="TUJ64" s="404"/>
      <c r="TUK64" s="404"/>
      <c r="TUL64" s="404"/>
      <c r="TUM64" s="404"/>
      <c r="TUN64" s="404"/>
      <c r="TUO64" s="404"/>
      <c r="TUP64" s="404"/>
      <c r="TUQ64" s="404"/>
      <c r="TUR64" s="404"/>
      <c r="TUS64" s="404"/>
      <c r="TUT64" s="404"/>
      <c r="TUU64" s="404"/>
      <c r="TUV64" s="404"/>
      <c r="TUW64" s="404"/>
      <c r="TUX64" s="404"/>
      <c r="TUY64" s="404"/>
      <c r="TUZ64" s="404"/>
      <c r="TVA64" s="404"/>
      <c r="TVB64" s="404"/>
      <c r="TVC64" s="404"/>
      <c r="TVD64" s="404"/>
      <c r="TVE64" s="404"/>
      <c r="TVF64" s="404"/>
      <c r="TVG64" s="404"/>
      <c r="TVH64" s="404"/>
      <c r="TVI64" s="404"/>
      <c r="TVJ64" s="404"/>
      <c r="TVK64" s="404"/>
      <c r="TVL64" s="404"/>
      <c r="TVM64" s="404"/>
      <c r="TVN64" s="404"/>
      <c r="TVO64" s="404"/>
      <c r="TVP64" s="404"/>
      <c r="TVQ64" s="404"/>
      <c r="TVR64" s="404"/>
      <c r="TVS64" s="404"/>
      <c r="TVT64" s="404"/>
      <c r="TVU64" s="404"/>
      <c r="TVV64" s="404"/>
      <c r="TVW64" s="404"/>
      <c r="TVX64" s="404"/>
      <c r="TVY64" s="404"/>
      <c r="TVZ64" s="404"/>
      <c r="TWA64" s="404"/>
      <c r="TWB64" s="404"/>
      <c r="TWC64" s="404"/>
      <c r="TWD64" s="404"/>
      <c r="TWE64" s="404"/>
      <c r="TWF64" s="404"/>
      <c r="TWG64" s="404"/>
      <c r="TWH64" s="404"/>
      <c r="TWI64" s="404"/>
      <c r="TWJ64" s="404"/>
      <c r="TWK64" s="404"/>
      <c r="TWL64" s="404"/>
      <c r="TWM64" s="404"/>
      <c r="TWN64" s="404"/>
      <c r="TWO64" s="404"/>
      <c r="TWP64" s="404"/>
      <c r="TWQ64" s="404"/>
      <c r="TWR64" s="404"/>
      <c r="TWS64" s="404"/>
      <c r="TWT64" s="404"/>
      <c r="TWU64" s="404"/>
      <c r="TWV64" s="404"/>
      <c r="TWW64" s="404"/>
      <c r="TWX64" s="404"/>
      <c r="TWY64" s="404"/>
      <c r="TWZ64" s="404"/>
      <c r="TXA64" s="404"/>
      <c r="TXB64" s="404"/>
      <c r="TXC64" s="404"/>
      <c r="TXD64" s="404"/>
      <c r="TXE64" s="404"/>
      <c r="TXF64" s="404"/>
      <c r="TXG64" s="404"/>
      <c r="TXH64" s="404"/>
      <c r="TXI64" s="404"/>
      <c r="TXJ64" s="404"/>
      <c r="TXK64" s="404"/>
      <c r="TXL64" s="404"/>
      <c r="TXM64" s="404"/>
      <c r="TXN64" s="404"/>
      <c r="TXO64" s="404"/>
      <c r="TXP64" s="404"/>
      <c r="TXQ64" s="404"/>
      <c r="TXR64" s="404"/>
      <c r="TXS64" s="404"/>
      <c r="TXT64" s="404"/>
      <c r="TXU64" s="404"/>
      <c r="TXV64" s="404"/>
      <c r="TXW64" s="404"/>
      <c r="TXX64" s="404"/>
      <c r="TXY64" s="404"/>
      <c r="TXZ64" s="404"/>
      <c r="TYA64" s="404"/>
      <c r="TYB64" s="404"/>
      <c r="TYC64" s="404"/>
      <c r="TYD64" s="404"/>
      <c r="TYE64" s="404"/>
      <c r="TYF64" s="404"/>
      <c r="TYG64" s="404"/>
      <c r="TYH64" s="404"/>
      <c r="TYI64" s="404"/>
      <c r="TYJ64" s="404"/>
      <c r="TYK64" s="404"/>
      <c r="TYL64" s="404"/>
      <c r="TYM64" s="404"/>
      <c r="TYN64" s="404"/>
      <c r="TYO64" s="404"/>
      <c r="TYP64" s="404"/>
      <c r="TYQ64" s="404"/>
      <c r="TYR64" s="404"/>
      <c r="TYS64" s="404"/>
      <c r="TYT64" s="404"/>
      <c r="TYU64" s="404"/>
      <c r="TYV64" s="404"/>
      <c r="TYW64" s="404"/>
      <c r="TYX64" s="404"/>
      <c r="TYY64" s="404"/>
      <c r="TYZ64" s="404"/>
      <c r="TZA64" s="404"/>
      <c r="TZB64" s="404"/>
      <c r="TZC64" s="404"/>
      <c r="TZD64" s="404"/>
      <c r="TZE64" s="404"/>
      <c r="TZF64" s="404"/>
      <c r="TZG64" s="404"/>
      <c r="TZH64" s="404"/>
      <c r="TZI64" s="404"/>
      <c r="TZJ64" s="404"/>
      <c r="TZK64" s="404"/>
      <c r="TZL64" s="404"/>
      <c r="TZM64" s="404"/>
      <c r="TZN64" s="404"/>
      <c r="TZO64" s="404"/>
      <c r="TZP64" s="404"/>
      <c r="TZQ64" s="404"/>
      <c r="TZR64" s="404"/>
      <c r="TZS64" s="404"/>
      <c r="TZT64" s="404"/>
      <c r="TZU64" s="404"/>
      <c r="TZV64" s="404"/>
      <c r="TZW64" s="404"/>
      <c r="TZX64" s="404"/>
      <c r="TZY64" s="404"/>
      <c r="TZZ64" s="404"/>
      <c r="UAA64" s="404"/>
      <c r="UAB64" s="404"/>
      <c r="UAC64" s="404"/>
      <c r="UAD64" s="404"/>
      <c r="UAE64" s="404"/>
      <c r="UAF64" s="404"/>
      <c r="UAG64" s="404"/>
      <c r="UAH64" s="404"/>
      <c r="UAI64" s="404"/>
      <c r="UAJ64" s="404"/>
      <c r="UAK64" s="404"/>
      <c r="UAL64" s="404"/>
      <c r="UAM64" s="404"/>
      <c r="UAN64" s="404"/>
      <c r="UAO64" s="404"/>
      <c r="UAP64" s="404"/>
      <c r="UAQ64" s="404"/>
      <c r="UAR64" s="404"/>
      <c r="UAS64" s="404"/>
      <c r="UAT64" s="404"/>
      <c r="UAU64" s="404"/>
      <c r="UAV64" s="404"/>
      <c r="UAW64" s="404"/>
      <c r="UAX64" s="404"/>
      <c r="UAY64" s="404"/>
      <c r="UAZ64" s="404"/>
      <c r="UBA64" s="404"/>
      <c r="UBB64" s="404"/>
      <c r="UBC64" s="404"/>
      <c r="UBD64" s="404"/>
      <c r="UBE64" s="404"/>
      <c r="UBF64" s="404"/>
      <c r="UBG64" s="404"/>
      <c r="UBH64" s="404"/>
      <c r="UBI64" s="404"/>
      <c r="UBJ64" s="404"/>
      <c r="UBK64" s="404"/>
      <c r="UBL64" s="404"/>
      <c r="UBM64" s="404"/>
      <c r="UBN64" s="404"/>
      <c r="UBO64" s="404"/>
      <c r="UBP64" s="404"/>
      <c r="UBQ64" s="404"/>
      <c r="UBR64" s="404"/>
      <c r="UBS64" s="404"/>
      <c r="UBT64" s="404"/>
      <c r="UBU64" s="404"/>
      <c r="UBV64" s="404"/>
      <c r="UBW64" s="404"/>
      <c r="UBX64" s="404"/>
      <c r="UBY64" s="404"/>
      <c r="UBZ64" s="404"/>
      <c r="UCA64" s="404"/>
      <c r="UCB64" s="404"/>
      <c r="UCC64" s="404"/>
      <c r="UCD64" s="404"/>
      <c r="UCE64" s="404"/>
      <c r="UCF64" s="404"/>
      <c r="UCG64" s="404"/>
      <c r="UCH64" s="404"/>
      <c r="UCI64" s="404"/>
      <c r="UCJ64" s="404"/>
      <c r="UCK64" s="404"/>
      <c r="UCL64" s="404"/>
      <c r="UCM64" s="404"/>
      <c r="UCN64" s="404"/>
      <c r="UCO64" s="404"/>
      <c r="UCP64" s="404"/>
      <c r="UCQ64" s="404"/>
      <c r="UCR64" s="404"/>
      <c r="UCS64" s="404"/>
      <c r="UCT64" s="404"/>
      <c r="UCU64" s="404"/>
      <c r="UCV64" s="404"/>
      <c r="UCW64" s="404"/>
      <c r="UCX64" s="404"/>
      <c r="UCY64" s="404"/>
      <c r="UCZ64" s="404"/>
      <c r="UDA64" s="404"/>
      <c r="UDB64" s="404"/>
      <c r="UDC64" s="404"/>
      <c r="UDD64" s="404"/>
      <c r="UDE64" s="404"/>
      <c r="UDF64" s="404"/>
      <c r="UDG64" s="404"/>
      <c r="UDH64" s="404"/>
      <c r="UDI64" s="404"/>
      <c r="UDJ64" s="404"/>
      <c r="UDK64" s="404"/>
      <c r="UDL64" s="404"/>
      <c r="UDM64" s="404"/>
      <c r="UDN64" s="404"/>
      <c r="UDO64" s="404"/>
      <c r="UDP64" s="404"/>
      <c r="UDQ64" s="404"/>
      <c r="UDR64" s="404"/>
      <c r="UDS64" s="404"/>
      <c r="UDT64" s="404"/>
      <c r="UDU64" s="404"/>
      <c r="UDV64" s="404"/>
      <c r="UDW64" s="404"/>
      <c r="UDX64" s="404"/>
      <c r="UDY64" s="404"/>
      <c r="UDZ64" s="404"/>
      <c r="UEA64" s="404"/>
      <c r="UEB64" s="404"/>
      <c r="UEC64" s="404"/>
      <c r="UED64" s="404"/>
      <c r="UEE64" s="404"/>
      <c r="UEF64" s="404"/>
      <c r="UEG64" s="404"/>
      <c r="UEH64" s="404"/>
      <c r="UEI64" s="404"/>
      <c r="UEJ64" s="404"/>
      <c r="UEK64" s="404"/>
      <c r="UEL64" s="404"/>
      <c r="UEM64" s="404"/>
      <c r="UEN64" s="404"/>
      <c r="UEO64" s="404"/>
      <c r="UEP64" s="404"/>
      <c r="UEQ64" s="404"/>
      <c r="UER64" s="404"/>
      <c r="UES64" s="404"/>
      <c r="UET64" s="404"/>
      <c r="UEU64" s="404"/>
      <c r="UEV64" s="404"/>
      <c r="UEW64" s="404"/>
      <c r="UEX64" s="404"/>
      <c r="UEY64" s="404"/>
      <c r="UEZ64" s="404"/>
      <c r="UFA64" s="404"/>
      <c r="UFB64" s="404"/>
      <c r="UFC64" s="404"/>
      <c r="UFD64" s="404"/>
      <c r="UFE64" s="404"/>
      <c r="UFF64" s="404"/>
      <c r="UFG64" s="404"/>
      <c r="UFH64" s="404"/>
      <c r="UFI64" s="404"/>
      <c r="UFJ64" s="404"/>
      <c r="UFK64" s="404"/>
      <c r="UFL64" s="404"/>
      <c r="UFM64" s="404"/>
      <c r="UFN64" s="404"/>
      <c r="UFO64" s="404"/>
      <c r="UFP64" s="404"/>
      <c r="UFQ64" s="404"/>
      <c r="UFR64" s="404"/>
      <c r="UFS64" s="404"/>
      <c r="UFT64" s="404"/>
      <c r="UFU64" s="404"/>
      <c r="UFV64" s="404"/>
      <c r="UFW64" s="404"/>
      <c r="UFX64" s="404"/>
      <c r="UFY64" s="404"/>
      <c r="UFZ64" s="404"/>
      <c r="UGA64" s="404"/>
      <c r="UGB64" s="404"/>
      <c r="UGC64" s="404"/>
      <c r="UGD64" s="404"/>
      <c r="UGE64" s="404"/>
      <c r="UGF64" s="404"/>
      <c r="UGG64" s="404"/>
      <c r="UGH64" s="404"/>
      <c r="UGI64" s="404"/>
      <c r="UGJ64" s="404"/>
      <c r="UGK64" s="404"/>
      <c r="UGL64" s="404"/>
      <c r="UGM64" s="404"/>
      <c r="UGN64" s="404"/>
      <c r="UGO64" s="404"/>
      <c r="UGP64" s="404"/>
      <c r="UGQ64" s="404"/>
      <c r="UGR64" s="404"/>
      <c r="UGS64" s="404"/>
      <c r="UGT64" s="404"/>
      <c r="UGU64" s="404"/>
      <c r="UGV64" s="404"/>
      <c r="UGW64" s="404"/>
      <c r="UGX64" s="404"/>
      <c r="UGY64" s="404"/>
      <c r="UGZ64" s="404"/>
      <c r="UHA64" s="404"/>
      <c r="UHB64" s="404"/>
      <c r="UHC64" s="404"/>
      <c r="UHD64" s="404"/>
      <c r="UHE64" s="404"/>
      <c r="UHF64" s="404"/>
      <c r="UHG64" s="404"/>
      <c r="UHH64" s="404"/>
      <c r="UHI64" s="404"/>
      <c r="UHJ64" s="404"/>
      <c r="UHK64" s="404"/>
      <c r="UHL64" s="404"/>
      <c r="UHM64" s="404"/>
      <c r="UHN64" s="404"/>
      <c r="UHO64" s="404"/>
      <c r="UHP64" s="404"/>
      <c r="UHQ64" s="404"/>
      <c r="UHR64" s="404"/>
      <c r="UHS64" s="404"/>
      <c r="UHT64" s="404"/>
      <c r="UHU64" s="404"/>
      <c r="UHV64" s="404"/>
      <c r="UHW64" s="404"/>
      <c r="UHX64" s="404"/>
      <c r="UHY64" s="404"/>
      <c r="UHZ64" s="404"/>
      <c r="UIA64" s="404"/>
      <c r="UIB64" s="404"/>
      <c r="UIC64" s="404"/>
      <c r="UID64" s="404"/>
      <c r="UIE64" s="404"/>
      <c r="UIF64" s="404"/>
      <c r="UIG64" s="404"/>
      <c r="UIH64" s="404"/>
      <c r="UII64" s="404"/>
      <c r="UIJ64" s="404"/>
      <c r="UIK64" s="404"/>
      <c r="UIL64" s="404"/>
      <c r="UIM64" s="404"/>
      <c r="UIN64" s="404"/>
      <c r="UIO64" s="404"/>
      <c r="UIP64" s="404"/>
      <c r="UIQ64" s="404"/>
      <c r="UIR64" s="404"/>
      <c r="UIS64" s="404"/>
      <c r="UIT64" s="404"/>
      <c r="UIU64" s="404"/>
      <c r="UIV64" s="404"/>
      <c r="UIW64" s="404"/>
      <c r="UIX64" s="404"/>
      <c r="UIY64" s="404"/>
      <c r="UIZ64" s="404"/>
      <c r="UJA64" s="404"/>
      <c r="UJB64" s="404"/>
      <c r="UJC64" s="404"/>
      <c r="UJD64" s="404"/>
      <c r="UJE64" s="404"/>
      <c r="UJF64" s="404"/>
      <c r="UJG64" s="404"/>
      <c r="UJH64" s="404"/>
      <c r="UJI64" s="404"/>
      <c r="UJJ64" s="404"/>
      <c r="UJK64" s="404"/>
      <c r="UJL64" s="404"/>
      <c r="UJM64" s="404"/>
      <c r="UJN64" s="404"/>
      <c r="UJO64" s="404"/>
      <c r="UJP64" s="404"/>
      <c r="UJQ64" s="404"/>
      <c r="UJR64" s="404"/>
      <c r="UJS64" s="404"/>
      <c r="UJT64" s="404"/>
      <c r="UJU64" s="404"/>
      <c r="UJV64" s="404"/>
      <c r="UJW64" s="404"/>
      <c r="UJX64" s="404"/>
      <c r="UJY64" s="404"/>
      <c r="UJZ64" s="404"/>
      <c r="UKA64" s="404"/>
      <c r="UKB64" s="404"/>
      <c r="UKC64" s="404"/>
      <c r="UKD64" s="404"/>
      <c r="UKE64" s="404"/>
      <c r="UKF64" s="404"/>
      <c r="UKG64" s="404"/>
      <c r="UKH64" s="404"/>
      <c r="UKI64" s="404"/>
      <c r="UKJ64" s="404"/>
      <c r="UKK64" s="404"/>
      <c r="UKL64" s="404"/>
      <c r="UKM64" s="404"/>
      <c r="UKN64" s="404"/>
      <c r="UKO64" s="404"/>
      <c r="UKP64" s="404"/>
      <c r="UKQ64" s="404"/>
      <c r="UKR64" s="404"/>
      <c r="UKS64" s="404"/>
      <c r="UKT64" s="404"/>
      <c r="UKU64" s="404"/>
      <c r="UKV64" s="404"/>
      <c r="UKW64" s="404"/>
      <c r="UKX64" s="404"/>
      <c r="UKY64" s="404"/>
      <c r="UKZ64" s="404"/>
      <c r="ULA64" s="404"/>
      <c r="ULB64" s="404"/>
      <c r="ULC64" s="404"/>
      <c r="ULD64" s="404"/>
      <c r="ULE64" s="404"/>
      <c r="ULF64" s="404"/>
      <c r="ULG64" s="404"/>
      <c r="ULH64" s="404"/>
      <c r="ULI64" s="404"/>
      <c r="ULJ64" s="404"/>
      <c r="ULK64" s="404"/>
      <c r="ULL64" s="404"/>
      <c r="ULM64" s="404"/>
      <c r="ULN64" s="404"/>
      <c r="ULO64" s="404"/>
      <c r="ULP64" s="404"/>
      <c r="ULQ64" s="404"/>
      <c r="ULR64" s="404"/>
      <c r="ULS64" s="404"/>
      <c r="ULT64" s="404"/>
      <c r="ULU64" s="404"/>
      <c r="ULV64" s="404"/>
      <c r="ULW64" s="404"/>
      <c r="ULX64" s="404"/>
      <c r="ULY64" s="404"/>
      <c r="ULZ64" s="404"/>
      <c r="UMA64" s="404"/>
      <c r="UMB64" s="404"/>
      <c r="UMC64" s="404"/>
      <c r="UMD64" s="404"/>
      <c r="UME64" s="404"/>
      <c r="UMF64" s="404"/>
      <c r="UMG64" s="404"/>
      <c r="UMH64" s="404"/>
      <c r="UMI64" s="404"/>
      <c r="UMJ64" s="404"/>
      <c r="UMK64" s="404"/>
      <c r="UML64" s="404"/>
      <c r="UMM64" s="404"/>
      <c r="UMN64" s="404"/>
      <c r="UMO64" s="404"/>
      <c r="UMP64" s="404"/>
      <c r="UMQ64" s="404"/>
      <c r="UMR64" s="404"/>
      <c r="UMS64" s="404"/>
      <c r="UMT64" s="404"/>
      <c r="UMU64" s="404"/>
      <c r="UMV64" s="404"/>
      <c r="UMW64" s="404"/>
      <c r="UMX64" s="404"/>
      <c r="UMY64" s="404"/>
      <c r="UMZ64" s="404"/>
      <c r="UNA64" s="404"/>
      <c r="UNB64" s="404"/>
      <c r="UNC64" s="404"/>
      <c r="UND64" s="404"/>
      <c r="UNE64" s="404"/>
      <c r="UNF64" s="404"/>
      <c r="UNG64" s="404"/>
      <c r="UNH64" s="404"/>
      <c r="UNI64" s="404"/>
      <c r="UNJ64" s="404"/>
      <c r="UNK64" s="404"/>
      <c r="UNL64" s="404"/>
      <c r="UNM64" s="404"/>
      <c r="UNN64" s="404"/>
      <c r="UNO64" s="404"/>
      <c r="UNP64" s="404"/>
      <c r="UNQ64" s="404"/>
      <c r="UNR64" s="404"/>
      <c r="UNS64" s="404"/>
      <c r="UNT64" s="404"/>
      <c r="UNU64" s="404"/>
      <c r="UNV64" s="404"/>
      <c r="UNW64" s="404"/>
      <c r="UNX64" s="404"/>
      <c r="UNY64" s="404"/>
      <c r="UNZ64" s="404"/>
      <c r="UOA64" s="404"/>
      <c r="UOB64" s="404"/>
      <c r="UOC64" s="404"/>
      <c r="UOD64" s="404"/>
      <c r="UOE64" s="404"/>
      <c r="UOF64" s="404"/>
      <c r="UOG64" s="404"/>
      <c r="UOH64" s="404"/>
      <c r="UOI64" s="404"/>
      <c r="UOJ64" s="404"/>
      <c r="UOK64" s="404"/>
      <c r="UOL64" s="404"/>
      <c r="UOM64" s="404"/>
      <c r="UON64" s="404"/>
      <c r="UOO64" s="404"/>
      <c r="UOP64" s="404"/>
      <c r="UOQ64" s="404"/>
      <c r="UOR64" s="404"/>
      <c r="UOS64" s="404"/>
      <c r="UOT64" s="404"/>
      <c r="UOU64" s="404"/>
      <c r="UOV64" s="404"/>
      <c r="UOW64" s="404"/>
      <c r="UOX64" s="404"/>
      <c r="UOY64" s="404"/>
      <c r="UOZ64" s="404"/>
      <c r="UPA64" s="404"/>
      <c r="UPB64" s="404"/>
      <c r="UPC64" s="404"/>
      <c r="UPD64" s="404"/>
      <c r="UPE64" s="404"/>
      <c r="UPF64" s="404"/>
      <c r="UPG64" s="404"/>
      <c r="UPH64" s="404"/>
      <c r="UPI64" s="404"/>
      <c r="UPJ64" s="404"/>
      <c r="UPK64" s="404"/>
      <c r="UPL64" s="404"/>
      <c r="UPM64" s="404"/>
      <c r="UPN64" s="404"/>
      <c r="UPO64" s="404"/>
      <c r="UPP64" s="404"/>
      <c r="UPQ64" s="404"/>
      <c r="UPR64" s="404"/>
      <c r="UPS64" s="404"/>
      <c r="UPT64" s="404"/>
      <c r="UPU64" s="404"/>
      <c r="UPV64" s="404"/>
      <c r="UPW64" s="404"/>
      <c r="UPX64" s="404"/>
      <c r="UPY64" s="404"/>
      <c r="UPZ64" s="404"/>
      <c r="UQA64" s="404"/>
      <c r="UQB64" s="404"/>
      <c r="UQC64" s="404"/>
      <c r="UQD64" s="404"/>
      <c r="UQE64" s="404"/>
      <c r="UQF64" s="404"/>
      <c r="UQG64" s="404"/>
      <c r="UQH64" s="404"/>
      <c r="UQI64" s="404"/>
      <c r="UQJ64" s="404"/>
      <c r="UQK64" s="404"/>
      <c r="UQL64" s="404"/>
      <c r="UQM64" s="404"/>
      <c r="UQN64" s="404"/>
      <c r="UQO64" s="404"/>
      <c r="UQP64" s="404"/>
      <c r="UQQ64" s="404"/>
      <c r="UQR64" s="404"/>
      <c r="UQS64" s="404"/>
      <c r="UQT64" s="404"/>
      <c r="UQU64" s="404"/>
      <c r="UQV64" s="404"/>
      <c r="UQW64" s="404"/>
      <c r="UQX64" s="404"/>
      <c r="UQY64" s="404"/>
      <c r="UQZ64" s="404"/>
      <c r="URA64" s="404"/>
      <c r="URB64" s="404"/>
      <c r="URC64" s="404"/>
      <c r="URD64" s="404"/>
      <c r="URE64" s="404"/>
      <c r="URF64" s="404"/>
      <c r="URG64" s="404"/>
      <c r="URH64" s="404"/>
      <c r="URI64" s="404"/>
      <c r="URJ64" s="404"/>
      <c r="URK64" s="404"/>
      <c r="URL64" s="404"/>
      <c r="URM64" s="404"/>
      <c r="URN64" s="404"/>
      <c r="URO64" s="404"/>
      <c r="URP64" s="404"/>
      <c r="URQ64" s="404"/>
      <c r="URR64" s="404"/>
      <c r="URS64" s="404"/>
      <c r="URT64" s="404"/>
      <c r="URU64" s="404"/>
      <c r="URV64" s="404"/>
      <c r="URW64" s="404"/>
      <c r="URX64" s="404"/>
      <c r="URY64" s="404"/>
      <c r="URZ64" s="404"/>
      <c r="USA64" s="404"/>
      <c r="USB64" s="404"/>
      <c r="USC64" s="404"/>
      <c r="USD64" s="404"/>
      <c r="USE64" s="404"/>
      <c r="USF64" s="404"/>
      <c r="USG64" s="404"/>
      <c r="USH64" s="404"/>
      <c r="USI64" s="404"/>
      <c r="USJ64" s="404"/>
      <c r="USK64" s="404"/>
      <c r="USL64" s="404"/>
      <c r="USM64" s="404"/>
      <c r="USN64" s="404"/>
      <c r="USO64" s="404"/>
      <c r="USP64" s="404"/>
      <c r="USQ64" s="404"/>
      <c r="USR64" s="404"/>
      <c r="USS64" s="404"/>
      <c r="UST64" s="404"/>
      <c r="USU64" s="404"/>
      <c r="USV64" s="404"/>
      <c r="USW64" s="404"/>
      <c r="USX64" s="404"/>
      <c r="USY64" s="404"/>
      <c r="USZ64" s="404"/>
      <c r="UTA64" s="404"/>
      <c r="UTB64" s="404"/>
      <c r="UTC64" s="404"/>
      <c r="UTD64" s="404"/>
      <c r="UTE64" s="404"/>
      <c r="UTF64" s="404"/>
      <c r="UTG64" s="404"/>
      <c r="UTH64" s="404"/>
      <c r="UTI64" s="404"/>
      <c r="UTJ64" s="404"/>
      <c r="UTK64" s="404"/>
      <c r="UTL64" s="404"/>
      <c r="UTM64" s="404"/>
      <c r="UTN64" s="404"/>
      <c r="UTO64" s="404"/>
      <c r="UTP64" s="404"/>
      <c r="UTQ64" s="404"/>
      <c r="UTR64" s="404"/>
      <c r="UTS64" s="404"/>
      <c r="UTT64" s="404"/>
      <c r="UTU64" s="404"/>
      <c r="UTV64" s="404"/>
      <c r="UTW64" s="404"/>
      <c r="UTX64" s="404"/>
      <c r="UTY64" s="404"/>
      <c r="UTZ64" s="404"/>
      <c r="UUA64" s="404"/>
      <c r="UUB64" s="404"/>
      <c r="UUC64" s="404"/>
      <c r="UUD64" s="404"/>
      <c r="UUE64" s="404"/>
      <c r="UUF64" s="404"/>
      <c r="UUG64" s="404"/>
      <c r="UUH64" s="404"/>
      <c r="UUI64" s="404"/>
      <c r="UUJ64" s="404"/>
      <c r="UUK64" s="404"/>
      <c r="UUL64" s="404"/>
      <c r="UUM64" s="404"/>
      <c r="UUN64" s="404"/>
      <c r="UUO64" s="404"/>
      <c r="UUP64" s="404"/>
      <c r="UUQ64" s="404"/>
      <c r="UUR64" s="404"/>
      <c r="UUS64" s="404"/>
      <c r="UUT64" s="404"/>
      <c r="UUU64" s="404"/>
      <c r="UUV64" s="404"/>
      <c r="UUW64" s="404"/>
      <c r="UUX64" s="404"/>
      <c r="UUY64" s="404"/>
      <c r="UUZ64" s="404"/>
      <c r="UVA64" s="404"/>
      <c r="UVB64" s="404"/>
      <c r="UVC64" s="404"/>
      <c r="UVD64" s="404"/>
      <c r="UVE64" s="404"/>
      <c r="UVF64" s="404"/>
      <c r="UVG64" s="404"/>
      <c r="UVH64" s="404"/>
      <c r="UVI64" s="404"/>
      <c r="UVJ64" s="404"/>
      <c r="UVK64" s="404"/>
      <c r="UVL64" s="404"/>
      <c r="UVM64" s="404"/>
      <c r="UVN64" s="404"/>
      <c r="UVO64" s="404"/>
      <c r="UVP64" s="404"/>
      <c r="UVQ64" s="404"/>
      <c r="UVR64" s="404"/>
      <c r="UVS64" s="404"/>
      <c r="UVT64" s="404"/>
      <c r="UVU64" s="404"/>
      <c r="UVV64" s="404"/>
      <c r="UVW64" s="404"/>
      <c r="UVX64" s="404"/>
      <c r="UVY64" s="404"/>
      <c r="UVZ64" s="404"/>
      <c r="UWA64" s="404"/>
      <c r="UWB64" s="404"/>
      <c r="UWC64" s="404"/>
      <c r="UWD64" s="404"/>
      <c r="UWE64" s="404"/>
      <c r="UWF64" s="404"/>
      <c r="UWG64" s="404"/>
      <c r="UWH64" s="404"/>
      <c r="UWI64" s="404"/>
      <c r="UWJ64" s="404"/>
      <c r="UWK64" s="404"/>
      <c r="UWL64" s="404"/>
      <c r="UWM64" s="404"/>
      <c r="UWN64" s="404"/>
      <c r="UWO64" s="404"/>
      <c r="UWP64" s="404"/>
      <c r="UWQ64" s="404"/>
      <c r="UWR64" s="404"/>
      <c r="UWS64" s="404"/>
      <c r="UWT64" s="404"/>
      <c r="UWU64" s="404"/>
      <c r="UWV64" s="404"/>
      <c r="UWW64" s="404"/>
      <c r="UWX64" s="404"/>
      <c r="UWY64" s="404"/>
      <c r="UWZ64" s="404"/>
      <c r="UXA64" s="404"/>
      <c r="UXB64" s="404"/>
      <c r="UXC64" s="404"/>
      <c r="UXD64" s="404"/>
      <c r="UXE64" s="404"/>
      <c r="UXF64" s="404"/>
      <c r="UXG64" s="404"/>
      <c r="UXH64" s="404"/>
      <c r="UXI64" s="404"/>
      <c r="UXJ64" s="404"/>
      <c r="UXK64" s="404"/>
      <c r="UXL64" s="404"/>
      <c r="UXM64" s="404"/>
      <c r="UXN64" s="404"/>
      <c r="UXO64" s="404"/>
      <c r="UXP64" s="404"/>
      <c r="UXQ64" s="404"/>
      <c r="UXR64" s="404"/>
      <c r="UXS64" s="404"/>
      <c r="UXT64" s="404"/>
      <c r="UXU64" s="404"/>
      <c r="UXV64" s="404"/>
      <c r="UXW64" s="404"/>
      <c r="UXX64" s="404"/>
      <c r="UXY64" s="404"/>
      <c r="UXZ64" s="404"/>
      <c r="UYA64" s="404"/>
      <c r="UYB64" s="404"/>
      <c r="UYC64" s="404"/>
      <c r="UYD64" s="404"/>
      <c r="UYE64" s="404"/>
      <c r="UYF64" s="404"/>
      <c r="UYG64" s="404"/>
      <c r="UYH64" s="404"/>
      <c r="UYI64" s="404"/>
      <c r="UYJ64" s="404"/>
      <c r="UYK64" s="404"/>
      <c r="UYL64" s="404"/>
      <c r="UYM64" s="404"/>
      <c r="UYN64" s="404"/>
      <c r="UYO64" s="404"/>
      <c r="UYP64" s="404"/>
      <c r="UYQ64" s="404"/>
      <c r="UYR64" s="404"/>
      <c r="UYS64" s="404"/>
      <c r="UYT64" s="404"/>
      <c r="UYU64" s="404"/>
      <c r="UYV64" s="404"/>
      <c r="UYW64" s="404"/>
      <c r="UYX64" s="404"/>
      <c r="UYY64" s="404"/>
      <c r="UYZ64" s="404"/>
      <c r="UZA64" s="404"/>
      <c r="UZB64" s="404"/>
      <c r="UZC64" s="404"/>
      <c r="UZD64" s="404"/>
      <c r="UZE64" s="404"/>
      <c r="UZF64" s="404"/>
      <c r="UZG64" s="404"/>
      <c r="UZH64" s="404"/>
      <c r="UZI64" s="404"/>
      <c r="UZJ64" s="404"/>
      <c r="UZK64" s="404"/>
      <c r="UZL64" s="404"/>
      <c r="UZM64" s="404"/>
      <c r="UZN64" s="404"/>
      <c r="UZO64" s="404"/>
      <c r="UZP64" s="404"/>
      <c r="UZQ64" s="404"/>
      <c r="UZR64" s="404"/>
      <c r="UZS64" s="404"/>
      <c r="UZT64" s="404"/>
      <c r="UZU64" s="404"/>
      <c r="UZV64" s="404"/>
      <c r="UZW64" s="404"/>
      <c r="UZX64" s="404"/>
      <c r="UZY64" s="404"/>
      <c r="UZZ64" s="404"/>
      <c r="VAA64" s="404"/>
      <c r="VAB64" s="404"/>
      <c r="VAC64" s="404"/>
      <c r="VAD64" s="404"/>
      <c r="VAE64" s="404"/>
      <c r="VAF64" s="404"/>
      <c r="VAG64" s="404"/>
      <c r="VAH64" s="404"/>
      <c r="VAI64" s="404"/>
      <c r="VAJ64" s="404"/>
      <c r="VAK64" s="404"/>
      <c r="VAL64" s="404"/>
      <c r="VAM64" s="404"/>
      <c r="VAN64" s="404"/>
      <c r="VAO64" s="404"/>
      <c r="VAP64" s="404"/>
      <c r="VAQ64" s="404"/>
      <c r="VAR64" s="404"/>
      <c r="VAS64" s="404"/>
      <c r="VAT64" s="404"/>
      <c r="VAU64" s="404"/>
      <c r="VAV64" s="404"/>
      <c r="VAW64" s="404"/>
      <c r="VAX64" s="404"/>
      <c r="VAY64" s="404"/>
      <c r="VAZ64" s="404"/>
      <c r="VBA64" s="404"/>
      <c r="VBB64" s="404"/>
      <c r="VBC64" s="404"/>
      <c r="VBD64" s="404"/>
      <c r="VBE64" s="404"/>
      <c r="VBF64" s="404"/>
      <c r="VBG64" s="404"/>
      <c r="VBH64" s="404"/>
      <c r="VBI64" s="404"/>
      <c r="VBJ64" s="404"/>
      <c r="VBK64" s="404"/>
      <c r="VBL64" s="404"/>
      <c r="VBM64" s="404"/>
      <c r="VBN64" s="404"/>
      <c r="VBO64" s="404"/>
      <c r="VBP64" s="404"/>
      <c r="VBQ64" s="404"/>
      <c r="VBR64" s="404"/>
      <c r="VBS64" s="404"/>
      <c r="VBT64" s="404"/>
      <c r="VBU64" s="404"/>
      <c r="VBV64" s="404"/>
      <c r="VBW64" s="404"/>
      <c r="VBX64" s="404"/>
      <c r="VBY64" s="404"/>
      <c r="VBZ64" s="404"/>
      <c r="VCA64" s="404"/>
      <c r="VCB64" s="404"/>
      <c r="VCC64" s="404"/>
      <c r="VCD64" s="404"/>
      <c r="VCE64" s="404"/>
      <c r="VCF64" s="404"/>
      <c r="VCG64" s="404"/>
      <c r="VCH64" s="404"/>
      <c r="VCI64" s="404"/>
      <c r="VCJ64" s="404"/>
      <c r="VCK64" s="404"/>
      <c r="VCL64" s="404"/>
      <c r="VCM64" s="404"/>
      <c r="VCN64" s="404"/>
      <c r="VCO64" s="404"/>
      <c r="VCP64" s="404"/>
      <c r="VCQ64" s="404"/>
      <c r="VCR64" s="404"/>
      <c r="VCS64" s="404"/>
      <c r="VCT64" s="404"/>
      <c r="VCU64" s="404"/>
      <c r="VCV64" s="404"/>
      <c r="VCW64" s="404"/>
      <c r="VCX64" s="404"/>
      <c r="VCY64" s="404"/>
      <c r="VCZ64" s="404"/>
      <c r="VDA64" s="404"/>
      <c r="VDB64" s="404"/>
      <c r="VDC64" s="404"/>
      <c r="VDD64" s="404"/>
      <c r="VDE64" s="404"/>
      <c r="VDF64" s="404"/>
      <c r="VDG64" s="404"/>
      <c r="VDH64" s="404"/>
      <c r="VDI64" s="404"/>
      <c r="VDJ64" s="404"/>
      <c r="VDK64" s="404"/>
      <c r="VDL64" s="404"/>
      <c r="VDM64" s="404"/>
      <c r="VDN64" s="404"/>
      <c r="VDO64" s="404"/>
      <c r="VDP64" s="404"/>
      <c r="VDQ64" s="404"/>
      <c r="VDR64" s="404"/>
      <c r="VDS64" s="404"/>
      <c r="VDT64" s="404"/>
      <c r="VDU64" s="404"/>
      <c r="VDV64" s="404"/>
      <c r="VDW64" s="404"/>
      <c r="VDX64" s="404"/>
      <c r="VDY64" s="404"/>
      <c r="VDZ64" s="404"/>
      <c r="VEA64" s="404"/>
      <c r="VEB64" s="404"/>
      <c r="VEC64" s="404"/>
      <c r="VED64" s="404"/>
      <c r="VEE64" s="404"/>
      <c r="VEF64" s="404"/>
      <c r="VEG64" s="404"/>
      <c r="VEH64" s="404"/>
      <c r="VEI64" s="404"/>
      <c r="VEJ64" s="404"/>
      <c r="VEK64" s="404"/>
      <c r="VEL64" s="404"/>
      <c r="VEM64" s="404"/>
      <c r="VEN64" s="404"/>
      <c r="VEO64" s="404"/>
      <c r="VEP64" s="404"/>
      <c r="VEQ64" s="404"/>
      <c r="VER64" s="404"/>
      <c r="VES64" s="404"/>
      <c r="VET64" s="404"/>
      <c r="VEU64" s="404"/>
      <c r="VEV64" s="404"/>
      <c r="VEW64" s="404"/>
      <c r="VEX64" s="404"/>
      <c r="VEY64" s="404"/>
      <c r="VEZ64" s="404"/>
      <c r="VFA64" s="404"/>
      <c r="VFB64" s="404"/>
      <c r="VFC64" s="404"/>
      <c r="VFD64" s="404"/>
      <c r="VFE64" s="404"/>
      <c r="VFF64" s="404"/>
      <c r="VFG64" s="404"/>
      <c r="VFH64" s="404"/>
      <c r="VFI64" s="404"/>
      <c r="VFJ64" s="404"/>
      <c r="VFK64" s="404"/>
      <c r="VFL64" s="404"/>
      <c r="VFM64" s="404"/>
      <c r="VFN64" s="404"/>
      <c r="VFO64" s="404"/>
      <c r="VFP64" s="404"/>
      <c r="VFQ64" s="404"/>
      <c r="VFR64" s="404"/>
      <c r="VFS64" s="404"/>
      <c r="VFT64" s="404"/>
      <c r="VFU64" s="404"/>
      <c r="VFV64" s="404"/>
      <c r="VFW64" s="404"/>
      <c r="VFX64" s="404"/>
      <c r="VFY64" s="404"/>
      <c r="VFZ64" s="404"/>
      <c r="VGA64" s="404"/>
      <c r="VGB64" s="404"/>
      <c r="VGC64" s="404"/>
      <c r="VGD64" s="404"/>
      <c r="VGE64" s="404"/>
      <c r="VGF64" s="404"/>
      <c r="VGG64" s="404"/>
      <c r="VGH64" s="404"/>
      <c r="VGI64" s="404"/>
      <c r="VGJ64" s="404"/>
      <c r="VGK64" s="404"/>
      <c r="VGL64" s="404"/>
      <c r="VGM64" s="404"/>
      <c r="VGN64" s="404"/>
      <c r="VGO64" s="404"/>
      <c r="VGP64" s="404"/>
      <c r="VGQ64" s="404"/>
      <c r="VGR64" s="404"/>
      <c r="VGS64" s="404"/>
      <c r="VGT64" s="404"/>
      <c r="VGU64" s="404"/>
      <c r="VGV64" s="404"/>
      <c r="VGW64" s="404"/>
      <c r="VGX64" s="404"/>
      <c r="VGY64" s="404"/>
      <c r="VGZ64" s="404"/>
      <c r="VHA64" s="404"/>
      <c r="VHB64" s="404"/>
      <c r="VHC64" s="404"/>
      <c r="VHD64" s="404"/>
      <c r="VHE64" s="404"/>
      <c r="VHF64" s="404"/>
      <c r="VHG64" s="404"/>
      <c r="VHH64" s="404"/>
      <c r="VHI64" s="404"/>
      <c r="VHJ64" s="404"/>
      <c r="VHK64" s="404"/>
      <c r="VHL64" s="404"/>
      <c r="VHM64" s="404"/>
      <c r="VHN64" s="404"/>
      <c r="VHO64" s="404"/>
      <c r="VHP64" s="404"/>
      <c r="VHQ64" s="404"/>
      <c r="VHR64" s="404"/>
      <c r="VHS64" s="404"/>
      <c r="VHT64" s="404"/>
      <c r="VHU64" s="404"/>
      <c r="VHV64" s="404"/>
      <c r="VHW64" s="404"/>
      <c r="VHX64" s="404"/>
      <c r="VHY64" s="404"/>
      <c r="VHZ64" s="404"/>
      <c r="VIA64" s="404"/>
      <c r="VIB64" s="404"/>
      <c r="VIC64" s="404"/>
      <c r="VID64" s="404"/>
      <c r="VIE64" s="404"/>
      <c r="VIF64" s="404"/>
      <c r="VIG64" s="404"/>
      <c r="VIH64" s="404"/>
      <c r="VII64" s="404"/>
      <c r="VIJ64" s="404"/>
      <c r="VIK64" s="404"/>
      <c r="VIL64" s="404"/>
      <c r="VIM64" s="404"/>
      <c r="VIN64" s="404"/>
      <c r="VIO64" s="404"/>
      <c r="VIP64" s="404"/>
      <c r="VIQ64" s="404"/>
      <c r="VIR64" s="404"/>
      <c r="VIS64" s="404"/>
      <c r="VIT64" s="404"/>
      <c r="VIU64" s="404"/>
      <c r="VIV64" s="404"/>
      <c r="VIW64" s="404"/>
      <c r="VIX64" s="404"/>
      <c r="VIY64" s="404"/>
      <c r="VIZ64" s="404"/>
      <c r="VJA64" s="404"/>
      <c r="VJB64" s="404"/>
      <c r="VJC64" s="404"/>
      <c r="VJD64" s="404"/>
      <c r="VJE64" s="404"/>
      <c r="VJF64" s="404"/>
      <c r="VJG64" s="404"/>
      <c r="VJH64" s="404"/>
      <c r="VJI64" s="404"/>
      <c r="VJJ64" s="404"/>
      <c r="VJK64" s="404"/>
      <c r="VJL64" s="404"/>
      <c r="VJM64" s="404"/>
      <c r="VJN64" s="404"/>
      <c r="VJO64" s="404"/>
      <c r="VJP64" s="404"/>
      <c r="VJQ64" s="404"/>
      <c r="VJR64" s="404"/>
      <c r="VJS64" s="404"/>
      <c r="VJT64" s="404"/>
      <c r="VJU64" s="404"/>
      <c r="VJV64" s="404"/>
      <c r="VJW64" s="404"/>
      <c r="VJX64" s="404"/>
      <c r="VJY64" s="404"/>
      <c r="VJZ64" s="404"/>
      <c r="VKA64" s="404"/>
      <c r="VKB64" s="404"/>
      <c r="VKC64" s="404"/>
      <c r="VKD64" s="404"/>
      <c r="VKE64" s="404"/>
      <c r="VKF64" s="404"/>
      <c r="VKG64" s="404"/>
      <c r="VKH64" s="404"/>
      <c r="VKI64" s="404"/>
      <c r="VKJ64" s="404"/>
      <c r="VKK64" s="404"/>
      <c r="VKL64" s="404"/>
      <c r="VKM64" s="404"/>
      <c r="VKN64" s="404"/>
      <c r="VKO64" s="404"/>
      <c r="VKP64" s="404"/>
      <c r="VKQ64" s="404"/>
      <c r="VKR64" s="404"/>
      <c r="VKS64" s="404"/>
      <c r="VKT64" s="404"/>
      <c r="VKU64" s="404"/>
      <c r="VKV64" s="404"/>
      <c r="VKW64" s="404"/>
      <c r="VKX64" s="404"/>
      <c r="VKY64" s="404"/>
      <c r="VKZ64" s="404"/>
      <c r="VLA64" s="404"/>
      <c r="VLB64" s="404"/>
      <c r="VLC64" s="404"/>
      <c r="VLD64" s="404"/>
      <c r="VLE64" s="404"/>
      <c r="VLF64" s="404"/>
      <c r="VLG64" s="404"/>
      <c r="VLH64" s="404"/>
      <c r="VLI64" s="404"/>
      <c r="VLJ64" s="404"/>
      <c r="VLK64" s="404"/>
      <c r="VLL64" s="404"/>
      <c r="VLM64" s="404"/>
      <c r="VLN64" s="404"/>
      <c r="VLO64" s="404"/>
      <c r="VLP64" s="404"/>
      <c r="VLQ64" s="404"/>
      <c r="VLR64" s="404"/>
      <c r="VLS64" s="404"/>
      <c r="VLT64" s="404"/>
      <c r="VLU64" s="404"/>
      <c r="VLV64" s="404"/>
      <c r="VLW64" s="404"/>
      <c r="VLX64" s="404"/>
      <c r="VLY64" s="404"/>
      <c r="VLZ64" s="404"/>
      <c r="VMA64" s="404"/>
      <c r="VMB64" s="404"/>
      <c r="VMC64" s="404"/>
      <c r="VMD64" s="404"/>
      <c r="VME64" s="404"/>
      <c r="VMF64" s="404"/>
      <c r="VMG64" s="404"/>
      <c r="VMH64" s="404"/>
      <c r="VMI64" s="404"/>
      <c r="VMJ64" s="404"/>
      <c r="VMK64" s="404"/>
      <c r="VML64" s="404"/>
      <c r="VMM64" s="404"/>
      <c r="VMN64" s="404"/>
      <c r="VMO64" s="404"/>
      <c r="VMP64" s="404"/>
      <c r="VMQ64" s="404"/>
      <c r="VMR64" s="404"/>
      <c r="VMS64" s="404"/>
      <c r="VMT64" s="404"/>
      <c r="VMU64" s="404"/>
      <c r="VMV64" s="404"/>
      <c r="VMW64" s="404"/>
      <c r="VMX64" s="404"/>
      <c r="VMY64" s="404"/>
      <c r="VMZ64" s="404"/>
      <c r="VNA64" s="404"/>
      <c r="VNB64" s="404"/>
      <c r="VNC64" s="404"/>
      <c r="VND64" s="404"/>
      <c r="VNE64" s="404"/>
      <c r="VNF64" s="404"/>
      <c r="VNG64" s="404"/>
      <c r="VNH64" s="404"/>
      <c r="VNI64" s="404"/>
      <c r="VNJ64" s="404"/>
      <c r="VNK64" s="404"/>
      <c r="VNL64" s="404"/>
      <c r="VNM64" s="404"/>
      <c r="VNN64" s="404"/>
      <c r="VNO64" s="404"/>
      <c r="VNP64" s="404"/>
      <c r="VNQ64" s="404"/>
      <c r="VNR64" s="404"/>
      <c r="VNS64" s="404"/>
      <c r="VNT64" s="404"/>
      <c r="VNU64" s="404"/>
      <c r="VNV64" s="404"/>
      <c r="VNW64" s="404"/>
      <c r="VNX64" s="404"/>
      <c r="VNY64" s="404"/>
      <c r="VNZ64" s="404"/>
      <c r="VOA64" s="404"/>
      <c r="VOB64" s="404"/>
      <c r="VOC64" s="404"/>
      <c r="VOD64" s="404"/>
      <c r="VOE64" s="404"/>
      <c r="VOF64" s="404"/>
      <c r="VOG64" s="404"/>
      <c r="VOH64" s="404"/>
      <c r="VOI64" s="404"/>
      <c r="VOJ64" s="404"/>
      <c r="VOK64" s="404"/>
      <c r="VOL64" s="404"/>
      <c r="VOM64" s="404"/>
      <c r="VON64" s="404"/>
      <c r="VOO64" s="404"/>
      <c r="VOP64" s="404"/>
      <c r="VOQ64" s="404"/>
      <c r="VOR64" s="404"/>
      <c r="VOS64" s="404"/>
      <c r="VOT64" s="404"/>
      <c r="VOU64" s="404"/>
      <c r="VOV64" s="404"/>
      <c r="VOW64" s="404"/>
      <c r="VOX64" s="404"/>
      <c r="VOY64" s="404"/>
      <c r="VOZ64" s="404"/>
      <c r="VPA64" s="404"/>
      <c r="VPB64" s="404"/>
      <c r="VPC64" s="404"/>
      <c r="VPD64" s="404"/>
      <c r="VPE64" s="404"/>
      <c r="VPF64" s="404"/>
      <c r="VPG64" s="404"/>
      <c r="VPH64" s="404"/>
      <c r="VPI64" s="404"/>
      <c r="VPJ64" s="404"/>
      <c r="VPK64" s="404"/>
      <c r="VPL64" s="404"/>
      <c r="VPM64" s="404"/>
      <c r="VPN64" s="404"/>
      <c r="VPO64" s="404"/>
      <c r="VPP64" s="404"/>
      <c r="VPQ64" s="404"/>
      <c r="VPR64" s="404"/>
      <c r="VPS64" s="404"/>
      <c r="VPT64" s="404"/>
      <c r="VPU64" s="404"/>
      <c r="VPV64" s="404"/>
      <c r="VPW64" s="404"/>
      <c r="VPX64" s="404"/>
      <c r="VPY64" s="404"/>
      <c r="VPZ64" s="404"/>
      <c r="VQA64" s="404"/>
      <c r="VQB64" s="404"/>
      <c r="VQC64" s="404"/>
      <c r="VQD64" s="404"/>
      <c r="VQE64" s="404"/>
      <c r="VQF64" s="404"/>
      <c r="VQG64" s="404"/>
      <c r="VQH64" s="404"/>
      <c r="VQI64" s="404"/>
      <c r="VQJ64" s="404"/>
      <c r="VQK64" s="404"/>
      <c r="VQL64" s="404"/>
      <c r="VQM64" s="404"/>
      <c r="VQN64" s="404"/>
      <c r="VQO64" s="404"/>
      <c r="VQP64" s="404"/>
      <c r="VQQ64" s="404"/>
      <c r="VQR64" s="404"/>
      <c r="VQS64" s="404"/>
      <c r="VQT64" s="404"/>
      <c r="VQU64" s="404"/>
      <c r="VQV64" s="404"/>
      <c r="VQW64" s="404"/>
      <c r="VQX64" s="404"/>
      <c r="VQY64" s="404"/>
      <c r="VQZ64" s="404"/>
      <c r="VRA64" s="404"/>
      <c r="VRB64" s="404"/>
      <c r="VRC64" s="404"/>
      <c r="VRD64" s="404"/>
      <c r="VRE64" s="404"/>
      <c r="VRF64" s="404"/>
      <c r="VRG64" s="404"/>
      <c r="VRH64" s="404"/>
      <c r="VRI64" s="404"/>
      <c r="VRJ64" s="404"/>
      <c r="VRK64" s="404"/>
      <c r="VRL64" s="404"/>
      <c r="VRM64" s="404"/>
      <c r="VRN64" s="404"/>
      <c r="VRO64" s="404"/>
      <c r="VRP64" s="404"/>
      <c r="VRQ64" s="404"/>
      <c r="VRR64" s="404"/>
      <c r="VRS64" s="404"/>
      <c r="VRT64" s="404"/>
      <c r="VRU64" s="404"/>
      <c r="VRV64" s="404"/>
      <c r="VRW64" s="404"/>
      <c r="VRX64" s="404"/>
      <c r="VRY64" s="404"/>
      <c r="VRZ64" s="404"/>
      <c r="VSA64" s="404"/>
      <c r="VSB64" s="404"/>
      <c r="VSC64" s="404"/>
      <c r="VSD64" s="404"/>
      <c r="VSE64" s="404"/>
      <c r="VSF64" s="404"/>
      <c r="VSG64" s="404"/>
      <c r="VSH64" s="404"/>
      <c r="VSI64" s="404"/>
      <c r="VSJ64" s="404"/>
      <c r="VSK64" s="404"/>
      <c r="VSL64" s="404"/>
      <c r="VSM64" s="404"/>
      <c r="VSN64" s="404"/>
      <c r="VSO64" s="404"/>
      <c r="VSP64" s="404"/>
      <c r="VSQ64" s="404"/>
      <c r="VSR64" s="404"/>
      <c r="VSS64" s="404"/>
      <c r="VST64" s="404"/>
      <c r="VSU64" s="404"/>
      <c r="VSV64" s="404"/>
      <c r="VSW64" s="404"/>
      <c r="VSX64" s="404"/>
      <c r="VSY64" s="404"/>
      <c r="VSZ64" s="404"/>
      <c r="VTA64" s="404"/>
      <c r="VTB64" s="404"/>
      <c r="VTC64" s="404"/>
      <c r="VTD64" s="404"/>
      <c r="VTE64" s="404"/>
      <c r="VTF64" s="404"/>
      <c r="VTG64" s="404"/>
      <c r="VTH64" s="404"/>
      <c r="VTI64" s="404"/>
      <c r="VTJ64" s="404"/>
      <c r="VTK64" s="404"/>
      <c r="VTL64" s="404"/>
      <c r="VTM64" s="404"/>
      <c r="VTN64" s="404"/>
      <c r="VTO64" s="404"/>
      <c r="VTP64" s="404"/>
      <c r="VTQ64" s="404"/>
      <c r="VTR64" s="404"/>
      <c r="VTS64" s="404"/>
      <c r="VTT64" s="404"/>
      <c r="VTU64" s="404"/>
      <c r="VTV64" s="404"/>
      <c r="VTW64" s="404"/>
      <c r="VTX64" s="404"/>
      <c r="VTY64" s="404"/>
      <c r="VTZ64" s="404"/>
      <c r="VUA64" s="404"/>
      <c r="VUB64" s="404"/>
      <c r="VUC64" s="404"/>
      <c r="VUD64" s="404"/>
      <c r="VUE64" s="404"/>
      <c r="VUF64" s="404"/>
      <c r="VUG64" s="404"/>
      <c r="VUH64" s="404"/>
      <c r="VUI64" s="404"/>
      <c r="VUJ64" s="404"/>
      <c r="VUK64" s="404"/>
      <c r="VUL64" s="404"/>
      <c r="VUM64" s="404"/>
      <c r="VUN64" s="404"/>
      <c r="VUO64" s="404"/>
      <c r="VUP64" s="404"/>
      <c r="VUQ64" s="404"/>
      <c r="VUR64" s="404"/>
      <c r="VUS64" s="404"/>
      <c r="VUT64" s="404"/>
      <c r="VUU64" s="404"/>
      <c r="VUV64" s="404"/>
      <c r="VUW64" s="404"/>
      <c r="VUX64" s="404"/>
      <c r="VUY64" s="404"/>
      <c r="VUZ64" s="404"/>
      <c r="VVA64" s="404"/>
      <c r="VVB64" s="404"/>
      <c r="VVC64" s="404"/>
      <c r="VVD64" s="404"/>
      <c r="VVE64" s="404"/>
      <c r="VVF64" s="404"/>
      <c r="VVG64" s="404"/>
      <c r="VVH64" s="404"/>
      <c r="VVI64" s="404"/>
      <c r="VVJ64" s="404"/>
      <c r="VVK64" s="404"/>
      <c r="VVL64" s="404"/>
      <c r="VVM64" s="404"/>
      <c r="VVN64" s="404"/>
      <c r="VVO64" s="404"/>
      <c r="VVP64" s="404"/>
      <c r="VVQ64" s="404"/>
      <c r="VVR64" s="404"/>
      <c r="VVS64" s="404"/>
      <c r="VVT64" s="404"/>
      <c r="VVU64" s="404"/>
      <c r="VVV64" s="404"/>
      <c r="VVW64" s="404"/>
      <c r="VVX64" s="404"/>
      <c r="VVY64" s="404"/>
      <c r="VVZ64" s="404"/>
      <c r="VWA64" s="404"/>
      <c r="VWB64" s="404"/>
      <c r="VWC64" s="404"/>
      <c r="VWD64" s="404"/>
      <c r="VWE64" s="404"/>
      <c r="VWF64" s="404"/>
      <c r="VWG64" s="404"/>
      <c r="VWH64" s="404"/>
      <c r="VWI64" s="404"/>
      <c r="VWJ64" s="404"/>
      <c r="VWK64" s="404"/>
      <c r="VWL64" s="404"/>
      <c r="VWM64" s="404"/>
      <c r="VWN64" s="404"/>
      <c r="VWO64" s="404"/>
      <c r="VWP64" s="404"/>
      <c r="VWQ64" s="404"/>
      <c r="VWR64" s="404"/>
      <c r="VWS64" s="404"/>
      <c r="VWT64" s="404"/>
      <c r="VWU64" s="404"/>
      <c r="VWV64" s="404"/>
      <c r="VWW64" s="404"/>
      <c r="VWX64" s="404"/>
      <c r="VWY64" s="404"/>
      <c r="VWZ64" s="404"/>
      <c r="VXA64" s="404"/>
      <c r="VXB64" s="404"/>
      <c r="VXC64" s="404"/>
      <c r="VXD64" s="404"/>
      <c r="VXE64" s="404"/>
      <c r="VXF64" s="404"/>
      <c r="VXG64" s="404"/>
      <c r="VXH64" s="404"/>
      <c r="VXI64" s="404"/>
      <c r="VXJ64" s="404"/>
      <c r="VXK64" s="404"/>
      <c r="VXL64" s="404"/>
      <c r="VXM64" s="404"/>
      <c r="VXN64" s="404"/>
      <c r="VXO64" s="404"/>
      <c r="VXP64" s="404"/>
      <c r="VXQ64" s="404"/>
      <c r="VXR64" s="404"/>
      <c r="VXS64" s="404"/>
      <c r="VXT64" s="404"/>
      <c r="VXU64" s="404"/>
      <c r="VXV64" s="404"/>
      <c r="VXW64" s="404"/>
      <c r="VXX64" s="404"/>
      <c r="VXY64" s="404"/>
      <c r="VXZ64" s="404"/>
      <c r="VYA64" s="404"/>
      <c r="VYB64" s="404"/>
      <c r="VYC64" s="404"/>
      <c r="VYD64" s="404"/>
      <c r="VYE64" s="404"/>
      <c r="VYF64" s="404"/>
      <c r="VYG64" s="404"/>
      <c r="VYH64" s="404"/>
      <c r="VYI64" s="404"/>
      <c r="VYJ64" s="404"/>
      <c r="VYK64" s="404"/>
      <c r="VYL64" s="404"/>
      <c r="VYM64" s="404"/>
      <c r="VYN64" s="404"/>
      <c r="VYO64" s="404"/>
      <c r="VYP64" s="404"/>
      <c r="VYQ64" s="404"/>
      <c r="VYR64" s="404"/>
      <c r="VYS64" s="404"/>
      <c r="VYT64" s="404"/>
      <c r="VYU64" s="404"/>
      <c r="VYV64" s="404"/>
      <c r="VYW64" s="404"/>
      <c r="VYX64" s="404"/>
      <c r="VYY64" s="404"/>
      <c r="VYZ64" s="404"/>
      <c r="VZA64" s="404"/>
      <c r="VZB64" s="404"/>
      <c r="VZC64" s="404"/>
      <c r="VZD64" s="404"/>
      <c r="VZE64" s="404"/>
      <c r="VZF64" s="404"/>
      <c r="VZG64" s="404"/>
      <c r="VZH64" s="404"/>
      <c r="VZI64" s="404"/>
      <c r="VZJ64" s="404"/>
      <c r="VZK64" s="404"/>
      <c r="VZL64" s="404"/>
      <c r="VZM64" s="404"/>
      <c r="VZN64" s="404"/>
      <c r="VZO64" s="404"/>
      <c r="VZP64" s="404"/>
      <c r="VZQ64" s="404"/>
      <c r="VZR64" s="404"/>
      <c r="VZS64" s="404"/>
      <c r="VZT64" s="404"/>
      <c r="VZU64" s="404"/>
      <c r="VZV64" s="404"/>
      <c r="VZW64" s="404"/>
      <c r="VZX64" s="404"/>
      <c r="VZY64" s="404"/>
      <c r="VZZ64" s="404"/>
      <c r="WAA64" s="404"/>
      <c r="WAB64" s="404"/>
      <c r="WAC64" s="404"/>
      <c r="WAD64" s="404"/>
      <c r="WAE64" s="404"/>
      <c r="WAF64" s="404"/>
      <c r="WAG64" s="404"/>
      <c r="WAH64" s="404"/>
      <c r="WAI64" s="404"/>
      <c r="WAJ64" s="404"/>
      <c r="WAK64" s="404"/>
      <c r="WAL64" s="404"/>
      <c r="WAM64" s="404"/>
      <c r="WAN64" s="404"/>
      <c r="WAO64" s="404"/>
      <c r="WAP64" s="404"/>
      <c r="WAQ64" s="404"/>
      <c r="WAR64" s="404"/>
      <c r="WAS64" s="404"/>
      <c r="WAT64" s="404"/>
      <c r="WAU64" s="404"/>
      <c r="WAV64" s="404"/>
      <c r="WAW64" s="404"/>
      <c r="WAX64" s="404"/>
      <c r="WAY64" s="404"/>
      <c r="WAZ64" s="404"/>
      <c r="WBA64" s="404"/>
      <c r="WBB64" s="404"/>
      <c r="WBC64" s="404"/>
      <c r="WBD64" s="404"/>
      <c r="WBE64" s="404"/>
      <c r="WBF64" s="404"/>
      <c r="WBG64" s="404"/>
      <c r="WBH64" s="404"/>
      <c r="WBI64" s="404"/>
      <c r="WBJ64" s="404"/>
      <c r="WBK64" s="404"/>
      <c r="WBL64" s="404"/>
      <c r="WBM64" s="404"/>
      <c r="WBN64" s="404"/>
      <c r="WBO64" s="404"/>
      <c r="WBP64" s="404"/>
      <c r="WBQ64" s="404"/>
      <c r="WBR64" s="404"/>
      <c r="WBS64" s="404"/>
      <c r="WBT64" s="404"/>
      <c r="WBU64" s="404"/>
      <c r="WBV64" s="404"/>
      <c r="WBW64" s="404"/>
      <c r="WBX64" s="404"/>
      <c r="WBY64" s="404"/>
      <c r="WBZ64" s="404"/>
      <c r="WCA64" s="404"/>
      <c r="WCB64" s="404"/>
      <c r="WCC64" s="404"/>
      <c r="WCD64" s="404"/>
      <c r="WCE64" s="404"/>
      <c r="WCF64" s="404"/>
      <c r="WCG64" s="404"/>
      <c r="WCH64" s="404"/>
      <c r="WCI64" s="404"/>
      <c r="WCJ64" s="404"/>
      <c r="WCK64" s="404"/>
      <c r="WCL64" s="404"/>
      <c r="WCM64" s="404"/>
      <c r="WCN64" s="404"/>
      <c r="WCO64" s="404"/>
      <c r="WCP64" s="404"/>
      <c r="WCQ64" s="404"/>
      <c r="WCR64" s="404"/>
      <c r="WCS64" s="404"/>
      <c r="WCT64" s="404"/>
      <c r="WCU64" s="404"/>
      <c r="WCV64" s="404"/>
      <c r="WCW64" s="404"/>
      <c r="WCX64" s="404"/>
      <c r="WCY64" s="404"/>
      <c r="WCZ64" s="404"/>
      <c r="WDA64" s="404"/>
      <c r="WDB64" s="404"/>
      <c r="WDC64" s="404"/>
      <c r="WDD64" s="404"/>
      <c r="WDE64" s="404"/>
      <c r="WDF64" s="404"/>
      <c r="WDG64" s="404"/>
      <c r="WDH64" s="404"/>
      <c r="WDI64" s="404"/>
      <c r="WDJ64" s="404"/>
      <c r="WDK64" s="404"/>
      <c r="WDL64" s="404"/>
      <c r="WDM64" s="404"/>
      <c r="WDN64" s="404"/>
      <c r="WDO64" s="404"/>
      <c r="WDP64" s="404"/>
      <c r="WDQ64" s="404"/>
      <c r="WDR64" s="404"/>
      <c r="WDS64" s="404"/>
      <c r="WDT64" s="404"/>
      <c r="WDU64" s="404"/>
      <c r="WDV64" s="404"/>
      <c r="WDW64" s="404"/>
      <c r="WDX64" s="404"/>
      <c r="WDY64" s="404"/>
      <c r="WDZ64" s="404"/>
      <c r="WEA64" s="404"/>
      <c r="WEB64" s="404"/>
      <c r="WEC64" s="404"/>
      <c r="WED64" s="404"/>
      <c r="WEE64" s="404"/>
      <c r="WEF64" s="404"/>
      <c r="WEG64" s="404"/>
      <c r="WEH64" s="404"/>
      <c r="WEI64" s="404"/>
      <c r="WEJ64" s="404"/>
      <c r="WEK64" s="404"/>
      <c r="WEL64" s="404"/>
      <c r="WEM64" s="404"/>
      <c r="WEN64" s="404"/>
      <c r="WEO64" s="404"/>
      <c r="WEP64" s="404"/>
      <c r="WEQ64" s="404"/>
      <c r="WER64" s="404"/>
      <c r="WES64" s="404"/>
      <c r="WET64" s="404"/>
      <c r="WEU64" s="404"/>
      <c r="WEV64" s="404"/>
      <c r="WEW64" s="404"/>
      <c r="WEX64" s="404"/>
      <c r="WEY64" s="404"/>
      <c r="WEZ64" s="404"/>
      <c r="WFA64" s="404"/>
      <c r="WFB64" s="404"/>
      <c r="WFC64" s="404"/>
      <c r="WFD64" s="404"/>
      <c r="WFE64" s="404"/>
      <c r="WFF64" s="404"/>
      <c r="WFG64" s="404"/>
      <c r="WFH64" s="404"/>
      <c r="WFI64" s="404"/>
      <c r="WFJ64" s="404"/>
      <c r="WFK64" s="404"/>
      <c r="WFL64" s="404"/>
      <c r="WFM64" s="404"/>
      <c r="WFN64" s="404"/>
      <c r="WFO64" s="404"/>
      <c r="WFP64" s="404"/>
      <c r="WFQ64" s="404"/>
      <c r="WFR64" s="404"/>
      <c r="WFS64" s="404"/>
      <c r="WFT64" s="404"/>
      <c r="WFU64" s="404"/>
      <c r="WFV64" s="404"/>
      <c r="WFW64" s="404"/>
      <c r="WFX64" s="404"/>
      <c r="WFY64" s="404"/>
      <c r="WFZ64" s="404"/>
      <c r="WGA64" s="404"/>
      <c r="WGB64" s="404"/>
      <c r="WGC64" s="404"/>
      <c r="WGD64" s="404"/>
      <c r="WGE64" s="404"/>
      <c r="WGF64" s="404"/>
      <c r="WGG64" s="404"/>
      <c r="WGH64" s="404"/>
      <c r="WGI64" s="404"/>
      <c r="WGJ64" s="404"/>
      <c r="WGK64" s="404"/>
      <c r="WGL64" s="404"/>
      <c r="WGM64" s="404"/>
      <c r="WGN64" s="404"/>
      <c r="WGO64" s="404"/>
      <c r="WGP64" s="404"/>
      <c r="WGQ64" s="404"/>
      <c r="WGR64" s="404"/>
      <c r="WGS64" s="404"/>
      <c r="WGT64" s="404"/>
      <c r="WGU64" s="404"/>
      <c r="WGV64" s="404"/>
      <c r="WGW64" s="404"/>
      <c r="WGX64" s="404"/>
      <c r="WGY64" s="404"/>
      <c r="WGZ64" s="404"/>
      <c r="WHA64" s="404"/>
      <c r="WHB64" s="404"/>
      <c r="WHC64" s="404"/>
      <c r="WHD64" s="404"/>
      <c r="WHE64" s="404"/>
      <c r="WHF64" s="404"/>
      <c r="WHG64" s="404"/>
      <c r="WHH64" s="404"/>
      <c r="WHI64" s="404"/>
      <c r="WHJ64" s="404"/>
      <c r="WHK64" s="404"/>
      <c r="WHL64" s="404"/>
      <c r="WHM64" s="404"/>
      <c r="WHN64" s="404"/>
      <c r="WHO64" s="404"/>
      <c r="WHP64" s="404"/>
      <c r="WHQ64" s="404"/>
      <c r="WHR64" s="404"/>
      <c r="WHS64" s="404"/>
      <c r="WHT64" s="404"/>
      <c r="WHU64" s="404"/>
      <c r="WHV64" s="404"/>
      <c r="WHW64" s="404"/>
      <c r="WHX64" s="404"/>
      <c r="WHY64" s="404"/>
      <c r="WHZ64" s="404"/>
      <c r="WIA64" s="404"/>
      <c r="WIB64" s="404"/>
      <c r="WIC64" s="404"/>
      <c r="WID64" s="404"/>
      <c r="WIE64" s="404"/>
      <c r="WIF64" s="404"/>
      <c r="WIG64" s="404"/>
      <c r="WIH64" s="404"/>
      <c r="WII64" s="404"/>
      <c r="WIJ64" s="404"/>
      <c r="WIK64" s="404"/>
      <c r="WIL64" s="404"/>
      <c r="WIM64" s="404"/>
      <c r="WIN64" s="404"/>
      <c r="WIO64" s="404"/>
      <c r="WIP64" s="404"/>
      <c r="WIQ64" s="404"/>
      <c r="WIR64" s="404"/>
      <c r="WIS64" s="404"/>
      <c r="WIT64" s="404"/>
      <c r="WIU64" s="404"/>
      <c r="WIV64" s="404"/>
      <c r="WIW64" s="404"/>
      <c r="WIX64" s="404"/>
      <c r="WIY64" s="404"/>
      <c r="WIZ64" s="404"/>
      <c r="WJA64" s="404"/>
      <c r="WJB64" s="404"/>
      <c r="WJC64" s="404"/>
      <c r="WJD64" s="404"/>
      <c r="WJE64" s="404"/>
      <c r="WJF64" s="404"/>
      <c r="WJG64" s="404"/>
      <c r="WJH64" s="404"/>
      <c r="WJI64" s="404"/>
      <c r="WJJ64" s="404"/>
      <c r="WJK64" s="404"/>
      <c r="WJL64" s="404"/>
      <c r="WJM64" s="404"/>
      <c r="WJN64" s="404"/>
      <c r="WJO64" s="404"/>
      <c r="WJP64" s="404"/>
      <c r="WJQ64" s="404"/>
      <c r="WJR64" s="404"/>
      <c r="WJS64" s="404"/>
      <c r="WJT64" s="404"/>
      <c r="WJU64" s="404"/>
      <c r="WJV64" s="404"/>
      <c r="WJW64" s="404"/>
      <c r="WJX64" s="404"/>
      <c r="WJY64" s="404"/>
      <c r="WJZ64" s="404"/>
      <c r="WKA64" s="404"/>
      <c r="WKB64" s="404"/>
      <c r="WKC64" s="404"/>
      <c r="WKD64" s="404"/>
      <c r="WKE64" s="404"/>
      <c r="WKF64" s="404"/>
      <c r="WKG64" s="404"/>
      <c r="WKH64" s="404"/>
      <c r="WKI64" s="404"/>
      <c r="WKJ64" s="404"/>
      <c r="WKK64" s="404"/>
      <c r="WKL64" s="404"/>
      <c r="WKM64" s="404"/>
      <c r="WKN64" s="404"/>
      <c r="WKO64" s="404"/>
      <c r="WKP64" s="404"/>
      <c r="WKQ64" s="404"/>
      <c r="WKR64" s="404"/>
      <c r="WKS64" s="404"/>
      <c r="WKT64" s="404"/>
      <c r="WKU64" s="404"/>
      <c r="WKV64" s="404"/>
      <c r="WKW64" s="404"/>
      <c r="WKX64" s="404"/>
      <c r="WKY64" s="404"/>
      <c r="WKZ64" s="404"/>
      <c r="WLA64" s="404"/>
      <c r="WLB64" s="404"/>
      <c r="WLC64" s="404"/>
      <c r="WLD64" s="404"/>
      <c r="WLE64" s="404"/>
      <c r="WLF64" s="404"/>
      <c r="WLG64" s="404"/>
      <c r="WLH64" s="404"/>
      <c r="WLI64" s="404"/>
      <c r="WLJ64" s="404"/>
      <c r="WLK64" s="404"/>
      <c r="WLL64" s="404"/>
      <c r="WLM64" s="404"/>
      <c r="WLN64" s="404"/>
      <c r="WLO64" s="404"/>
      <c r="WLP64" s="404"/>
      <c r="WLQ64" s="404"/>
      <c r="WLR64" s="404"/>
      <c r="WLS64" s="404"/>
      <c r="WLT64" s="404"/>
      <c r="WLU64" s="404"/>
      <c r="WLV64" s="404"/>
      <c r="WLW64" s="404"/>
      <c r="WLX64" s="404"/>
      <c r="WLY64" s="404"/>
      <c r="WLZ64" s="404"/>
      <c r="WMA64" s="404"/>
      <c r="WMB64" s="404"/>
      <c r="WMC64" s="404"/>
      <c r="WMD64" s="404"/>
      <c r="WME64" s="404"/>
      <c r="WMF64" s="404"/>
      <c r="WMG64" s="404"/>
      <c r="WMH64" s="404"/>
      <c r="WMI64" s="404"/>
      <c r="WMJ64" s="404"/>
      <c r="WMK64" s="404"/>
      <c r="WML64" s="404"/>
      <c r="WMM64" s="404"/>
      <c r="WMN64" s="404"/>
      <c r="WMO64" s="404"/>
      <c r="WMP64" s="404"/>
      <c r="WMQ64" s="404"/>
      <c r="WMR64" s="404"/>
      <c r="WMS64" s="404"/>
      <c r="WMT64" s="404"/>
      <c r="WMU64" s="404"/>
      <c r="WMV64" s="404"/>
      <c r="WMW64" s="404"/>
      <c r="WMX64" s="404"/>
      <c r="WMY64" s="404"/>
      <c r="WMZ64" s="404"/>
      <c r="WNA64" s="404"/>
      <c r="WNB64" s="404"/>
      <c r="WNC64" s="404"/>
      <c r="WND64" s="404"/>
      <c r="WNE64" s="404"/>
      <c r="WNF64" s="404"/>
      <c r="WNG64" s="404"/>
      <c r="WNH64" s="404"/>
      <c r="WNI64" s="404"/>
      <c r="WNJ64" s="404"/>
      <c r="WNK64" s="404"/>
      <c r="WNL64" s="404"/>
      <c r="WNM64" s="404"/>
      <c r="WNN64" s="404"/>
      <c r="WNO64" s="404"/>
      <c r="WNP64" s="404"/>
      <c r="WNQ64" s="404"/>
      <c r="WNR64" s="404"/>
      <c r="WNS64" s="404"/>
      <c r="WNT64" s="404"/>
      <c r="WNU64" s="404"/>
      <c r="WNV64" s="404"/>
      <c r="WNW64" s="404"/>
      <c r="WNX64" s="404"/>
      <c r="WNY64" s="404"/>
      <c r="WNZ64" s="404"/>
      <c r="WOA64" s="404"/>
      <c r="WOB64" s="404"/>
      <c r="WOC64" s="404"/>
      <c r="WOD64" s="404"/>
      <c r="WOE64" s="404"/>
      <c r="WOF64" s="404"/>
      <c r="WOG64" s="404"/>
      <c r="WOH64" s="404"/>
      <c r="WOI64" s="404"/>
      <c r="WOJ64" s="404"/>
      <c r="WOK64" s="404"/>
      <c r="WOL64" s="404"/>
      <c r="WOM64" s="404"/>
      <c r="WON64" s="404"/>
      <c r="WOO64" s="404"/>
      <c r="WOP64" s="404"/>
      <c r="WOQ64" s="404"/>
      <c r="WOR64" s="404"/>
      <c r="WOS64" s="404"/>
      <c r="WOT64" s="404"/>
      <c r="WOU64" s="404"/>
      <c r="WOV64" s="404"/>
      <c r="WOW64" s="404"/>
      <c r="WOX64" s="404"/>
      <c r="WOY64" s="404"/>
      <c r="WOZ64" s="404"/>
      <c r="WPA64" s="404"/>
      <c r="WPB64" s="404"/>
      <c r="WPC64" s="404"/>
      <c r="WPD64" s="404"/>
      <c r="WPE64" s="404"/>
      <c r="WPF64" s="404"/>
      <c r="WPG64" s="404"/>
      <c r="WPH64" s="404"/>
      <c r="WPI64" s="404"/>
      <c r="WPJ64" s="404"/>
      <c r="WPK64" s="404"/>
      <c r="WPL64" s="404"/>
      <c r="WPM64" s="404"/>
      <c r="WPN64" s="404"/>
      <c r="WPO64" s="404"/>
      <c r="WPP64" s="404"/>
      <c r="WPQ64" s="404"/>
      <c r="WPR64" s="404"/>
      <c r="WPS64" s="404"/>
      <c r="WPT64" s="404"/>
      <c r="WPU64" s="404"/>
      <c r="WPV64" s="404"/>
      <c r="WPW64" s="404"/>
      <c r="WPX64" s="404"/>
      <c r="WPY64" s="404"/>
      <c r="WPZ64" s="404"/>
      <c r="WQA64" s="404"/>
      <c r="WQB64" s="404"/>
      <c r="WQC64" s="404"/>
      <c r="WQD64" s="404"/>
      <c r="WQE64" s="404"/>
      <c r="WQF64" s="404"/>
      <c r="WQG64" s="404"/>
      <c r="WQH64" s="404"/>
      <c r="WQI64" s="404"/>
      <c r="WQJ64" s="404"/>
      <c r="WQK64" s="404"/>
      <c r="WQL64" s="404"/>
      <c r="WQM64" s="404"/>
      <c r="WQN64" s="404"/>
      <c r="WQO64" s="404"/>
      <c r="WQP64" s="404"/>
      <c r="WQQ64" s="404"/>
      <c r="WQR64" s="404"/>
      <c r="WQS64" s="404"/>
      <c r="WQT64" s="404"/>
      <c r="WQU64" s="404"/>
      <c r="WQV64" s="404"/>
      <c r="WQW64" s="404"/>
      <c r="WQX64" s="404"/>
      <c r="WQY64" s="404"/>
      <c r="WQZ64" s="404"/>
      <c r="WRA64" s="404"/>
      <c r="WRB64" s="404"/>
      <c r="WRC64" s="404"/>
      <c r="WRD64" s="404"/>
      <c r="WRE64" s="404"/>
      <c r="WRF64" s="404"/>
      <c r="WRG64" s="404"/>
      <c r="WRH64" s="404"/>
      <c r="WRI64" s="404"/>
      <c r="WRJ64" s="404"/>
      <c r="WRK64" s="404"/>
      <c r="WRL64" s="404"/>
      <c r="WRM64" s="404"/>
      <c r="WRN64" s="404"/>
      <c r="WRO64" s="404"/>
      <c r="WRP64" s="404"/>
      <c r="WRQ64" s="404"/>
      <c r="WRR64" s="404"/>
      <c r="WRS64" s="404"/>
      <c r="WRT64" s="404"/>
      <c r="WRU64" s="404"/>
      <c r="WRV64" s="404"/>
      <c r="WRW64" s="404"/>
      <c r="WRX64" s="404"/>
      <c r="WRY64" s="404"/>
      <c r="WRZ64" s="404"/>
      <c r="WSA64" s="404"/>
      <c r="WSB64" s="404"/>
      <c r="WSC64" s="404"/>
      <c r="WSD64" s="404"/>
      <c r="WSE64" s="404"/>
      <c r="WSF64" s="404"/>
      <c r="WSG64" s="404"/>
      <c r="WSH64" s="404"/>
      <c r="WSI64" s="404"/>
      <c r="WSJ64" s="404"/>
      <c r="WSK64" s="404"/>
      <c r="WSL64" s="404"/>
      <c r="WSM64" s="404"/>
      <c r="WSN64" s="404"/>
      <c r="WSO64" s="404"/>
      <c r="WSP64" s="404"/>
      <c r="WSQ64" s="404"/>
      <c r="WSR64" s="404"/>
      <c r="WSS64" s="404"/>
      <c r="WST64" s="404"/>
      <c r="WSU64" s="404"/>
      <c r="WSV64" s="404"/>
      <c r="WSW64" s="404"/>
      <c r="WSX64" s="404"/>
      <c r="WSY64" s="404"/>
      <c r="WSZ64" s="404"/>
      <c r="WTA64" s="404"/>
      <c r="WTB64" s="404"/>
      <c r="WTC64" s="404"/>
      <c r="WTD64" s="404"/>
      <c r="WTE64" s="404"/>
      <c r="WTF64" s="404"/>
      <c r="WTG64" s="404"/>
      <c r="WTH64" s="404"/>
      <c r="WTI64" s="404"/>
      <c r="WTJ64" s="404"/>
      <c r="WTK64" s="404"/>
      <c r="WTL64" s="404"/>
      <c r="WTM64" s="404"/>
      <c r="WTN64" s="404"/>
      <c r="WTO64" s="404"/>
      <c r="WTP64" s="404"/>
      <c r="WTQ64" s="404"/>
      <c r="WTR64" s="404"/>
      <c r="WTS64" s="404"/>
      <c r="WTT64" s="404"/>
      <c r="WTU64" s="404"/>
      <c r="WTV64" s="404"/>
      <c r="WTW64" s="404"/>
      <c r="WTX64" s="404"/>
      <c r="WTY64" s="404"/>
      <c r="WTZ64" s="404"/>
      <c r="WUA64" s="404"/>
      <c r="WUB64" s="404"/>
      <c r="WUC64" s="404"/>
      <c r="WUD64" s="404"/>
      <c r="WUE64" s="404"/>
      <c r="WUF64" s="404"/>
      <c r="WUG64" s="404"/>
      <c r="WUH64" s="404"/>
      <c r="WUI64" s="404"/>
      <c r="WUJ64" s="404"/>
      <c r="WUK64" s="404"/>
      <c r="WUL64" s="404"/>
      <c r="WUM64" s="404"/>
      <c r="WUN64" s="404"/>
      <c r="WUO64" s="404"/>
      <c r="WUP64" s="404"/>
      <c r="WUQ64" s="404"/>
      <c r="WUR64" s="404"/>
      <c r="WUS64" s="404"/>
      <c r="WUT64" s="404"/>
      <c r="WUU64" s="404"/>
      <c r="WUV64" s="404"/>
      <c r="WUW64" s="404"/>
      <c r="WUX64" s="404"/>
      <c r="WUY64" s="404"/>
      <c r="WUZ64" s="404"/>
      <c r="WVA64" s="404"/>
      <c r="WVB64" s="404"/>
      <c r="WVC64" s="404"/>
      <c r="WVD64" s="404"/>
      <c r="WVE64" s="404"/>
      <c r="WVF64" s="404"/>
      <c r="WVG64" s="404"/>
      <c r="WVH64" s="404"/>
      <c r="WVI64" s="404"/>
      <c r="WVJ64" s="404"/>
      <c r="WVK64" s="404"/>
      <c r="WVL64" s="404"/>
      <c r="WVM64" s="404"/>
      <c r="WVN64" s="404"/>
      <c r="WVO64" s="404"/>
      <c r="WVP64" s="404"/>
      <c r="WVQ64" s="404"/>
      <c r="WVR64" s="404"/>
      <c r="WVS64" s="404"/>
      <c r="WVT64" s="404"/>
      <c r="WVU64" s="404"/>
      <c r="WVV64" s="404"/>
      <c r="WVW64" s="404"/>
      <c r="WVX64" s="404"/>
      <c r="WVY64" s="404"/>
      <c r="WVZ64" s="404"/>
      <c r="WWA64" s="404"/>
      <c r="WWB64" s="404"/>
      <c r="WWC64" s="404"/>
      <c r="WWD64" s="404"/>
      <c r="WWE64" s="404"/>
      <c r="WWF64" s="404"/>
      <c r="WWG64" s="404"/>
      <c r="WWH64" s="404"/>
      <c r="WWI64" s="404"/>
      <c r="WWJ64" s="404"/>
      <c r="WWK64" s="404"/>
      <c r="WWL64" s="404"/>
      <c r="WWM64" s="404"/>
      <c r="WWN64" s="404"/>
      <c r="WWO64" s="404"/>
      <c r="WWP64" s="404"/>
      <c r="WWQ64" s="404"/>
      <c r="WWR64" s="404"/>
      <c r="WWS64" s="404"/>
      <c r="WWT64" s="404"/>
      <c r="WWU64" s="404"/>
      <c r="WWV64" s="404"/>
      <c r="WWW64" s="404"/>
      <c r="WWX64" s="404"/>
      <c r="WWY64" s="404"/>
      <c r="WWZ64" s="404"/>
      <c r="WXA64" s="404"/>
      <c r="WXB64" s="404"/>
      <c r="WXC64" s="404"/>
      <c r="WXD64" s="404"/>
      <c r="WXE64" s="404"/>
      <c r="WXF64" s="404"/>
      <c r="WXG64" s="404"/>
      <c r="WXH64" s="404"/>
      <c r="WXI64" s="404"/>
      <c r="WXJ64" s="404"/>
      <c r="WXK64" s="404"/>
      <c r="WXL64" s="404"/>
      <c r="WXM64" s="404"/>
      <c r="WXN64" s="404"/>
      <c r="WXO64" s="404"/>
      <c r="WXP64" s="404"/>
      <c r="WXQ64" s="404"/>
      <c r="WXR64" s="404"/>
      <c r="WXS64" s="404"/>
      <c r="WXT64" s="404"/>
      <c r="WXU64" s="404"/>
      <c r="WXV64" s="404"/>
      <c r="WXW64" s="404"/>
      <c r="WXX64" s="404"/>
      <c r="WXY64" s="404"/>
      <c r="WXZ64" s="404"/>
      <c r="WYA64" s="404"/>
      <c r="WYB64" s="404"/>
      <c r="WYC64" s="404"/>
      <c r="WYD64" s="404"/>
      <c r="WYE64" s="404"/>
      <c r="WYF64" s="404"/>
      <c r="WYG64" s="404"/>
      <c r="WYH64" s="404"/>
      <c r="WYI64" s="404"/>
      <c r="WYJ64" s="404"/>
      <c r="WYK64" s="404"/>
      <c r="WYL64" s="404"/>
      <c r="WYM64" s="404"/>
      <c r="WYN64" s="404"/>
      <c r="WYO64" s="404"/>
      <c r="WYP64" s="404"/>
      <c r="WYQ64" s="404"/>
      <c r="WYR64" s="404"/>
      <c r="WYS64" s="404"/>
      <c r="WYT64" s="404"/>
      <c r="WYU64" s="404"/>
      <c r="WYV64" s="404"/>
      <c r="WYW64" s="404"/>
      <c r="WYX64" s="404"/>
      <c r="WYY64" s="404"/>
      <c r="WYZ64" s="404"/>
      <c r="WZA64" s="404"/>
      <c r="WZB64" s="404"/>
      <c r="WZC64" s="404"/>
      <c r="WZD64" s="404"/>
      <c r="WZE64" s="404"/>
      <c r="WZF64" s="404"/>
      <c r="WZG64" s="404"/>
      <c r="WZH64" s="404"/>
      <c r="WZI64" s="404"/>
      <c r="WZJ64" s="404"/>
      <c r="WZK64" s="404"/>
      <c r="WZL64" s="404"/>
      <c r="WZM64" s="404"/>
      <c r="WZN64" s="404"/>
      <c r="WZO64" s="404"/>
      <c r="WZP64" s="404"/>
      <c r="WZQ64" s="404"/>
      <c r="WZR64" s="404"/>
      <c r="WZS64" s="404"/>
      <c r="WZT64" s="404"/>
      <c r="WZU64" s="404"/>
      <c r="WZV64" s="404"/>
      <c r="WZW64" s="404"/>
      <c r="WZX64" s="404"/>
      <c r="WZY64" s="404"/>
      <c r="WZZ64" s="404"/>
      <c r="XAA64" s="404"/>
      <c r="XAB64" s="404"/>
      <c r="XAC64" s="404"/>
      <c r="XAD64" s="404"/>
      <c r="XAE64" s="404"/>
      <c r="XAF64" s="404"/>
      <c r="XAG64" s="404"/>
      <c r="XAH64" s="404"/>
      <c r="XAI64" s="404"/>
      <c r="XAJ64" s="404"/>
      <c r="XAK64" s="404"/>
      <c r="XAL64" s="404"/>
      <c r="XAM64" s="404"/>
      <c r="XAN64" s="404"/>
      <c r="XAO64" s="404"/>
      <c r="XAP64" s="404"/>
      <c r="XAQ64" s="404"/>
      <c r="XAR64" s="404"/>
      <c r="XAS64" s="404"/>
      <c r="XAT64" s="404"/>
      <c r="XAU64" s="404"/>
      <c r="XAV64" s="404"/>
      <c r="XAW64" s="404"/>
      <c r="XAX64" s="404"/>
      <c r="XAY64" s="404"/>
      <c r="XAZ64" s="404"/>
      <c r="XBA64" s="404"/>
      <c r="XBB64" s="404"/>
      <c r="XBC64" s="404"/>
      <c r="XBD64" s="404"/>
      <c r="XBE64" s="404"/>
      <c r="XBF64" s="404"/>
      <c r="XBG64" s="404"/>
      <c r="XBH64" s="404"/>
      <c r="XBI64" s="404"/>
      <c r="XBJ64" s="404"/>
      <c r="XBK64" s="404"/>
      <c r="XBL64" s="404"/>
      <c r="XBM64" s="404"/>
      <c r="XBN64" s="404"/>
      <c r="XBO64" s="404"/>
      <c r="XBP64" s="404"/>
      <c r="XBQ64" s="404"/>
      <c r="XBR64" s="404"/>
      <c r="XBS64" s="404"/>
      <c r="XBT64" s="404"/>
      <c r="XBU64" s="404"/>
      <c r="XBV64" s="404"/>
      <c r="XBW64" s="404"/>
      <c r="XBX64" s="404"/>
      <c r="XBY64" s="404"/>
      <c r="XBZ64" s="404"/>
      <c r="XCA64" s="404"/>
      <c r="XCB64" s="404"/>
      <c r="XCC64" s="404"/>
      <c r="XCD64" s="404"/>
      <c r="XCE64" s="404"/>
      <c r="XCF64" s="404"/>
      <c r="XCG64" s="404"/>
      <c r="XCH64" s="404"/>
      <c r="XCI64" s="404"/>
      <c r="XCJ64" s="404"/>
      <c r="XCK64" s="404"/>
      <c r="XCL64" s="404"/>
      <c r="XCM64" s="404"/>
      <c r="XCN64" s="404"/>
      <c r="XCO64" s="404"/>
      <c r="XCP64" s="404"/>
      <c r="XCQ64" s="404"/>
      <c r="XCR64" s="404"/>
      <c r="XCS64" s="404"/>
      <c r="XCT64" s="404"/>
      <c r="XCU64" s="404"/>
      <c r="XCV64" s="404"/>
      <c r="XCW64" s="404"/>
      <c r="XCX64" s="404"/>
      <c r="XCY64" s="404"/>
      <c r="XCZ64" s="404"/>
      <c r="XDA64" s="404"/>
      <c r="XDB64" s="404"/>
      <c r="XDC64" s="404"/>
      <c r="XDD64" s="404"/>
      <c r="XDE64" s="404"/>
      <c r="XDF64" s="404"/>
      <c r="XDG64" s="404"/>
      <c r="XDH64" s="404"/>
      <c r="XDI64" s="404"/>
      <c r="XDJ64" s="404"/>
      <c r="XDK64" s="404"/>
      <c r="XDL64" s="404"/>
      <c r="XDM64" s="404"/>
      <c r="XDN64" s="404"/>
      <c r="XDO64" s="404"/>
      <c r="XDP64" s="404"/>
      <c r="XDQ64" s="404"/>
      <c r="XDR64" s="404"/>
      <c r="XDS64" s="404"/>
      <c r="XDT64" s="404"/>
      <c r="XDU64" s="404"/>
      <c r="XDV64" s="404"/>
      <c r="XDW64" s="404"/>
      <c r="XDX64" s="404"/>
      <c r="XDY64" s="404"/>
      <c r="XDZ64" s="404"/>
      <c r="XEA64" s="404"/>
      <c r="XEB64" s="404"/>
      <c r="XEC64" s="404"/>
      <c r="XED64" s="404"/>
      <c r="XEE64" s="404"/>
      <c r="XEF64" s="404"/>
      <c r="XEG64" s="404"/>
      <c r="XEH64" s="404"/>
      <c r="XEI64" s="404"/>
      <c r="XEJ64" s="404"/>
      <c r="XEK64" s="404"/>
      <c r="XEL64" s="404"/>
      <c r="XEM64" s="404"/>
      <c r="XEN64" s="404"/>
      <c r="XEO64" s="404"/>
      <c r="XEP64" s="404"/>
      <c r="XEQ64" s="404"/>
      <c r="XER64" s="404"/>
      <c r="XES64" s="404"/>
      <c r="XET64" s="404"/>
      <c r="XEU64" s="404"/>
      <c r="XEV64" s="404"/>
      <c r="XEW64" s="404"/>
      <c r="XEX64" s="404"/>
      <c r="XEY64" s="404"/>
      <c r="XEZ64" s="404"/>
      <c r="XFA64" s="404"/>
      <c r="XFB64" s="404"/>
      <c r="XFC64" s="404"/>
      <c r="XFD64" s="404"/>
    </row>
    <row r="65" spans="1:123" ht="14" outlineLevel="1" x14ac:dyDescent="0.3">
      <c r="A65" s="402" t="s">
        <v>315</v>
      </c>
      <c r="B65" s="236" t="s">
        <v>12</v>
      </c>
      <c r="C65" s="52" t="s">
        <v>179</v>
      </c>
      <c r="D65" s="205"/>
      <c r="E65" s="193"/>
      <c r="F65" s="193"/>
      <c r="G65" s="193"/>
      <c r="H65" s="193"/>
      <c r="I65" s="193"/>
      <c r="J65" s="193"/>
      <c r="K65" s="193"/>
      <c r="L65" s="194"/>
      <c r="M65" s="195"/>
      <c r="N65" s="193"/>
      <c r="O65" s="193"/>
      <c r="P65" s="193"/>
      <c r="Q65" s="193"/>
      <c r="R65" s="193"/>
      <c r="S65" s="196"/>
      <c r="T65" s="195"/>
      <c r="U65" s="193"/>
      <c r="V65" s="193"/>
      <c r="W65" s="193"/>
      <c r="X65" s="193"/>
      <c r="Y65" s="197"/>
      <c r="Z65" s="198"/>
      <c r="AA65" s="199"/>
      <c r="AB65" s="197"/>
      <c r="AC65" s="197"/>
      <c r="AD65" s="197"/>
      <c r="AE65" s="197"/>
      <c r="AF65" s="197"/>
      <c r="AG65" s="198"/>
      <c r="AH65" s="200"/>
      <c r="AI65" s="201"/>
      <c r="AJ65" s="197"/>
      <c r="AK65" s="197"/>
      <c r="AL65" s="197"/>
      <c r="AM65" s="197"/>
      <c r="AN65" s="202"/>
      <c r="AO65" s="195"/>
      <c r="AP65" s="193"/>
      <c r="AQ65" s="193"/>
      <c r="AR65" s="193"/>
      <c r="AS65" s="193"/>
      <c r="AT65" s="193"/>
      <c r="AU65" s="196"/>
      <c r="AV65" s="195"/>
      <c r="AW65" s="193"/>
      <c r="AX65" s="193"/>
      <c r="AY65" s="193"/>
      <c r="AZ65" s="193"/>
      <c r="BA65" s="193"/>
      <c r="BB65" s="196"/>
      <c r="BC65" s="195"/>
      <c r="BD65" s="193"/>
      <c r="BE65" s="193"/>
      <c r="BF65" s="193"/>
      <c r="BG65" s="193"/>
      <c r="BH65" s="193"/>
      <c r="BI65" s="196"/>
      <c r="BJ65" s="195"/>
      <c r="BK65" s="193"/>
      <c r="BL65" s="193"/>
      <c r="BM65" s="194"/>
      <c r="BN65" s="203"/>
      <c r="BO65" s="193"/>
      <c r="BP65" s="196"/>
      <c r="BQ65" s="195"/>
      <c r="BR65" s="204"/>
      <c r="BS65" s="193"/>
      <c r="BT65" s="217"/>
      <c r="BU65" s="193"/>
      <c r="BV65" s="193"/>
      <c r="BW65" s="193"/>
      <c r="BX65" s="193"/>
      <c r="BY65" s="193"/>
      <c r="BZ65" s="193"/>
      <c r="CA65" s="193"/>
      <c r="CB65" s="193"/>
      <c r="CC65" s="206"/>
      <c r="CD65" s="207"/>
      <c r="CE65" s="181"/>
      <c r="CF65" s="179"/>
      <c r="CG65" s="179"/>
      <c r="CH65" s="179"/>
      <c r="CI65" s="179"/>
      <c r="CJ65" s="179"/>
      <c r="CK65" s="180"/>
      <c r="CL65" s="168"/>
      <c r="CM65" s="166"/>
      <c r="CN65" s="166"/>
      <c r="CO65" s="242"/>
      <c r="CP65" s="178"/>
      <c r="CQ65" s="166"/>
      <c r="CR65" s="169"/>
      <c r="CS65" s="168"/>
      <c r="CT65" s="166"/>
      <c r="CU65" s="166"/>
      <c r="CV65" s="166"/>
      <c r="CW65" s="166"/>
      <c r="CX65" s="169"/>
      <c r="CY65" s="168"/>
      <c r="CZ65" s="166"/>
      <c r="DA65" s="166"/>
      <c r="DB65" s="166"/>
      <c r="DC65" s="166"/>
      <c r="DD65" s="166"/>
      <c r="DE65" s="169"/>
      <c r="DF65" s="182"/>
      <c r="DG65" s="166"/>
      <c r="DH65" s="166"/>
      <c r="DI65" s="166"/>
      <c r="DJ65" s="166"/>
      <c r="DK65" s="166"/>
      <c r="DL65" s="169"/>
      <c r="DM65" s="178"/>
      <c r="DN65" s="166"/>
      <c r="DO65" s="166"/>
      <c r="DP65" s="166"/>
      <c r="DQ65" s="166"/>
      <c r="DR65" s="166"/>
      <c r="DS65" s="183"/>
    </row>
    <row r="66" spans="1:123" ht="14" outlineLevel="1" x14ac:dyDescent="0.3">
      <c r="A66" s="402" t="s">
        <v>319</v>
      </c>
      <c r="B66" s="236" t="s">
        <v>12</v>
      </c>
      <c r="C66" s="52" t="s">
        <v>179</v>
      </c>
      <c r="D66" s="205"/>
      <c r="E66" s="193"/>
      <c r="F66" s="193"/>
      <c r="G66" s="193"/>
      <c r="H66" s="193"/>
      <c r="I66" s="193"/>
      <c r="J66" s="193"/>
      <c r="K66" s="193"/>
      <c r="L66" s="194"/>
      <c r="M66" s="195"/>
      <c r="N66" s="193"/>
      <c r="O66" s="193"/>
      <c r="P66" s="193"/>
      <c r="Q66" s="193"/>
      <c r="R66" s="193"/>
      <c r="S66" s="196"/>
      <c r="T66" s="195"/>
      <c r="U66" s="193"/>
      <c r="V66" s="193"/>
      <c r="W66" s="193"/>
      <c r="X66" s="193"/>
      <c r="Y66" s="197"/>
      <c r="Z66" s="198"/>
      <c r="AA66" s="199"/>
      <c r="AB66" s="197"/>
      <c r="AC66" s="197"/>
      <c r="AD66" s="197"/>
      <c r="AE66" s="197"/>
      <c r="AF66" s="197"/>
      <c r="AG66" s="198"/>
      <c r="AH66" s="200"/>
      <c r="AI66" s="201"/>
      <c r="AJ66" s="197"/>
      <c r="AK66" s="197"/>
      <c r="AL66" s="197"/>
      <c r="AM66" s="197"/>
      <c r="AN66" s="202"/>
      <c r="AO66" s="195"/>
      <c r="AP66" s="193"/>
      <c r="AQ66" s="193"/>
      <c r="AR66" s="193"/>
      <c r="AS66" s="193"/>
      <c r="AT66" s="193"/>
      <c r="AU66" s="196"/>
      <c r="AV66" s="195"/>
      <c r="AW66" s="193"/>
      <c r="AX66" s="193"/>
      <c r="AY66" s="193"/>
      <c r="AZ66" s="193"/>
      <c r="BA66" s="193"/>
      <c r="BB66" s="196"/>
      <c r="BC66" s="195"/>
      <c r="BD66" s="193"/>
      <c r="BE66" s="193"/>
      <c r="BF66" s="193"/>
      <c r="BG66" s="193"/>
      <c r="BH66" s="193"/>
      <c r="BI66" s="196"/>
      <c r="BJ66" s="195"/>
      <c r="BK66" s="193"/>
      <c r="BL66" s="193"/>
      <c r="BM66" s="194"/>
      <c r="BN66" s="203"/>
      <c r="BO66" s="193"/>
      <c r="BP66" s="196"/>
      <c r="BQ66" s="195"/>
      <c r="BR66" s="204"/>
      <c r="BS66" s="193"/>
      <c r="BT66" s="217"/>
      <c r="BU66" s="193"/>
      <c r="BV66" s="193"/>
      <c r="BW66" s="193"/>
      <c r="BX66" s="193"/>
      <c r="BY66" s="193"/>
      <c r="BZ66" s="193"/>
      <c r="CA66" s="193"/>
      <c r="CB66" s="193"/>
      <c r="CC66" s="206"/>
      <c r="CD66" s="207"/>
      <c r="CE66" s="181"/>
      <c r="CF66" s="179"/>
      <c r="CG66" s="179"/>
      <c r="CH66" s="179"/>
      <c r="CI66" s="179"/>
      <c r="CJ66" s="179"/>
      <c r="CK66" s="180"/>
      <c r="CL66" s="168"/>
      <c r="CM66" s="166"/>
      <c r="CN66" s="166"/>
      <c r="CO66" s="242"/>
      <c r="CP66" s="178"/>
      <c r="CQ66" s="166"/>
      <c r="CR66" s="169"/>
      <c r="CS66" s="168"/>
      <c r="CT66" s="166"/>
      <c r="CU66" s="166"/>
      <c r="CV66" s="166"/>
      <c r="CW66" s="166"/>
      <c r="CX66" s="169"/>
      <c r="CY66" s="168"/>
      <c r="CZ66" s="166"/>
      <c r="DA66" s="166"/>
      <c r="DB66" s="166"/>
      <c r="DC66" s="166"/>
      <c r="DD66" s="166"/>
      <c r="DE66" s="169"/>
      <c r="DF66" s="182"/>
      <c r="DG66" s="166"/>
      <c r="DH66" s="166"/>
      <c r="DI66" s="166"/>
      <c r="DJ66" s="166"/>
      <c r="DK66" s="166"/>
      <c r="DL66" s="169"/>
      <c r="DM66" s="178"/>
      <c r="DN66" s="166"/>
      <c r="DO66" s="166"/>
      <c r="DP66" s="166"/>
      <c r="DQ66" s="166"/>
      <c r="DR66" s="166"/>
      <c r="DS66" s="183"/>
    </row>
    <row r="67" spans="1:123" ht="14" outlineLevel="1" x14ac:dyDescent="0.3">
      <c r="A67" s="243" t="s">
        <v>227</v>
      </c>
      <c r="B67" s="390"/>
      <c r="C67" s="390"/>
      <c r="D67" s="205"/>
      <c r="E67" s="193"/>
      <c r="F67" s="193"/>
      <c r="G67" s="193"/>
      <c r="H67" s="193"/>
      <c r="I67" s="193"/>
      <c r="J67" s="193"/>
      <c r="K67" s="193"/>
      <c r="L67" s="194"/>
      <c r="M67" s="195"/>
      <c r="N67" s="193"/>
      <c r="O67" s="193"/>
      <c r="P67" s="193"/>
      <c r="Q67" s="193"/>
      <c r="R67" s="193"/>
      <c r="S67" s="196"/>
      <c r="T67" s="195"/>
      <c r="U67" s="193"/>
      <c r="V67" s="193"/>
      <c r="W67" s="193"/>
      <c r="X67" s="193"/>
      <c r="Y67" s="197"/>
      <c r="Z67" s="198"/>
      <c r="AA67" s="199"/>
      <c r="AB67" s="197"/>
      <c r="AC67" s="197"/>
      <c r="AD67" s="197"/>
      <c r="AE67" s="197"/>
      <c r="AF67" s="197"/>
      <c r="AG67" s="198"/>
      <c r="AH67" s="200"/>
      <c r="AI67" s="201"/>
      <c r="AJ67" s="197"/>
      <c r="AK67" s="197"/>
      <c r="AL67" s="197"/>
      <c r="AM67" s="197"/>
      <c r="AN67" s="202"/>
      <c r="AO67" s="195"/>
      <c r="AP67" s="193"/>
      <c r="AQ67" s="193"/>
      <c r="AR67" s="193"/>
      <c r="AS67" s="193"/>
      <c r="AT67" s="193"/>
      <c r="AU67" s="196"/>
      <c r="AV67" s="195"/>
      <c r="AW67" s="193"/>
      <c r="AX67" s="193"/>
      <c r="AY67" s="193"/>
      <c r="AZ67" s="193"/>
      <c r="BA67" s="193"/>
      <c r="BB67" s="196"/>
      <c r="BC67" s="195"/>
      <c r="BD67" s="193"/>
      <c r="BE67" s="193"/>
      <c r="BF67" s="193"/>
      <c r="BG67" s="193"/>
      <c r="BH67" s="193"/>
      <c r="BI67" s="196"/>
      <c r="BJ67" s="195"/>
      <c r="BK67" s="193"/>
      <c r="BL67" s="193"/>
      <c r="BM67" s="194"/>
      <c r="BN67" s="203"/>
      <c r="BO67" s="193"/>
      <c r="BP67" s="196"/>
      <c r="BQ67" s="195"/>
      <c r="BR67" s="204"/>
      <c r="BS67" s="193"/>
      <c r="BT67" s="193"/>
      <c r="BU67" s="193"/>
      <c r="BV67" s="193"/>
      <c r="BW67" s="196"/>
      <c r="BX67" s="205"/>
      <c r="BY67" s="193"/>
      <c r="BZ67" s="193"/>
      <c r="CA67" s="193"/>
      <c r="CB67" s="193"/>
      <c r="CC67" s="206"/>
      <c r="CD67" s="207"/>
      <c r="CE67" s="181"/>
      <c r="CF67" s="179"/>
      <c r="CG67" s="179"/>
      <c r="CH67" s="179"/>
      <c r="CI67" s="179"/>
      <c r="CJ67" s="179"/>
      <c r="CK67" s="180"/>
      <c r="CL67" s="168"/>
      <c r="CM67" s="166"/>
      <c r="CN67" s="166"/>
      <c r="CO67" s="242"/>
      <c r="CP67" s="178"/>
      <c r="CQ67" s="166"/>
      <c r="CR67" s="169"/>
      <c r="CS67" s="168"/>
      <c r="CT67" s="166"/>
      <c r="CU67" s="166"/>
      <c r="CV67" s="166"/>
      <c r="CW67" s="166"/>
      <c r="CX67" s="169"/>
      <c r="CY67" s="168"/>
      <c r="CZ67" s="166"/>
      <c r="DA67" s="166"/>
      <c r="DB67" s="166"/>
      <c r="DC67" s="166"/>
      <c r="DD67" s="166"/>
      <c r="DE67" s="169"/>
      <c r="DF67" s="182"/>
      <c r="DG67" s="166"/>
      <c r="DH67" s="166"/>
      <c r="DI67" s="166"/>
      <c r="DJ67" s="166"/>
      <c r="DK67" s="166"/>
      <c r="DL67" s="169"/>
      <c r="DM67" s="178"/>
      <c r="DN67" s="166"/>
      <c r="DO67" s="166"/>
      <c r="DP67" s="166"/>
      <c r="DQ67" s="166"/>
      <c r="DR67" s="166"/>
      <c r="DS67" s="183"/>
    </row>
    <row r="68" spans="1:123" ht="14" outlineLevel="1" x14ac:dyDescent="0.3">
      <c r="A68" s="233" t="s">
        <v>325</v>
      </c>
      <c r="B68" s="236" t="s">
        <v>15</v>
      </c>
      <c r="C68" s="246" t="s">
        <v>179</v>
      </c>
      <c r="D68" s="205"/>
      <c r="E68" s="193"/>
      <c r="F68" s="193"/>
      <c r="G68" s="193"/>
      <c r="H68" s="193"/>
      <c r="I68" s="193"/>
      <c r="J68" s="193"/>
      <c r="K68" s="193"/>
      <c r="L68" s="194"/>
      <c r="M68" s="195"/>
      <c r="N68" s="193"/>
      <c r="O68" s="193"/>
      <c r="P68" s="193"/>
      <c r="Q68" s="193"/>
      <c r="R68" s="193"/>
      <c r="S68" s="196"/>
      <c r="T68" s="195"/>
      <c r="U68" s="193"/>
      <c r="V68" s="193"/>
      <c r="W68" s="193"/>
      <c r="X68" s="193"/>
      <c r="Y68" s="197"/>
      <c r="Z68" s="198"/>
      <c r="AA68" s="199"/>
      <c r="AB68" s="197"/>
      <c r="AC68" s="197"/>
      <c r="AD68" s="197"/>
      <c r="AE68" s="197"/>
      <c r="AF68" s="197"/>
      <c r="AG68" s="198"/>
      <c r="AH68" s="200"/>
      <c r="AI68" s="201"/>
      <c r="AJ68" s="197"/>
      <c r="AK68" s="197"/>
      <c r="AL68" s="197"/>
      <c r="AM68" s="197"/>
      <c r="AN68" s="202"/>
      <c r="AO68" s="195"/>
      <c r="AP68" s="193"/>
      <c r="AQ68" s="193"/>
      <c r="AR68" s="193"/>
      <c r="AS68" s="193"/>
      <c r="AT68" s="193"/>
      <c r="AU68" s="196"/>
      <c r="AV68" s="195"/>
      <c r="AW68" s="193"/>
      <c r="AX68" s="193"/>
      <c r="AY68" s="193"/>
      <c r="AZ68" s="193"/>
      <c r="BA68" s="193"/>
      <c r="BB68" s="196"/>
      <c r="BC68" s="215"/>
      <c r="BD68" s="192"/>
      <c r="BE68" s="192"/>
      <c r="BF68" s="192"/>
      <c r="BG68" s="192"/>
      <c r="BH68" s="192"/>
      <c r="BI68" s="216"/>
      <c r="BJ68" s="195"/>
      <c r="BK68" s="193"/>
      <c r="BL68" s="193"/>
      <c r="BM68" s="194"/>
      <c r="BN68" s="203"/>
      <c r="BO68" s="193"/>
      <c r="BP68" s="196"/>
      <c r="BQ68" s="195"/>
      <c r="BR68" s="204"/>
      <c r="BS68" s="193"/>
      <c r="BT68" s="193"/>
      <c r="BU68" s="193"/>
      <c r="BV68" s="193"/>
      <c r="BW68" s="196"/>
      <c r="BX68" s="205"/>
      <c r="BY68" s="193"/>
      <c r="BZ68" s="193"/>
      <c r="CA68" s="193"/>
      <c r="CB68" s="193"/>
      <c r="CC68" s="206"/>
      <c r="CD68" s="207"/>
      <c r="CE68" s="181"/>
      <c r="CF68" s="179"/>
      <c r="CG68" s="179"/>
      <c r="CH68" s="179"/>
      <c r="CI68" s="179"/>
      <c r="CJ68" s="179"/>
      <c r="CK68" s="180"/>
      <c r="CL68" s="168"/>
      <c r="CM68" s="166"/>
      <c r="CN68" s="166"/>
      <c r="CO68" s="242"/>
      <c r="CP68" s="178"/>
      <c r="CQ68" s="166"/>
      <c r="CR68" s="169"/>
      <c r="CS68" s="168"/>
      <c r="CT68" s="166"/>
      <c r="CU68" s="166"/>
      <c r="CV68" s="166"/>
      <c r="CW68" s="166"/>
      <c r="CX68" s="169"/>
      <c r="CY68" s="168"/>
      <c r="CZ68" s="166"/>
      <c r="DA68" s="166"/>
      <c r="DB68" s="166"/>
      <c r="DC68" s="166"/>
      <c r="DD68" s="166"/>
      <c r="DE68" s="169"/>
      <c r="DF68" s="182"/>
      <c r="DG68" s="166"/>
      <c r="DH68" s="166"/>
      <c r="DI68" s="166"/>
      <c r="DJ68" s="166"/>
      <c r="DK68" s="166"/>
      <c r="DL68" s="169"/>
      <c r="DM68" s="178"/>
      <c r="DN68" s="166"/>
      <c r="DO68" s="166"/>
      <c r="DP68" s="166"/>
      <c r="DQ68" s="166"/>
      <c r="DR68" s="166"/>
      <c r="DS68" s="183"/>
    </row>
    <row r="69" spans="1:123" ht="14" outlineLevel="1" x14ac:dyDescent="0.3">
      <c r="A69" s="233" t="s">
        <v>326</v>
      </c>
      <c r="B69" s="234" t="s">
        <v>327</v>
      </c>
      <c r="C69" s="246" t="s">
        <v>179</v>
      </c>
      <c r="D69" s="205"/>
      <c r="E69" s="193"/>
      <c r="F69" s="193"/>
      <c r="G69" s="193"/>
      <c r="H69" s="193"/>
      <c r="I69" s="193"/>
      <c r="J69" s="193"/>
      <c r="K69" s="193"/>
      <c r="L69" s="194"/>
      <c r="M69" s="195"/>
      <c r="N69" s="193"/>
      <c r="O69" s="193"/>
      <c r="P69" s="193"/>
      <c r="Q69" s="193"/>
      <c r="R69" s="193"/>
      <c r="S69" s="196"/>
      <c r="T69" s="195"/>
      <c r="U69" s="193"/>
      <c r="V69" s="193"/>
      <c r="W69" s="193"/>
      <c r="X69" s="193"/>
      <c r="Y69" s="197"/>
      <c r="Z69" s="198"/>
      <c r="AA69" s="199"/>
      <c r="AB69" s="197"/>
      <c r="AC69" s="197"/>
      <c r="AD69" s="197"/>
      <c r="AE69" s="197"/>
      <c r="AF69" s="197"/>
      <c r="AG69" s="198"/>
      <c r="AH69" s="200"/>
      <c r="AI69" s="201"/>
      <c r="AJ69" s="197"/>
      <c r="AK69" s="197"/>
      <c r="AL69" s="197"/>
      <c r="AM69" s="197"/>
      <c r="AN69" s="202"/>
      <c r="AO69" s="195"/>
      <c r="AP69" s="193"/>
      <c r="AQ69" s="193"/>
      <c r="AR69" s="193"/>
      <c r="AS69" s="193"/>
      <c r="AT69" s="193"/>
      <c r="AU69" s="196"/>
      <c r="AV69" s="195"/>
      <c r="AW69" s="193"/>
      <c r="AX69" s="193"/>
      <c r="AY69" s="193"/>
      <c r="AZ69" s="193"/>
      <c r="BA69" s="193"/>
      <c r="BB69" s="196"/>
      <c r="BC69" s="215"/>
      <c r="BD69" s="192"/>
      <c r="BE69" s="192"/>
      <c r="BF69" s="192"/>
      <c r="BG69" s="192"/>
      <c r="BH69" s="192"/>
      <c r="BI69" s="216"/>
      <c r="BJ69" s="195"/>
      <c r="BK69" s="193"/>
      <c r="BL69" s="193"/>
      <c r="BM69" s="194"/>
      <c r="BN69" s="203"/>
      <c r="BO69" s="193"/>
      <c r="BP69" s="196"/>
      <c r="BQ69" s="195"/>
      <c r="BR69" s="204"/>
      <c r="BS69" s="193"/>
      <c r="BT69" s="193"/>
      <c r="BU69" s="193"/>
      <c r="BV69" s="193"/>
      <c r="BW69" s="196"/>
      <c r="BX69" s="205"/>
      <c r="BY69" s="193"/>
      <c r="BZ69" s="193"/>
      <c r="CA69" s="193"/>
      <c r="CB69" s="193"/>
      <c r="CC69" s="206"/>
      <c r="CD69" s="207"/>
      <c r="CE69" s="181"/>
      <c r="CF69" s="179"/>
      <c r="CG69" s="179"/>
      <c r="CH69" s="179"/>
      <c r="CI69" s="179"/>
      <c r="CJ69" s="179"/>
      <c r="CK69" s="180"/>
      <c r="CL69" s="168"/>
      <c r="CM69" s="166"/>
      <c r="CN69" s="166"/>
      <c r="CO69" s="242"/>
      <c r="CP69" s="178"/>
      <c r="CQ69" s="166"/>
      <c r="CR69" s="169"/>
      <c r="CS69" s="168"/>
      <c r="CT69" s="166"/>
      <c r="CU69" s="166"/>
      <c r="CV69" s="166"/>
      <c r="CW69" s="166"/>
      <c r="CX69" s="169"/>
      <c r="CY69" s="168"/>
      <c r="CZ69" s="166"/>
      <c r="DA69" s="166"/>
      <c r="DB69" s="166"/>
      <c r="DC69" s="166"/>
      <c r="DD69" s="166"/>
      <c r="DE69" s="169"/>
      <c r="DF69" s="182"/>
      <c r="DG69" s="166"/>
      <c r="DH69" s="166"/>
      <c r="DI69" s="166"/>
      <c r="DJ69" s="166"/>
      <c r="DK69" s="166"/>
      <c r="DL69" s="169"/>
      <c r="DM69" s="178"/>
      <c r="DN69" s="166"/>
      <c r="DO69" s="166"/>
      <c r="DP69" s="166"/>
      <c r="DQ69" s="166"/>
      <c r="DR69" s="166"/>
      <c r="DS69" s="183"/>
    </row>
    <row r="70" spans="1:123" ht="14" outlineLevel="1" x14ac:dyDescent="0.3">
      <c r="A70" s="233" t="s">
        <v>228</v>
      </c>
      <c r="B70" s="234" t="s">
        <v>53</v>
      </c>
      <c r="C70" s="52" t="s">
        <v>179</v>
      </c>
      <c r="D70" s="205"/>
      <c r="E70" s="193"/>
      <c r="F70" s="193"/>
      <c r="G70" s="193"/>
      <c r="H70" s="193"/>
      <c r="I70" s="193"/>
      <c r="J70" s="193"/>
      <c r="K70" s="193"/>
      <c r="L70" s="194"/>
      <c r="M70" s="195"/>
      <c r="N70" s="193"/>
      <c r="O70" s="193"/>
      <c r="P70" s="193"/>
      <c r="Q70" s="193"/>
      <c r="R70" s="193"/>
      <c r="S70" s="196"/>
      <c r="T70" s="195"/>
      <c r="U70" s="193"/>
      <c r="V70" s="193"/>
      <c r="W70" s="193"/>
      <c r="X70" s="193"/>
      <c r="Y70" s="197"/>
      <c r="Z70" s="198"/>
      <c r="AA70" s="199"/>
      <c r="AB70" s="197"/>
      <c r="AC70" s="197"/>
      <c r="AD70" s="197"/>
      <c r="AE70" s="197"/>
      <c r="AF70" s="197"/>
      <c r="AG70" s="198"/>
      <c r="AH70" s="200"/>
      <c r="AI70" s="201"/>
      <c r="AJ70" s="197"/>
      <c r="AK70" s="197"/>
      <c r="AL70" s="197"/>
      <c r="AM70" s="197"/>
      <c r="AN70" s="202"/>
      <c r="AO70" s="195"/>
      <c r="AP70" s="193"/>
      <c r="AQ70" s="193"/>
      <c r="AR70" s="193"/>
      <c r="AS70" s="193"/>
      <c r="AT70" s="193"/>
      <c r="AU70" s="196"/>
      <c r="AV70" s="195"/>
      <c r="AW70" s="193"/>
      <c r="AX70" s="193"/>
      <c r="AY70" s="193"/>
      <c r="AZ70" s="193"/>
      <c r="BA70" s="193"/>
      <c r="BB70" s="196"/>
      <c r="BC70" s="215"/>
      <c r="BD70" s="192"/>
      <c r="BE70" s="192"/>
      <c r="BF70" s="192"/>
      <c r="BG70" s="192"/>
      <c r="BH70" s="192"/>
      <c r="BI70" s="216"/>
      <c r="BJ70" s="215"/>
      <c r="BK70" s="192"/>
      <c r="BL70" s="192"/>
      <c r="BM70" s="214"/>
      <c r="BN70" s="223"/>
      <c r="BO70" s="192"/>
      <c r="BP70" s="216"/>
      <c r="BQ70" s="195"/>
      <c r="BR70" s="204"/>
      <c r="BS70" s="193"/>
      <c r="BT70" s="193"/>
      <c r="BU70" s="193"/>
      <c r="BV70" s="217"/>
      <c r="BW70" s="196"/>
      <c r="BX70" s="205"/>
      <c r="BY70" s="193"/>
      <c r="BZ70" s="193"/>
      <c r="CA70" s="193"/>
      <c r="CB70" s="193"/>
      <c r="CC70" s="206"/>
      <c r="CD70" s="207"/>
      <c r="CE70" s="181"/>
      <c r="CF70" s="179"/>
      <c r="CG70" s="179"/>
      <c r="CH70" s="179"/>
      <c r="CI70" s="179"/>
      <c r="CJ70" s="179"/>
      <c r="CK70" s="180"/>
      <c r="CL70" s="168"/>
      <c r="CM70" s="166"/>
      <c r="CN70" s="166"/>
      <c r="CO70" s="242"/>
      <c r="CP70" s="178"/>
      <c r="CQ70" s="166"/>
      <c r="CR70" s="169"/>
      <c r="CS70" s="168"/>
      <c r="CT70" s="166"/>
      <c r="CU70" s="166"/>
      <c r="CV70" s="166"/>
      <c r="CW70" s="166"/>
      <c r="CX70" s="169"/>
      <c r="CY70" s="168"/>
      <c r="CZ70" s="166"/>
      <c r="DA70" s="166"/>
      <c r="DB70" s="166"/>
      <c r="DC70" s="166"/>
      <c r="DD70" s="166"/>
      <c r="DE70" s="169"/>
      <c r="DF70" s="182"/>
      <c r="DG70" s="166"/>
      <c r="DH70" s="166"/>
      <c r="DI70" s="166"/>
      <c r="DJ70" s="166"/>
      <c r="DK70" s="166"/>
      <c r="DL70" s="169"/>
      <c r="DM70" s="178"/>
      <c r="DN70" s="166"/>
      <c r="DO70" s="166"/>
      <c r="DP70" s="166"/>
      <c r="DQ70" s="166"/>
      <c r="DR70" s="166"/>
      <c r="DS70" s="183"/>
    </row>
    <row r="71" spans="1:123" ht="14" outlineLevel="1" x14ac:dyDescent="0.3">
      <c r="A71" s="233" t="s">
        <v>229</v>
      </c>
      <c r="B71" s="236" t="s">
        <v>107</v>
      </c>
      <c r="C71" s="237" t="s">
        <v>191</v>
      </c>
      <c r="D71" s="205"/>
      <c r="E71" s="193"/>
      <c r="F71" s="193"/>
      <c r="G71" s="193"/>
      <c r="H71" s="193"/>
      <c r="I71" s="193"/>
      <c r="J71" s="193"/>
      <c r="K71" s="193"/>
      <c r="L71" s="194"/>
      <c r="M71" s="195"/>
      <c r="N71" s="193"/>
      <c r="O71" s="193"/>
      <c r="P71" s="193"/>
      <c r="Q71" s="193"/>
      <c r="R71" s="193"/>
      <c r="S71" s="196"/>
      <c r="T71" s="195"/>
      <c r="U71" s="193"/>
      <c r="V71" s="193"/>
      <c r="W71" s="193"/>
      <c r="X71" s="193"/>
      <c r="Y71" s="197"/>
      <c r="Z71" s="198"/>
      <c r="AA71" s="199"/>
      <c r="AB71" s="197"/>
      <c r="AC71" s="197"/>
      <c r="AD71" s="197"/>
      <c r="AE71" s="197"/>
      <c r="AF71" s="197"/>
      <c r="AG71" s="198"/>
      <c r="AH71" s="200"/>
      <c r="AI71" s="201"/>
      <c r="AJ71" s="197"/>
      <c r="AK71" s="197"/>
      <c r="AL71" s="197"/>
      <c r="AM71" s="197"/>
      <c r="AN71" s="202"/>
      <c r="AO71" s="195"/>
      <c r="AP71" s="193"/>
      <c r="AQ71" s="193"/>
      <c r="AR71" s="193"/>
      <c r="AS71" s="193"/>
      <c r="AT71" s="193"/>
      <c r="AU71" s="196"/>
      <c r="AV71" s="195"/>
      <c r="AW71" s="193"/>
      <c r="AX71" s="193"/>
      <c r="AY71" s="193"/>
      <c r="AZ71" s="193"/>
      <c r="BA71" s="193"/>
      <c r="BB71" s="196"/>
      <c r="BC71" s="195"/>
      <c r="BD71" s="193"/>
      <c r="BE71" s="193"/>
      <c r="BF71" s="193"/>
      <c r="BG71" s="193"/>
      <c r="BH71" s="193"/>
      <c r="BI71" s="196"/>
      <c r="BJ71" s="215"/>
      <c r="BK71" s="192"/>
      <c r="BL71" s="192"/>
      <c r="BM71" s="214"/>
      <c r="BN71" s="223"/>
      <c r="BO71" s="192"/>
      <c r="BP71" s="216"/>
      <c r="BQ71" s="195"/>
      <c r="BR71" s="204"/>
      <c r="BS71" s="193"/>
      <c r="BT71" s="193"/>
      <c r="BU71" s="193"/>
      <c r="BV71" s="193"/>
      <c r="BW71" s="196"/>
      <c r="BX71" s="205"/>
      <c r="BY71" s="193"/>
      <c r="BZ71" s="193"/>
      <c r="CA71" s="193"/>
      <c r="CB71" s="193"/>
      <c r="CC71" s="206"/>
      <c r="CD71" s="207"/>
      <c r="CE71" s="181"/>
      <c r="CF71" s="179"/>
      <c r="CG71" s="179"/>
      <c r="CH71" s="179"/>
      <c r="CI71" s="179"/>
      <c r="CJ71" s="179"/>
      <c r="CK71" s="180"/>
      <c r="CL71" s="168"/>
      <c r="CM71" s="166"/>
      <c r="CN71" s="166"/>
      <c r="CO71" s="242"/>
      <c r="CP71" s="178"/>
      <c r="CQ71" s="166"/>
      <c r="CR71" s="169"/>
      <c r="CS71" s="168"/>
      <c r="CT71" s="166"/>
      <c r="CU71" s="166"/>
      <c r="CV71" s="166"/>
      <c r="CW71" s="166"/>
      <c r="CX71" s="169"/>
      <c r="CY71" s="168"/>
      <c r="CZ71" s="166"/>
      <c r="DA71" s="166"/>
      <c r="DB71" s="166"/>
      <c r="DC71" s="166"/>
      <c r="DD71" s="166"/>
      <c r="DE71" s="169"/>
      <c r="DF71" s="182"/>
      <c r="DG71" s="166"/>
      <c r="DH71" s="166"/>
      <c r="DI71" s="166"/>
      <c r="DJ71" s="166"/>
      <c r="DK71" s="166"/>
      <c r="DL71" s="169"/>
      <c r="DM71" s="178"/>
      <c r="DN71" s="166"/>
      <c r="DO71" s="166"/>
      <c r="DP71" s="166"/>
      <c r="DQ71" s="166"/>
      <c r="DR71" s="166"/>
      <c r="DS71" s="183"/>
    </row>
    <row r="72" spans="1:123" ht="14" outlineLevel="1" x14ac:dyDescent="0.3">
      <c r="A72" s="233" t="s">
        <v>108</v>
      </c>
      <c r="B72" s="236" t="s">
        <v>12</v>
      </c>
      <c r="C72" s="246" t="s">
        <v>179</v>
      </c>
      <c r="D72" s="205"/>
      <c r="E72" s="193"/>
      <c r="F72" s="193"/>
      <c r="G72" s="193"/>
      <c r="H72" s="193"/>
      <c r="I72" s="193"/>
      <c r="J72" s="193"/>
      <c r="K72" s="193"/>
      <c r="L72" s="194"/>
      <c r="M72" s="195"/>
      <c r="N72" s="193"/>
      <c r="O72" s="193"/>
      <c r="P72" s="193"/>
      <c r="Q72" s="193"/>
      <c r="R72" s="193"/>
      <c r="S72" s="196"/>
      <c r="T72" s="195"/>
      <c r="U72" s="193"/>
      <c r="V72" s="193"/>
      <c r="W72" s="193"/>
      <c r="X72" s="193"/>
      <c r="Y72" s="197"/>
      <c r="Z72" s="198"/>
      <c r="AA72" s="199"/>
      <c r="AB72" s="197"/>
      <c r="AC72" s="197"/>
      <c r="AD72" s="197"/>
      <c r="AE72" s="197"/>
      <c r="AF72" s="197"/>
      <c r="AG72" s="198"/>
      <c r="AH72" s="200"/>
      <c r="AI72" s="201"/>
      <c r="AJ72" s="197"/>
      <c r="AK72" s="197"/>
      <c r="AL72" s="197"/>
      <c r="AM72" s="197"/>
      <c r="AN72" s="202"/>
      <c r="AO72" s="195"/>
      <c r="AP72" s="193"/>
      <c r="AQ72" s="193"/>
      <c r="AR72" s="193"/>
      <c r="AS72" s="193"/>
      <c r="AT72" s="193"/>
      <c r="AU72" s="196"/>
      <c r="AV72" s="195"/>
      <c r="AW72" s="193"/>
      <c r="AX72" s="193"/>
      <c r="AY72" s="193"/>
      <c r="AZ72" s="193"/>
      <c r="BA72" s="193"/>
      <c r="BB72" s="196"/>
      <c r="BC72" s="215"/>
      <c r="BD72" s="192"/>
      <c r="BE72" s="192"/>
      <c r="BF72" s="192"/>
      <c r="BG72" s="192"/>
      <c r="BH72" s="192"/>
      <c r="BI72" s="216"/>
      <c r="BJ72" s="195"/>
      <c r="BK72" s="193"/>
      <c r="BL72" s="193"/>
      <c r="BM72" s="194"/>
      <c r="BN72" s="203"/>
      <c r="BO72" s="193"/>
      <c r="BP72" s="196"/>
      <c r="BQ72" s="195"/>
      <c r="BR72" s="204"/>
      <c r="BS72" s="193"/>
      <c r="BT72" s="193"/>
      <c r="BU72" s="193"/>
      <c r="BV72" s="193"/>
      <c r="BW72" s="196"/>
      <c r="BX72" s="205"/>
      <c r="BY72" s="193"/>
      <c r="BZ72" s="193"/>
      <c r="CA72" s="193"/>
      <c r="CB72" s="193"/>
      <c r="CC72" s="206"/>
      <c r="CD72" s="207"/>
      <c r="CE72" s="181"/>
      <c r="CF72" s="179"/>
      <c r="CG72" s="179"/>
      <c r="CH72" s="179"/>
      <c r="CI72" s="179"/>
      <c r="CJ72" s="179"/>
      <c r="CK72" s="180"/>
      <c r="CL72" s="168"/>
      <c r="CM72" s="166"/>
      <c r="CN72" s="166"/>
      <c r="CO72" s="242"/>
      <c r="CP72" s="178"/>
      <c r="CQ72" s="166"/>
      <c r="CR72" s="169"/>
      <c r="CS72" s="168"/>
      <c r="CT72" s="166"/>
      <c r="CU72" s="166"/>
      <c r="CV72" s="166"/>
      <c r="CW72" s="166"/>
      <c r="CX72" s="169"/>
      <c r="CY72" s="168"/>
      <c r="CZ72" s="166"/>
      <c r="DA72" s="166"/>
      <c r="DB72" s="166"/>
      <c r="DC72" s="166"/>
      <c r="DD72" s="166"/>
      <c r="DE72" s="169"/>
      <c r="DF72" s="182"/>
      <c r="DG72" s="166"/>
      <c r="DH72" s="166"/>
      <c r="DI72" s="166"/>
      <c r="DJ72" s="166"/>
      <c r="DK72" s="166"/>
      <c r="DL72" s="169"/>
      <c r="DM72" s="178"/>
      <c r="DN72" s="166"/>
      <c r="DO72" s="166"/>
      <c r="DP72" s="166"/>
      <c r="DQ72" s="166"/>
      <c r="DR72" s="166"/>
      <c r="DS72" s="183"/>
    </row>
    <row r="73" spans="1:123" ht="14" outlineLevel="1" x14ac:dyDescent="0.3">
      <c r="A73" s="233" t="s">
        <v>109</v>
      </c>
      <c r="B73" s="236" t="s">
        <v>12</v>
      </c>
      <c r="C73" s="237" t="s">
        <v>191</v>
      </c>
      <c r="D73" s="205"/>
      <c r="E73" s="193"/>
      <c r="F73" s="193"/>
      <c r="G73" s="193"/>
      <c r="H73" s="193"/>
      <c r="I73" s="193"/>
      <c r="J73" s="193"/>
      <c r="K73" s="193"/>
      <c r="L73" s="194"/>
      <c r="M73" s="195"/>
      <c r="N73" s="193"/>
      <c r="O73" s="193"/>
      <c r="P73" s="193"/>
      <c r="Q73" s="193"/>
      <c r="R73" s="193"/>
      <c r="S73" s="196"/>
      <c r="T73" s="195"/>
      <c r="U73" s="193"/>
      <c r="V73" s="193"/>
      <c r="W73" s="193"/>
      <c r="X73" s="193"/>
      <c r="Y73" s="197"/>
      <c r="Z73" s="198"/>
      <c r="AA73" s="199"/>
      <c r="AB73" s="197"/>
      <c r="AC73" s="197"/>
      <c r="AD73" s="197"/>
      <c r="AE73" s="197"/>
      <c r="AF73" s="197"/>
      <c r="AG73" s="198"/>
      <c r="AH73" s="200"/>
      <c r="AI73" s="201"/>
      <c r="AJ73" s="197"/>
      <c r="AK73" s="197"/>
      <c r="AL73" s="197"/>
      <c r="AM73" s="197"/>
      <c r="AN73" s="202"/>
      <c r="AO73" s="195"/>
      <c r="AP73" s="193"/>
      <c r="AQ73" s="193"/>
      <c r="AR73" s="193"/>
      <c r="AS73" s="193"/>
      <c r="AT73" s="193"/>
      <c r="AU73" s="196"/>
      <c r="AV73" s="195"/>
      <c r="AW73" s="193"/>
      <c r="AX73" s="193"/>
      <c r="AY73" s="193"/>
      <c r="AZ73" s="193"/>
      <c r="BA73" s="193"/>
      <c r="BB73" s="196"/>
      <c r="BC73" s="195"/>
      <c r="BD73" s="193"/>
      <c r="BE73" s="193"/>
      <c r="BF73" s="193"/>
      <c r="BG73" s="193"/>
      <c r="BH73" s="193"/>
      <c r="BI73" s="196"/>
      <c r="BJ73" s="195"/>
      <c r="BK73" s="192"/>
      <c r="BL73" s="192"/>
      <c r="BM73" s="214"/>
      <c r="BN73" s="223"/>
      <c r="BO73" s="192"/>
      <c r="BP73" s="216"/>
      <c r="BQ73" s="195"/>
      <c r="BR73" s="204"/>
      <c r="BS73" s="193"/>
      <c r="BT73" s="193"/>
      <c r="BU73" s="193"/>
      <c r="BV73" s="193"/>
      <c r="BW73" s="196"/>
      <c r="BX73" s="205"/>
      <c r="BY73" s="193"/>
      <c r="BZ73" s="193"/>
      <c r="CA73" s="193"/>
      <c r="CB73" s="193"/>
      <c r="CC73" s="206"/>
      <c r="CD73" s="207"/>
      <c r="CE73" s="181"/>
      <c r="CF73" s="179"/>
      <c r="CG73" s="179"/>
      <c r="CH73" s="179"/>
      <c r="CI73" s="179"/>
      <c r="CJ73" s="179"/>
      <c r="CK73" s="180"/>
      <c r="CL73" s="168"/>
      <c r="CM73" s="166"/>
      <c r="CN73" s="166"/>
      <c r="CO73" s="242"/>
      <c r="CP73" s="178"/>
      <c r="CQ73" s="166"/>
      <c r="CR73" s="169"/>
      <c r="CS73" s="168"/>
      <c r="CT73" s="166"/>
      <c r="CU73" s="166"/>
      <c r="CV73" s="166"/>
      <c r="CW73" s="166"/>
      <c r="CX73" s="169"/>
      <c r="CY73" s="168"/>
      <c r="CZ73" s="166"/>
      <c r="DA73" s="166"/>
      <c r="DB73" s="166"/>
      <c r="DC73" s="166"/>
      <c r="DD73" s="166"/>
      <c r="DE73" s="169"/>
      <c r="DF73" s="182"/>
      <c r="DG73" s="166"/>
      <c r="DH73" s="166"/>
      <c r="DI73" s="166"/>
      <c r="DJ73" s="166"/>
      <c r="DK73" s="166"/>
      <c r="DL73" s="169"/>
      <c r="DM73" s="178"/>
      <c r="DN73" s="166"/>
      <c r="DO73" s="166"/>
      <c r="DP73" s="166"/>
      <c r="DQ73" s="166"/>
      <c r="DR73" s="166"/>
      <c r="DS73" s="183"/>
    </row>
    <row r="74" spans="1:123" ht="14" outlineLevel="1" x14ac:dyDescent="0.3">
      <c r="A74" s="233" t="s">
        <v>110</v>
      </c>
      <c r="B74" s="236" t="s">
        <v>12</v>
      </c>
      <c r="C74" s="237" t="s">
        <v>191</v>
      </c>
      <c r="D74" s="205"/>
      <c r="E74" s="193"/>
      <c r="F74" s="193"/>
      <c r="G74" s="193"/>
      <c r="H74" s="193"/>
      <c r="I74" s="193"/>
      <c r="J74" s="193"/>
      <c r="K74" s="193"/>
      <c r="L74" s="194"/>
      <c r="M74" s="195"/>
      <c r="N74" s="193"/>
      <c r="O74" s="193"/>
      <c r="P74" s="193"/>
      <c r="Q74" s="193"/>
      <c r="R74" s="193"/>
      <c r="S74" s="196"/>
      <c r="T74" s="195"/>
      <c r="U74" s="193"/>
      <c r="V74" s="193"/>
      <c r="W74" s="193"/>
      <c r="X74" s="193"/>
      <c r="Y74" s="197"/>
      <c r="Z74" s="198"/>
      <c r="AA74" s="199"/>
      <c r="AB74" s="197"/>
      <c r="AC74" s="197"/>
      <c r="AD74" s="197"/>
      <c r="AE74" s="197"/>
      <c r="AF74" s="197"/>
      <c r="AG74" s="198"/>
      <c r="AH74" s="200"/>
      <c r="AI74" s="201"/>
      <c r="AJ74" s="197"/>
      <c r="AK74" s="197"/>
      <c r="AL74" s="197"/>
      <c r="AM74" s="197"/>
      <c r="AN74" s="202"/>
      <c r="AO74" s="195"/>
      <c r="AP74" s="193"/>
      <c r="AQ74" s="193"/>
      <c r="AR74" s="193"/>
      <c r="AS74" s="193"/>
      <c r="AT74" s="193"/>
      <c r="AU74" s="196"/>
      <c r="AV74" s="195"/>
      <c r="AW74" s="193"/>
      <c r="AX74" s="193"/>
      <c r="AY74" s="193"/>
      <c r="AZ74" s="193"/>
      <c r="BA74" s="193"/>
      <c r="BB74" s="196"/>
      <c r="BC74" s="195"/>
      <c r="BD74" s="193"/>
      <c r="BE74" s="193"/>
      <c r="BF74" s="193"/>
      <c r="BG74" s="193"/>
      <c r="BH74" s="193"/>
      <c r="BI74" s="196"/>
      <c r="BJ74" s="195"/>
      <c r="BK74" s="192"/>
      <c r="BL74" s="192"/>
      <c r="BM74" s="214"/>
      <c r="BN74" s="223"/>
      <c r="BO74" s="192"/>
      <c r="BP74" s="216"/>
      <c r="BQ74" s="195"/>
      <c r="BR74" s="204"/>
      <c r="BS74" s="193"/>
      <c r="BT74" s="193"/>
      <c r="BU74" s="193"/>
      <c r="BV74" s="193"/>
      <c r="BW74" s="196"/>
      <c r="BX74" s="205"/>
      <c r="BY74" s="193"/>
      <c r="BZ74" s="193"/>
      <c r="CA74" s="193"/>
      <c r="CB74" s="193"/>
      <c r="CC74" s="206"/>
      <c r="CD74" s="207"/>
      <c r="CE74" s="181"/>
      <c r="CF74" s="179"/>
      <c r="CG74" s="179"/>
      <c r="CH74" s="179"/>
      <c r="CI74" s="179"/>
      <c r="CJ74" s="179"/>
      <c r="CK74" s="180"/>
      <c r="CL74" s="168"/>
      <c r="CM74" s="166"/>
      <c r="CN74" s="166"/>
      <c r="CO74" s="242"/>
      <c r="CP74" s="178"/>
      <c r="CQ74" s="166"/>
      <c r="CR74" s="169"/>
      <c r="CS74" s="168"/>
      <c r="CT74" s="166"/>
      <c r="CU74" s="166"/>
      <c r="CV74" s="166"/>
      <c r="CW74" s="166"/>
      <c r="CX74" s="169"/>
      <c r="CY74" s="168"/>
      <c r="CZ74" s="166"/>
      <c r="DA74" s="166"/>
      <c r="DB74" s="166"/>
      <c r="DC74" s="166"/>
      <c r="DD74" s="166"/>
      <c r="DE74" s="169"/>
      <c r="DF74" s="182"/>
      <c r="DG74" s="166"/>
      <c r="DH74" s="166"/>
      <c r="DI74" s="166"/>
      <c r="DJ74" s="166"/>
      <c r="DK74" s="166"/>
      <c r="DL74" s="169"/>
      <c r="DM74" s="178"/>
      <c r="DN74" s="166"/>
      <c r="DO74" s="166"/>
      <c r="DP74" s="166"/>
      <c r="DQ74" s="166"/>
      <c r="DR74" s="166"/>
      <c r="DS74" s="183"/>
    </row>
    <row r="75" spans="1:123" ht="14" outlineLevel="1" x14ac:dyDescent="0.3">
      <c r="A75" s="233" t="s">
        <v>111</v>
      </c>
      <c r="B75" s="236" t="s">
        <v>12</v>
      </c>
      <c r="C75" s="246" t="s">
        <v>179</v>
      </c>
      <c r="D75" s="205"/>
      <c r="E75" s="193"/>
      <c r="F75" s="193"/>
      <c r="G75" s="193"/>
      <c r="H75" s="193"/>
      <c r="I75" s="193"/>
      <c r="J75" s="193"/>
      <c r="K75" s="193"/>
      <c r="L75" s="194"/>
      <c r="M75" s="195"/>
      <c r="N75" s="193"/>
      <c r="O75" s="193"/>
      <c r="P75" s="193"/>
      <c r="Q75" s="193"/>
      <c r="R75" s="193"/>
      <c r="S75" s="196"/>
      <c r="T75" s="195"/>
      <c r="U75" s="193"/>
      <c r="V75" s="193"/>
      <c r="W75" s="193"/>
      <c r="X75" s="193"/>
      <c r="Y75" s="197"/>
      <c r="Z75" s="198"/>
      <c r="AA75" s="199"/>
      <c r="AB75" s="197"/>
      <c r="AC75" s="197"/>
      <c r="AD75" s="197"/>
      <c r="AE75" s="197"/>
      <c r="AF75" s="197"/>
      <c r="AG75" s="198"/>
      <c r="AH75" s="200"/>
      <c r="AI75" s="201"/>
      <c r="AJ75" s="197"/>
      <c r="AK75" s="197"/>
      <c r="AL75" s="197"/>
      <c r="AM75" s="197"/>
      <c r="AN75" s="202"/>
      <c r="AO75" s="195"/>
      <c r="AP75" s="193"/>
      <c r="AQ75" s="193"/>
      <c r="AR75" s="193"/>
      <c r="AS75" s="193"/>
      <c r="AT75" s="193"/>
      <c r="AU75" s="196"/>
      <c r="AV75" s="195"/>
      <c r="AW75" s="193"/>
      <c r="AX75" s="193"/>
      <c r="AY75" s="193"/>
      <c r="AZ75" s="193"/>
      <c r="BA75" s="193"/>
      <c r="BB75" s="196"/>
      <c r="BC75" s="195"/>
      <c r="BD75" s="193"/>
      <c r="BE75" s="193"/>
      <c r="BF75" s="193"/>
      <c r="BG75" s="193"/>
      <c r="BH75" s="193"/>
      <c r="BI75" s="196"/>
      <c r="BJ75" s="195"/>
      <c r="BK75" s="192"/>
      <c r="BL75" s="192"/>
      <c r="BM75" s="214"/>
      <c r="BN75" s="223"/>
      <c r="BO75" s="192"/>
      <c r="BP75" s="216"/>
      <c r="BQ75" s="195"/>
      <c r="BR75" s="204"/>
      <c r="BS75" s="193"/>
      <c r="BT75" s="193"/>
      <c r="BU75" s="193"/>
      <c r="BV75" s="193"/>
      <c r="BW75" s="196"/>
      <c r="BX75" s="205"/>
      <c r="BY75" s="193"/>
      <c r="BZ75" s="193"/>
      <c r="CA75" s="193"/>
      <c r="CB75" s="193"/>
      <c r="CC75" s="206"/>
      <c r="CD75" s="207"/>
      <c r="CE75" s="181"/>
      <c r="CF75" s="179"/>
      <c r="CG75" s="179"/>
      <c r="CH75" s="179"/>
      <c r="CI75" s="179"/>
      <c r="CJ75" s="179"/>
      <c r="CK75" s="180"/>
      <c r="CL75" s="168"/>
      <c r="CM75" s="166"/>
      <c r="CN75" s="166"/>
      <c r="CO75" s="242"/>
      <c r="CP75" s="178"/>
      <c r="CQ75" s="166"/>
      <c r="CR75" s="169"/>
      <c r="CS75" s="168"/>
      <c r="CT75" s="166"/>
      <c r="CU75" s="166"/>
      <c r="CV75" s="166"/>
      <c r="CW75" s="166"/>
      <c r="CX75" s="169"/>
      <c r="CY75" s="168"/>
      <c r="CZ75" s="166"/>
      <c r="DA75" s="166"/>
      <c r="DB75" s="166"/>
      <c r="DC75" s="166"/>
      <c r="DD75" s="166"/>
      <c r="DE75" s="169"/>
      <c r="DF75" s="182"/>
      <c r="DG75" s="166"/>
      <c r="DH75" s="166"/>
      <c r="DI75" s="166"/>
      <c r="DJ75" s="166"/>
      <c r="DK75" s="166"/>
      <c r="DL75" s="169"/>
      <c r="DM75" s="178"/>
      <c r="DN75" s="166"/>
      <c r="DO75" s="166"/>
      <c r="DP75" s="166"/>
      <c r="DQ75" s="166"/>
      <c r="DR75" s="166"/>
      <c r="DS75" s="183"/>
    </row>
    <row r="76" spans="1:123" ht="14" outlineLevel="1" x14ac:dyDescent="0.3">
      <c r="A76" s="233" t="s">
        <v>112</v>
      </c>
      <c r="B76" s="236" t="s">
        <v>12</v>
      </c>
      <c r="C76" s="235" t="s">
        <v>182</v>
      </c>
      <c r="D76" s="205"/>
      <c r="E76" s="193"/>
      <c r="F76" s="193"/>
      <c r="G76" s="193"/>
      <c r="H76" s="193"/>
      <c r="I76" s="193"/>
      <c r="J76" s="193"/>
      <c r="K76" s="193"/>
      <c r="L76" s="194"/>
      <c r="M76" s="195"/>
      <c r="N76" s="193"/>
      <c r="O76" s="193"/>
      <c r="P76" s="193"/>
      <c r="Q76" s="193"/>
      <c r="R76" s="193"/>
      <c r="S76" s="196"/>
      <c r="T76" s="195"/>
      <c r="U76" s="193"/>
      <c r="V76" s="193"/>
      <c r="W76" s="193"/>
      <c r="X76" s="193"/>
      <c r="Y76" s="197"/>
      <c r="Z76" s="198"/>
      <c r="AA76" s="199"/>
      <c r="AB76" s="197"/>
      <c r="AC76" s="197"/>
      <c r="AD76" s="197"/>
      <c r="AE76" s="197"/>
      <c r="AF76" s="197"/>
      <c r="AG76" s="198"/>
      <c r="AH76" s="200"/>
      <c r="AI76" s="201"/>
      <c r="AJ76" s="197"/>
      <c r="AK76" s="197"/>
      <c r="AL76" s="197"/>
      <c r="AM76" s="197"/>
      <c r="AN76" s="202"/>
      <c r="AO76" s="195"/>
      <c r="AP76" s="193"/>
      <c r="AQ76" s="193"/>
      <c r="AR76" s="193"/>
      <c r="AS76" s="193"/>
      <c r="AT76" s="193"/>
      <c r="AU76" s="196"/>
      <c r="AV76" s="195"/>
      <c r="AW76" s="193"/>
      <c r="AX76" s="193"/>
      <c r="AY76" s="193"/>
      <c r="AZ76" s="193"/>
      <c r="BA76" s="193"/>
      <c r="BB76" s="196"/>
      <c r="BC76" s="195"/>
      <c r="BD76" s="193"/>
      <c r="BE76" s="193"/>
      <c r="BF76" s="193"/>
      <c r="BG76" s="193"/>
      <c r="BH76" s="193"/>
      <c r="BI76" s="196"/>
      <c r="BJ76" s="195"/>
      <c r="BK76" s="192"/>
      <c r="BL76" s="192"/>
      <c r="BM76" s="214"/>
      <c r="BN76" s="223"/>
      <c r="BO76" s="192"/>
      <c r="BP76" s="216"/>
      <c r="BQ76" s="195"/>
      <c r="BR76" s="204"/>
      <c r="BS76" s="193"/>
      <c r="BT76" s="193"/>
      <c r="BU76" s="193"/>
      <c r="BV76" s="193"/>
      <c r="BW76" s="196"/>
      <c r="BX76" s="205"/>
      <c r="BY76" s="193"/>
      <c r="BZ76" s="193"/>
      <c r="CA76" s="193"/>
      <c r="CB76" s="193"/>
      <c r="CC76" s="206"/>
      <c r="CD76" s="207"/>
      <c r="CE76" s="181"/>
      <c r="CF76" s="179"/>
      <c r="CG76" s="179"/>
      <c r="CH76" s="179"/>
      <c r="CI76" s="179"/>
      <c r="CJ76" s="179"/>
      <c r="CK76" s="180"/>
      <c r="CL76" s="168"/>
      <c r="CM76" s="166"/>
      <c r="CN76" s="166"/>
      <c r="CO76" s="242"/>
      <c r="CP76" s="178"/>
      <c r="CQ76" s="166"/>
      <c r="CR76" s="169"/>
      <c r="CS76" s="168"/>
      <c r="CT76" s="166"/>
      <c r="CU76" s="166"/>
      <c r="CV76" s="166"/>
      <c r="CW76" s="166"/>
      <c r="CX76" s="169"/>
      <c r="CY76" s="168"/>
      <c r="CZ76" s="166"/>
      <c r="DA76" s="166"/>
      <c r="DB76" s="166"/>
      <c r="DC76" s="166"/>
      <c r="DD76" s="166"/>
      <c r="DE76" s="169"/>
      <c r="DF76" s="182"/>
      <c r="DG76" s="166"/>
      <c r="DH76" s="166"/>
      <c r="DI76" s="166"/>
      <c r="DJ76" s="166"/>
      <c r="DK76" s="166"/>
      <c r="DL76" s="169"/>
      <c r="DM76" s="178"/>
      <c r="DN76" s="166"/>
      <c r="DO76" s="166"/>
      <c r="DP76" s="166"/>
      <c r="DQ76" s="166"/>
      <c r="DR76" s="166"/>
      <c r="DS76" s="183"/>
    </row>
    <row r="77" spans="1:123" ht="14" outlineLevel="1" x14ac:dyDescent="0.3">
      <c r="A77" s="233" t="s">
        <v>323</v>
      </c>
      <c r="B77" s="236" t="s">
        <v>18</v>
      </c>
      <c r="C77" s="52" t="s">
        <v>179</v>
      </c>
      <c r="D77" s="205"/>
      <c r="E77" s="193"/>
      <c r="F77" s="193"/>
      <c r="G77" s="193"/>
      <c r="H77" s="193"/>
      <c r="I77" s="193"/>
      <c r="J77" s="193"/>
      <c r="K77" s="193"/>
      <c r="L77" s="194"/>
      <c r="M77" s="195"/>
      <c r="N77" s="193"/>
      <c r="O77" s="193"/>
      <c r="P77" s="193"/>
      <c r="Q77" s="193"/>
      <c r="R77" s="193"/>
      <c r="S77" s="196"/>
      <c r="T77" s="195"/>
      <c r="U77" s="193"/>
      <c r="V77" s="193"/>
      <c r="W77" s="193"/>
      <c r="X77" s="193"/>
      <c r="Y77" s="197"/>
      <c r="Z77" s="198"/>
      <c r="AA77" s="199"/>
      <c r="AB77" s="197"/>
      <c r="AC77" s="197"/>
      <c r="AD77" s="197"/>
      <c r="AE77" s="197"/>
      <c r="AF77" s="197"/>
      <c r="AG77" s="198"/>
      <c r="AH77" s="200"/>
      <c r="AI77" s="201"/>
      <c r="AJ77" s="197"/>
      <c r="AK77" s="197"/>
      <c r="AL77" s="197"/>
      <c r="AM77" s="197"/>
      <c r="AN77" s="202"/>
      <c r="AO77" s="195"/>
      <c r="AP77" s="193"/>
      <c r="AQ77" s="193"/>
      <c r="AR77" s="193"/>
      <c r="AS77" s="193"/>
      <c r="AT77" s="193"/>
      <c r="AU77" s="196"/>
      <c r="AV77" s="195"/>
      <c r="AW77" s="193"/>
      <c r="AX77" s="193"/>
      <c r="AY77" s="193"/>
      <c r="AZ77" s="193"/>
      <c r="BA77" s="193"/>
      <c r="BB77" s="196"/>
      <c r="BC77" s="195"/>
      <c r="BD77" s="193"/>
      <c r="BE77" s="193"/>
      <c r="BF77" s="193"/>
      <c r="BG77" s="193"/>
      <c r="BH77" s="193"/>
      <c r="BI77" s="196"/>
      <c r="BJ77" s="195"/>
      <c r="BK77" s="192"/>
      <c r="BL77" s="192"/>
      <c r="BM77" s="214"/>
      <c r="BN77" s="223"/>
      <c r="BO77" s="192"/>
      <c r="BP77" s="216"/>
      <c r="BQ77" s="195"/>
      <c r="BR77" s="204"/>
      <c r="BS77" s="193"/>
      <c r="BT77" s="193"/>
      <c r="BU77" s="193"/>
      <c r="BV77" s="193"/>
      <c r="BW77" s="196"/>
      <c r="BX77" s="205"/>
      <c r="BY77" s="193"/>
      <c r="BZ77" s="193"/>
      <c r="CA77" s="193"/>
      <c r="CB77" s="193"/>
      <c r="CC77" s="206"/>
      <c r="CD77" s="207"/>
      <c r="CE77" s="181"/>
      <c r="CF77" s="179"/>
      <c r="CG77" s="179"/>
      <c r="CH77" s="179"/>
      <c r="CI77" s="179"/>
      <c r="CJ77" s="179"/>
      <c r="CK77" s="180"/>
      <c r="CL77" s="168"/>
      <c r="CM77" s="166"/>
      <c r="CN77" s="166"/>
      <c r="CO77" s="242"/>
      <c r="CP77" s="178"/>
      <c r="CQ77" s="166"/>
      <c r="CR77" s="169"/>
      <c r="CS77" s="168"/>
      <c r="CT77" s="166"/>
      <c r="CU77" s="166"/>
      <c r="CV77" s="166"/>
      <c r="CW77" s="166"/>
      <c r="CX77" s="169"/>
      <c r="CY77" s="168"/>
      <c r="CZ77" s="166"/>
      <c r="DA77" s="166"/>
      <c r="DB77" s="166"/>
      <c r="DC77" s="166"/>
      <c r="DD77" s="166"/>
      <c r="DE77" s="169"/>
      <c r="DF77" s="182"/>
      <c r="DG77" s="166"/>
      <c r="DH77" s="166"/>
      <c r="DI77" s="166"/>
      <c r="DJ77" s="166"/>
      <c r="DK77" s="166"/>
      <c r="DL77" s="169"/>
      <c r="DM77" s="178"/>
      <c r="DN77" s="166"/>
      <c r="DO77" s="166"/>
      <c r="DP77" s="166"/>
      <c r="DQ77" s="166"/>
      <c r="DR77" s="166"/>
      <c r="DS77" s="183"/>
    </row>
    <row r="78" spans="1:123" ht="14" outlineLevel="1" x14ac:dyDescent="0.3">
      <c r="A78" s="233" t="s">
        <v>324</v>
      </c>
      <c r="B78" s="236" t="s">
        <v>33</v>
      </c>
      <c r="C78" s="52" t="s">
        <v>179</v>
      </c>
      <c r="D78" s="205"/>
      <c r="E78" s="193"/>
      <c r="F78" s="193"/>
      <c r="G78" s="193"/>
      <c r="H78" s="193"/>
      <c r="I78" s="193"/>
      <c r="J78" s="193"/>
      <c r="K78" s="193"/>
      <c r="L78" s="194"/>
      <c r="M78" s="195"/>
      <c r="N78" s="193"/>
      <c r="O78" s="193"/>
      <c r="P78" s="193"/>
      <c r="Q78" s="193"/>
      <c r="R78" s="193"/>
      <c r="S78" s="196"/>
      <c r="T78" s="195"/>
      <c r="U78" s="193"/>
      <c r="V78" s="193"/>
      <c r="W78" s="193"/>
      <c r="X78" s="193"/>
      <c r="Y78" s="197"/>
      <c r="Z78" s="198"/>
      <c r="AA78" s="199"/>
      <c r="AB78" s="197"/>
      <c r="AC78" s="197"/>
      <c r="AD78" s="197"/>
      <c r="AE78" s="197"/>
      <c r="AF78" s="197"/>
      <c r="AG78" s="198"/>
      <c r="AH78" s="200"/>
      <c r="AI78" s="201"/>
      <c r="AJ78" s="197"/>
      <c r="AK78" s="197"/>
      <c r="AL78" s="197"/>
      <c r="AM78" s="197"/>
      <c r="AN78" s="202"/>
      <c r="AO78" s="195"/>
      <c r="AP78" s="193"/>
      <c r="AQ78" s="193"/>
      <c r="AR78" s="193"/>
      <c r="AS78" s="193"/>
      <c r="AT78" s="193"/>
      <c r="AU78" s="196"/>
      <c r="AV78" s="195"/>
      <c r="AW78" s="193"/>
      <c r="AX78" s="193"/>
      <c r="AY78" s="193"/>
      <c r="AZ78" s="193"/>
      <c r="BA78" s="193"/>
      <c r="BB78" s="196"/>
      <c r="BC78" s="195"/>
      <c r="BD78" s="193"/>
      <c r="BE78" s="193"/>
      <c r="BF78" s="193"/>
      <c r="BG78" s="193"/>
      <c r="BH78" s="193"/>
      <c r="BI78" s="196"/>
      <c r="BJ78" s="195"/>
      <c r="BK78" s="192"/>
      <c r="BL78" s="217"/>
      <c r="BM78" s="214"/>
      <c r="BN78" s="223"/>
      <c r="BO78" s="192"/>
      <c r="BP78" s="216"/>
      <c r="BQ78" s="195"/>
      <c r="BR78" s="204"/>
      <c r="BS78" s="193"/>
      <c r="BT78" s="193"/>
      <c r="BU78" s="193"/>
      <c r="BV78" s="193"/>
      <c r="BW78" s="196"/>
      <c r="BX78" s="205"/>
      <c r="BY78" s="193"/>
      <c r="BZ78" s="193"/>
      <c r="CA78" s="193"/>
      <c r="CB78" s="193"/>
      <c r="CC78" s="206"/>
      <c r="CD78" s="207"/>
      <c r="CE78" s="181"/>
      <c r="CF78" s="179"/>
      <c r="CG78" s="179"/>
      <c r="CH78" s="179"/>
      <c r="CI78" s="179"/>
      <c r="CJ78" s="179"/>
      <c r="CK78" s="180"/>
      <c r="CL78" s="168"/>
      <c r="CM78" s="166"/>
      <c r="CN78" s="166"/>
      <c r="CO78" s="242"/>
      <c r="CP78" s="178"/>
      <c r="CQ78" s="166"/>
      <c r="CR78" s="169"/>
      <c r="CS78" s="168"/>
      <c r="CT78" s="166"/>
      <c r="CU78" s="166"/>
      <c r="CV78" s="166"/>
      <c r="CW78" s="166"/>
      <c r="CX78" s="169"/>
      <c r="CY78" s="168"/>
      <c r="CZ78" s="166"/>
      <c r="DA78" s="166"/>
      <c r="DB78" s="166"/>
      <c r="DC78" s="166"/>
      <c r="DD78" s="166"/>
      <c r="DE78" s="169"/>
      <c r="DF78" s="182"/>
      <c r="DG78" s="166"/>
      <c r="DH78" s="166"/>
      <c r="DI78" s="166"/>
      <c r="DJ78" s="166"/>
      <c r="DK78" s="166"/>
      <c r="DL78" s="169"/>
      <c r="DM78" s="178"/>
      <c r="DN78" s="166"/>
      <c r="DO78" s="166"/>
      <c r="DP78" s="166"/>
      <c r="DQ78" s="166"/>
      <c r="DR78" s="166"/>
      <c r="DS78" s="183"/>
    </row>
    <row r="79" spans="1:123" ht="14" outlineLevel="1" x14ac:dyDescent="0.3">
      <c r="A79" s="233" t="s">
        <v>230</v>
      </c>
      <c r="B79" s="236" t="s">
        <v>12</v>
      </c>
      <c r="C79" s="237" t="s">
        <v>191</v>
      </c>
      <c r="D79" s="205"/>
      <c r="E79" s="193"/>
      <c r="F79" s="193"/>
      <c r="G79" s="193"/>
      <c r="H79" s="193"/>
      <c r="I79" s="193"/>
      <c r="J79" s="193"/>
      <c r="K79" s="193"/>
      <c r="L79" s="194"/>
      <c r="M79" s="195"/>
      <c r="N79" s="193"/>
      <c r="O79" s="193"/>
      <c r="P79" s="193"/>
      <c r="Q79" s="193"/>
      <c r="R79" s="193"/>
      <c r="S79" s="196"/>
      <c r="T79" s="195"/>
      <c r="U79" s="193"/>
      <c r="V79" s="193"/>
      <c r="W79" s="193"/>
      <c r="X79" s="193"/>
      <c r="Y79" s="197"/>
      <c r="Z79" s="198"/>
      <c r="AA79" s="199"/>
      <c r="AB79" s="197"/>
      <c r="AC79" s="197"/>
      <c r="AD79" s="197"/>
      <c r="AE79" s="197"/>
      <c r="AF79" s="197"/>
      <c r="AG79" s="198"/>
      <c r="AH79" s="200"/>
      <c r="AI79" s="201"/>
      <c r="AJ79" s="197"/>
      <c r="AK79" s="197"/>
      <c r="AL79" s="197"/>
      <c r="AM79" s="197"/>
      <c r="AN79" s="202"/>
      <c r="AO79" s="195"/>
      <c r="AP79" s="193"/>
      <c r="AQ79" s="193"/>
      <c r="AR79" s="193"/>
      <c r="AS79" s="193"/>
      <c r="AT79" s="193"/>
      <c r="AU79" s="196"/>
      <c r="AV79" s="195"/>
      <c r="AW79" s="193"/>
      <c r="AX79" s="193"/>
      <c r="AY79" s="193"/>
      <c r="AZ79" s="193"/>
      <c r="BA79" s="193"/>
      <c r="BB79" s="196"/>
      <c r="BC79" s="195"/>
      <c r="BD79" s="193"/>
      <c r="BE79" s="193"/>
      <c r="BF79" s="193"/>
      <c r="BG79" s="193"/>
      <c r="BH79" s="193"/>
      <c r="BI79" s="196"/>
      <c r="BJ79" s="195"/>
      <c r="BK79" s="192"/>
      <c r="BL79" s="192"/>
      <c r="BM79" s="214"/>
      <c r="BN79" s="223"/>
      <c r="BO79" s="192"/>
      <c r="BP79" s="216"/>
      <c r="BQ79" s="195"/>
      <c r="BR79" s="204"/>
      <c r="BS79" s="193"/>
      <c r="BT79" s="193"/>
      <c r="BU79" s="193"/>
      <c r="BV79" s="193"/>
      <c r="BW79" s="196"/>
      <c r="BX79" s="205"/>
      <c r="BY79" s="193"/>
      <c r="BZ79" s="193"/>
      <c r="CA79" s="193"/>
      <c r="CB79" s="193"/>
      <c r="CC79" s="206"/>
      <c r="CD79" s="207"/>
      <c r="CE79" s="181"/>
      <c r="CF79" s="179"/>
      <c r="CG79" s="179"/>
      <c r="CH79" s="179"/>
      <c r="CI79" s="179"/>
      <c r="CJ79" s="179"/>
      <c r="CK79" s="180"/>
      <c r="CL79" s="168"/>
      <c r="CM79" s="166"/>
      <c r="CN79" s="166"/>
      <c r="CO79" s="242"/>
      <c r="CP79" s="178"/>
      <c r="CQ79" s="166"/>
      <c r="CR79" s="169"/>
      <c r="CS79" s="168"/>
      <c r="CT79" s="166"/>
      <c r="CU79" s="166"/>
      <c r="CV79" s="166"/>
      <c r="CW79" s="166"/>
      <c r="CX79" s="169"/>
      <c r="CY79" s="168"/>
      <c r="CZ79" s="166"/>
      <c r="DA79" s="166"/>
      <c r="DB79" s="166"/>
      <c r="DC79" s="166"/>
      <c r="DD79" s="166"/>
      <c r="DE79" s="169"/>
      <c r="DF79" s="182"/>
      <c r="DG79" s="166"/>
      <c r="DH79" s="166"/>
      <c r="DI79" s="166"/>
      <c r="DJ79" s="166"/>
      <c r="DK79" s="166"/>
      <c r="DL79" s="169"/>
      <c r="DM79" s="178"/>
      <c r="DN79" s="166"/>
      <c r="DO79" s="166"/>
      <c r="DP79" s="166"/>
      <c r="DQ79" s="166"/>
      <c r="DR79" s="166"/>
      <c r="DS79" s="183"/>
    </row>
    <row r="80" spans="1:123" ht="14" outlineLevel="1" x14ac:dyDescent="0.3">
      <c r="A80" s="233" t="s">
        <v>280</v>
      </c>
      <c r="B80" s="236" t="s">
        <v>15</v>
      </c>
      <c r="C80" s="237" t="s">
        <v>191</v>
      </c>
      <c r="D80" s="205"/>
      <c r="E80" s="193"/>
      <c r="F80" s="193"/>
      <c r="G80" s="193"/>
      <c r="H80" s="193"/>
      <c r="I80" s="193"/>
      <c r="J80" s="193"/>
      <c r="K80" s="193"/>
      <c r="L80" s="194"/>
      <c r="M80" s="195"/>
      <c r="N80" s="193"/>
      <c r="O80" s="193"/>
      <c r="P80" s="193"/>
      <c r="Q80" s="193"/>
      <c r="R80" s="193"/>
      <c r="S80" s="196"/>
      <c r="T80" s="195"/>
      <c r="U80" s="193"/>
      <c r="V80" s="193"/>
      <c r="W80" s="193"/>
      <c r="X80" s="193"/>
      <c r="Y80" s="197"/>
      <c r="Z80" s="198"/>
      <c r="AA80" s="199"/>
      <c r="AB80" s="197"/>
      <c r="AC80" s="197"/>
      <c r="AD80" s="197"/>
      <c r="AE80" s="197"/>
      <c r="AF80" s="197"/>
      <c r="AG80" s="198"/>
      <c r="AH80" s="200"/>
      <c r="AI80" s="201"/>
      <c r="AJ80" s="197"/>
      <c r="AK80" s="197"/>
      <c r="AL80" s="197"/>
      <c r="AM80" s="197"/>
      <c r="AN80" s="202"/>
      <c r="AO80" s="195"/>
      <c r="AP80" s="193"/>
      <c r="AQ80" s="193"/>
      <c r="AR80" s="193"/>
      <c r="AS80" s="193"/>
      <c r="AT80" s="193"/>
      <c r="AU80" s="196"/>
      <c r="AV80" s="195"/>
      <c r="AW80" s="193"/>
      <c r="AX80" s="193"/>
      <c r="AY80" s="193"/>
      <c r="AZ80" s="193"/>
      <c r="BA80" s="193"/>
      <c r="BB80" s="196"/>
      <c r="BC80" s="195"/>
      <c r="BD80" s="193"/>
      <c r="BE80" s="193"/>
      <c r="BF80" s="193"/>
      <c r="BG80" s="193"/>
      <c r="BH80" s="193"/>
      <c r="BI80" s="196"/>
      <c r="BJ80" s="195"/>
      <c r="BK80" s="192"/>
      <c r="BL80" s="192"/>
      <c r="BM80" s="214"/>
      <c r="BN80" s="223"/>
      <c r="BO80" s="192"/>
      <c r="BP80" s="216"/>
      <c r="BQ80" s="195"/>
      <c r="BR80" s="204"/>
      <c r="BS80" s="193"/>
      <c r="BT80" s="193"/>
      <c r="BU80" s="193"/>
      <c r="BV80" s="193"/>
      <c r="BW80" s="196"/>
      <c r="BX80" s="205"/>
      <c r="BY80" s="193"/>
      <c r="BZ80" s="193"/>
      <c r="CA80" s="193"/>
      <c r="CB80" s="193"/>
      <c r="CC80" s="206"/>
      <c r="CD80" s="207"/>
      <c r="CE80" s="181"/>
      <c r="CF80" s="179"/>
      <c r="CG80" s="179"/>
      <c r="CH80" s="179"/>
      <c r="CI80" s="179"/>
      <c r="CJ80" s="179"/>
      <c r="CK80" s="180"/>
      <c r="CL80" s="168"/>
      <c r="CM80" s="166"/>
      <c r="CN80" s="166"/>
      <c r="CO80" s="242"/>
      <c r="CP80" s="178"/>
      <c r="CQ80" s="166"/>
      <c r="CR80" s="169"/>
      <c r="CS80" s="168"/>
      <c r="CT80" s="166"/>
      <c r="CU80" s="166"/>
      <c r="CV80" s="166"/>
      <c r="CW80" s="166"/>
      <c r="CX80" s="169"/>
      <c r="CY80" s="168"/>
      <c r="CZ80" s="166"/>
      <c r="DA80" s="166"/>
      <c r="DB80" s="166"/>
      <c r="DC80" s="166"/>
      <c r="DD80" s="166"/>
      <c r="DE80" s="169"/>
      <c r="DF80" s="182"/>
      <c r="DG80" s="166"/>
      <c r="DH80" s="166"/>
      <c r="DI80" s="166"/>
      <c r="DJ80" s="166"/>
      <c r="DK80" s="166"/>
      <c r="DL80" s="169"/>
      <c r="DM80" s="178"/>
      <c r="DN80" s="166"/>
      <c r="DO80" s="166"/>
      <c r="DP80" s="166"/>
      <c r="DQ80" s="166"/>
      <c r="DR80" s="166"/>
      <c r="DS80" s="183"/>
    </row>
    <row r="81" spans="1:123" ht="14" outlineLevel="1" x14ac:dyDescent="0.3">
      <c r="A81" s="243" t="s">
        <v>231</v>
      </c>
      <c r="B81" s="244"/>
      <c r="C81" s="244"/>
      <c r="D81" s="213"/>
      <c r="E81" s="193"/>
      <c r="F81" s="193"/>
      <c r="G81" s="193"/>
      <c r="H81" s="193"/>
      <c r="I81" s="193"/>
      <c r="J81" s="193"/>
      <c r="K81" s="193"/>
      <c r="L81" s="194"/>
      <c r="M81" s="195"/>
      <c r="N81" s="193"/>
      <c r="O81" s="193"/>
      <c r="P81" s="193"/>
      <c r="Q81" s="193"/>
      <c r="R81" s="193"/>
      <c r="S81" s="196"/>
      <c r="T81" s="195"/>
      <c r="U81" s="193"/>
      <c r="V81" s="193"/>
      <c r="W81" s="193"/>
      <c r="X81" s="193"/>
      <c r="Y81" s="197"/>
      <c r="Z81" s="198"/>
      <c r="AA81" s="199"/>
      <c r="AB81" s="197"/>
      <c r="AC81" s="197"/>
      <c r="AD81" s="197"/>
      <c r="AE81" s="197"/>
      <c r="AF81" s="197"/>
      <c r="AG81" s="198"/>
      <c r="AH81" s="200"/>
      <c r="AI81" s="201"/>
      <c r="AJ81" s="197"/>
      <c r="AK81" s="197"/>
      <c r="AL81" s="197"/>
      <c r="AM81" s="197"/>
      <c r="AN81" s="202"/>
      <c r="AO81" s="195"/>
      <c r="AP81" s="193"/>
      <c r="AQ81" s="193"/>
      <c r="AR81" s="193"/>
      <c r="AS81" s="193"/>
      <c r="AT81" s="193"/>
      <c r="AU81" s="196"/>
      <c r="AV81" s="195"/>
      <c r="AW81" s="193"/>
      <c r="AX81" s="193"/>
      <c r="AY81" s="193"/>
      <c r="AZ81" s="193"/>
      <c r="BA81" s="193"/>
      <c r="BB81" s="196"/>
      <c r="BC81" s="195"/>
      <c r="BD81" s="193"/>
      <c r="BE81" s="193"/>
      <c r="BF81" s="193"/>
      <c r="BG81" s="193"/>
      <c r="BH81" s="193"/>
      <c r="BI81" s="196"/>
      <c r="BJ81" s="195"/>
      <c r="BK81" s="193"/>
      <c r="BL81" s="193"/>
      <c r="BM81" s="194"/>
      <c r="BN81" s="203"/>
      <c r="BO81" s="193"/>
      <c r="BP81" s="196"/>
      <c r="BQ81" s="195"/>
      <c r="BR81" s="204"/>
      <c r="BS81" s="193"/>
      <c r="BT81" s="193"/>
      <c r="BU81" s="193"/>
      <c r="BV81" s="193"/>
      <c r="BW81" s="196"/>
      <c r="BX81" s="205"/>
      <c r="BY81" s="193"/>
      <c r="BZ81" s="193"/>
      <c r="CA81" s="193"/>
      <c r="CB81" s="193"/>
      <c r="CC81" s="206"/>
      <c r="CD81" s="207"/>
      <c r="CE81" s="181"/>
      <c r="CF81" s="179"/>
      <c r="CG81" s="179"/>
      <c r="CH81" s="179"/>
      <c r="CI81" s="179"/>
      <c r="CJ81" s="179"/>
      <c r="CK81" s="180"/>
      <c r="CL81" s="168"/>
      <c r="CM81" s="166"/>
      <c r="CN81" s="166"/>
      <c r="CO81" s="242"/>
      <c r="CP81" s="178"/>
      <c r="CQ81" s="166"/>
      <c r="CR81" s="169"/>
      <c r="CS81" s="168"/>
      <c r="CT81" s="166"/>
      <c r="CU81" s="166"/>
      <c r="CV81" s="166"/>
      <c r="CW81" s="166"/>
      <c r="CX81" s="169"/>
      <c r="CY81" s="168"/>
      <c r="CZ81" s="166"/>
      <c r="DA81" s="166"/>
      <c r="DB81" s="166"/>
      <c r="DC81" s="166"/>
      <c r="DD81" s="166"/>
      <c r="DE81" s="169"/>
      <c r="DF81" s="182"/>
      <c r="DG81" s="166"/>
      <c r="DH81" s="166"/>
      <c r="DI81" s="166"/>
      <c r="DJ81" s="166"/>
      <c r="DK81" s="166"/>
      <c r="DL81" s="169"/>
      <c r="DM81" s="178"/>
      <c r="DN81" s="166"/>
      <c r="DO81" s="166"/>
      <c r="DP81" s="166"/>
      <c r="DQ81" s="166"/>
      <c r="DR81" s="166"/>
      <c r="DS81" s="183"/>
    </row>
    <row r="82" spans="1:123" ht="14" outlineLevel="1" x14ac:dyDescent="0.3">
      <c r="A82" s="189" t="s">
        <v>232</v>
      </c>
      <c r="B82" s="245" t="s">
        <v>18</v>
      </c>
      <c r="C82" s="246" t="s">
        <v>179</v>
      </c>
      <c r="D82" s="107"/>
      <c r="E82" s="108"/>
      <c r="F82" s="108"/>
      <c r="G82" s="108"/>
      <c r="H82" s="108"/>
      <c r="I82" s="108"/>
      <c r="J82" s="108"/>
      <c r="K82" s="108"/>
      <c r="L82" s="109"/>
      <c r="M82" s="110"/>
      <c r="N82" s="108"/>
      <c r="O82" s="108"/>
      <c r="P82" s="108"/>
      <c r="Q82" s="108"/>
      <c r="R82" s="108"/>
      <c r="S82" s="111"/>
      <c r="T82" s="110"/>
      <c r="U82" s="108"/>
      <c r="V82" s="108"/>
      <c r="W82" s="108"/>
      <c r="X82" s="108"/>
      <c r="Y82" s="112"/>
      <c r="Z82" s="113"/>
      <c r="AA82" s="114"/>
      <c r="AB82" s="112"/>
      <c r="AC82" s="112"/>
      <c r="AD82" s="112"/>
      <c r="AE82" s="112"/>
      <c r="AF82" s="112"/>
      <c r="AG82" s="113"/>
      <c r="AH82" s="115"/>
      <c r="AI82" s="116"/>
      <c r="AJ82" s="112"/>
      <c r="AK82" s="112"/>
      <c r="AL82" s="112"/>
      <c r="AM82" s="112"/>
      <c r="AN82" s="117"/>
      <c r="AO82" s="121"/>
      <c r="AP82" s="122"/>
      <c r="AQ82" s="122"/>
      <c r="AR82" s="123"/>
      <c r="AS82" s="193"/>
      <c r="AT82" s="193"/>
      <c r="AU82" s="196"/>
      <c r="AV82" s="195"/>
      <c r="AW82" s="193"/>
      <c r="AX82" s="193"/>
      <c r="AY82" s="193"/>
      <c r="AZ82" s="193"/>
      <c r="BA82" s="193"/>
      <c r="BB82" s="196"/>
      <c r="BC82" s="195"/>
      <c r="BD82" s="193"/>
      <c r="BE82" s="193"/>
      <c r="BF82" s="193"/>
      <c r="BG82" s="193"/>
      <c r="BH82" s="193"/>
      <c r="BI82" s="196"/>
      <c r="BJ82" s="195"/>
      <c r="BK82" s="193"/>
      <c r="BL82" s="193"/>
      <c r="BM82" s="194"/>
      <c r="BN82" s="203"/>
      <c r="BO82" s="193"/>
      <c r="BP82" s="196"/>
      <c r="BQ82" s="195"/>
      <c r="BR82" s="204"/>
      <c r="BS82" s="193"/>
      <c r="BT82" s="193"/>
      <c r="BU82" s="193"/>
      <c r="BV82" s="193"/>
      <c r="BW82" s="196"/>
      <c r="BX82" s="205"/>
      <c r="BY82" s="193"/>
      <c r="BZ82" s="193"/>
      <c r="CA82" s="193"/>
      <c r="CB82" s="193"/>
      <c r="CC82" s="206"/>
      <c r="CD82" s="207"/>
      <c r="CE82" s="181"/>
      <c r="CF82" s="179"/>
      <c r="CG82" s="179"/>
      <c r="CH82" s="179"/>
      <c r="CI82" s="179"/>
      <c r="CJ82" s="179"/>
      <c r="CK82" s="180"/>
      <c r="CL82" s="168"/>
      <c r="CM82" s="166"/>
      <c r="CN82" s="166"/>
      <c r="CO82" s="242"/>
      <c r="CP82" s="178"/>
      <c r="CQ82" s="166"/>
      <c r="CR82" s="169"/>
      <c r="CS82" s="168"/>
      <c r="CT82" s="166"/>
      <c r="CU82" s="166"/>
      <c r="CV82" s="166"/>
      <c r="CW82" s="166"/>
      <c r="CX82" s="169"/>
      <c r="CY82" s="168"/>
      <c r="CZ82" s="166"/>
      <c r="DA82" s="166"/>
      <c r="DB82" s="166"/>
      <c r="DC82" s="166"/>
      <c r="DD82" s="166"/>
      <c r="DE82" s="169"/>
      <c r="DF82" s="182"/>
      <c r="DG82" s="166"/>
      <c r="DH82" s="166"/>
      <c r="DI82" s="166"/>
      <c r="DJ82" s="166"/>
      <c r="DK82" s="166"/>
      <c r="DL82" s="169"/>
      <c r="DM82" s="178"/>
      <c r="DN82" s="166"/>
      <c r="DO82" s="166"/>
      <c r="DP82" s="166"/>
      <c r="DQ82" s="166"/>
      <c r="DR82" s="166"/>
      <c r="DS82" s="183"/>
    </row>
    <row r="83" spans="1:123" ht="14.5" outlineLevel="1" thickBot="1" x14ac:dyDescent="0.35">
      <c r="A83" s="189" t="s">
        <v>233</v>
      </c>
      <c r="B83" s="247" t="s">
        <v>18</v>
      </c>
      <c r="C83" s="438" t="s">
        <v>179</v>
      </c>
      <c r="D83" s="213"/>
      <c r="E83" s="193"/>
      <c r="F83" s="193"/>
      <c r="G83" s="193"/>
      <c r="H83" s="193"/>
      <c r="I83" s="193"/>
      <c r="J83" s="193"/>
      <c r="K83" s="193"/>
      <c r="L83" s="194"/>
      <c r="M83" s="195"/>
      <c r="N83" s="193"/>
      <c r="O83" s="193"/>
      <c r="P83" s="193"/>
      <c r="Q83" s="193"/>
      <c r="R83" s="193"/>
      <c r="S83" s="196"/>
      <c r="T83" s="195"/>
      <c r="U83" s="193"/>
      <c r="V83" s="193"/>
      <c r="W83" s="193"/>
      <c r="X83" s="193"/>
      <c r="Y83" s="197"/>
      <c r="Z83" s="198"/>
      <c r="AA83" s="199"/>
      <c r="AB83" s="197"/>
      <c r="AC83" s="197"/>
      <c r="AD83" s="197"/>
      <c r="AE83" s="197"/>
      <c r="AF83" s="197"/>
      <c r="AG83" s="198"/>
      <c r="AH83" s="200"/>
      <c r="AI83" s="201"/>
      <c r="AJ83" s="197"/>
      <c r="AK83" s="197"/>
      <c r="AL83" s="197"/>
      <c r="AM83" s="197"/>
      <c r="AN83" s="202"/>
      <c r="AO83" s="195"/>
      <c r="AP83" s="193"/>
      <c r="AQ83" s="193"/>
      <c r="AR83" s="193"/>
      <c r="AS83" s="193"/>
      <c r="AT83" s="193"/>
      <c r="AU83" s="196"/>
      <c r="AV83" s="195"/>
      <c r="AW83" s="193"/>
      <c r="AX83" s="193"/>
      <c r="AY83" s="193"/>
      <c r="AZ83" s="193"/>
      <c r="BA83" s="193"/>
      <c r="BB83" s="196"/>
      <c r="BC83" s="195"/>
      <c r="BD83" s="193"/>
      <c r="BE83" s="193"/>
      <c r="BF83" s="193"/>
      <c r="BG83" s="193"/>
      <c r="BH83" s="193"/>
      <c r="BI83" s="196"/>
      <c r="BJ83" s="195"/>
      <c r="BK83" s="193"/>
      <c r="BL83" s="193"/>
      <c r="BM83" s="194"/>
      <c r="BN83" s="203"/>
      <c r="BO83" s="193"/>
      <c r="BP83" s="196"/>
      <c r="BQ83" s="215"/>
      <c r="BR83" s="192"/>
      <c r="BS83" s="192"/>
      <c r="BT83" s="217"/>
      <c r="BU83" s="192"/>
      <c r="BV83" s="193"/>
      <c r="BW83" s="196"/>
      <c r="BX83" s="205"/>
      <c r="BY83" s="193"/>
      <c r="BZ83" s="193"/>
      <c r="CA83" s="193"/>
      <c r="CB83" s="193"/>
      <c r="CC83" s="206"/>
      <c r="CD83" s="207"/>
      <c r="CE83" s="181"/>
      <c r="CF83" s="179"/>
      <c r="CG83" s="179"/>
      <c r="CH83" s="179"/>
      <c r="CI83" s="179"/>
      <c r="CJ83" s="179"/>
      <c r="CK83" s="180"/>
      <c r="CL83" s="168"/>
      <c r="CM83" s="166"/>
      <c r="CN83" s="166"/>
      <c r="CO83" s="242"/>
      <c r="CP83" s="178"/>
      <c r="CQ83" s="166"/>
      <c r="CR83" s="169"/>
      <c r="CS83" s="168"/>
      <c r="CT83" s="166"/>
      <c r="CU83" s="166"/>
      <c r="CV83" s="166"/>
      <c r="CW83" s="166"/>
      <c r="CX83" s="169"/>
      <c r="CY83" s="168"/>
      <c r="CZ83" s="166"/>
      <c r="DA83" s="166"/>
      <c r="DB83" s="166"/>
      <c r="DC83" s="166"/>
      <c r="DD83" s="166"/>
      <c r="DE83" s="169"/>
      <c r="DF83" s="182"/>
      <c r="DG83" s="166"/>
      <c r="DH83" s="166"/>
      <c r="DI83" s="166"/>
      <c r="DJ83" s="166"/>
      <c r="DK83" s="166"/>
      <c r="DL83" s="169"/>
      <c r="DM83" s="178"/>
      <c r="DN83" s="166"/>
      <c r="DO83" s="166"/>
      <c r="DP83" s="166"/>
      <c r="DQ83" s="166"/>
      <c r="DR83" s="166"/>
      <c r="DS83" s="183"/>
    </row>
    <row r="84" spans="1:123" ht="14" outlineLevel="1" x14ac:dyDescent="0.3">
      <c r="A84" s="232" t="s">
        <v>234</v>
      </c>
      <c r="B84" s="35"/>
      <c r="C84" s="35"/>
      <c r="D84" s="213"/>
      <c r="E84" s="193"/>
      <c r="F84" s="193"/>
      <c r="G84" s="193"/>
      <c r="H84" s="193"/>
      <c r="I84" s="193"/>
      <c r="J84" s="193"/>
      <c r="K84" s="193"/>
      <c r="L84" s="194"/>
      <c r="M84" s="195"/>
      <c r="N84" s="193"/>
      <c r="O84" s="193"/>
      <c r="P84" s="193"/>
      <c r="Q84" s="193"/>
      <c r="R84" s="193"/>
      <c r="S84" s="196"/>
      <c r="T84" s="195"/>
      <c r="U84" s="193"/>
      <c r="V84" s="193"/>
      <c r="W84" s="193"/>
      <c r="X84" s="193"/>
      <c r="Y84" s="197"/>
      <c r="Z84" s="198"/>
      <c r="AA84" s="199"/>
      <c r="AB84" s="197"/>
      <c r="AC84" s="197"/>
      <c r="AD84" s="197"/>
      <c r="AE84" s="197"/>
      <c r="AF84" s="197"/>
      <c r="AG84" s="198"/>
      <c r="AH84" s="200"/>
      <c r="AI84" s="201"/>
      <c r="AJ84" s="197"/>
      <c r="AK84" s="197"/>
      <c r="AL84" s="197"/>
      <c r="AM84" s="197"/>
      <c r="AN84" s="202"/>
      <c r="AO84" s="195"/>
      <c r="AP84" s="193"/>
      <c r="AQ84" s="193"/>
      <c r="AR84" s="193"/>
      <c r="AS84" s="193"/>
      <c r="AT84" s="193"/>
      <c r="AU84" s="196"/>
      <c r="AV84" s="195"/>
      <c r="AW84" s="193"/>
      <c r="AX84" s="193"/>
      <c r="AY84" s="193"/>
      <c r="AZ84" s="193"/>
      <c r="BA84" s="193"/>
      <c r="BB84" s="196"/>
      <c r="BC84" s="195"/>
      <c r="BD84" s="193"/>
      <c r="BE84" s="193"/>
      <c r="BF84" s="193"/>
      <c r="BG84" s="193"/>
      <c r="BH84" s="193"/>
      <c r="BI84" s="196"/>
      <c r="BJ84" s="195"/>
      <c r="BK84" s="193"/>
      <c r="BL84" s="193"/>
      <c r="BM84" s="194"/>
      <c r="BN84" s="203"/>
      <c r="BO84" s="193"/>
      <c r="BP84" s="196"/>
      <c r="BQ84" s="195"/>
      <c r="BR84" s="204"/>
      <c r="BS84" s="193"/>
      <c r="BT84" s="193"/>
      <c r="BU84" s="193"/>
      <c r="BV84" s="193"/>
      <c r="BW84" s="196"/>
      <c r="BX84" s="205"/>
      <c r="BY84" s="193"/>
      <c r="BZ84" s="193"/>
      <c r="CA84" s="193"/>
      <c r="CB84" s="193"/>
      <c r="CC84" s="206"/>
      <c r="CD84" s="207"/>
      <c r="CE84" s="181"/>
      <c r="CF84" s="179"/>
      <c r="CG84" s="179"/>
      <c r="CH84" s="179"/>
      <c r="CI84" s="179"/>
      <c r="CJ84" s="179"/>
      <c r="CK84" s="180"/>
      <c r="CL84" s="168"/>
      <c r="CM84" s="166"/>
      <c r="CN84" s="166"/>
      <c r="CO84" s="242"/>
      <c r="CP84" s="178"/>
      <c r="CQ84" s="166"/>
      <c r="CR84" s="169"/>
      <c r="CS84" s="168"/>
      <c r="CT84" s="166"/>
      <c r="CU84" s="166"/>
      <c r="CV84" s="166"/>
      <c r="CW84" s="166"/>
      <c r="CX84" s="169"/>
      <c r="CY84" s="168"/>
      <c r="CZ84" s="166"/>
      <c r="DA84" s="166"/>
      <c r="DB84" s="166"/>
      <c r="DC84" s="166"/>
      <c r="DD84" s="166"/>
      <c r="DE84" s="169"/>
      <c r="DF84" s="182"/>
      <c r="DG84" s="166"/>
      <c r="DH84" s="166"/>
      <c r="DI84" s="166"/>
      <c r="DJ84" s="166"/>
      <c r="DK84" s="166"/>
      <c r="DL84" s="169"/>
      <c r="DM84" s="178"/>
      <c r="DN84" s="166"/>
      <c r="DO84" s="166"/>
      <c r="DP84" s="166"/>
      <c r="DQ84" s="166"/>
      <c r="DR84" s="166"/>
      <c r="DS84" s="183"/>
    </row>
    <row r="85" spans="1:123" ht="14" outlineLevel="1" x14ac:dyDescent="0.3">
      <c r="A85" s="189" t="s">
        <v>235</v>
      </c>
      <c r="B85" s="236" t="s">
        <v>24</v>
      </c>
      <c r="C85" s="237" t="s">
        <v>191</v>
      </c>
      <c r="D85" s="126"/>
      <c r="E85" s="108"/>
      <c r="F85" s="108"/>
      <c r="G85" s="108"/>
      <c r="H85" s="108"/>
      <c r="I85" s="108"/>
      <c r="J85" s="108"/>
      <c r="K85" s="108"/>
      <c r="L85" s="109"/>
      <c r="M85" s="110"/>
      <c r="N85" s="108"/>
      <c r="O85" s="108"/>
      <c r="P85" s="108"/>
      <c r="Q85" s="108"/>
      <c r="R85" s="108"/>
      <c r="S85" s="111"/>
      <c r="T85" s="110"/>
      <c r="U85" s="108"/>
      <c r="V85" s="108"/>
      <c r="W85" s="108"/>
      <c r="X85" s="108"/>
      <c r="Y85" s="112"/>
      <c r="Z85" s="113"/>
      <c r="AA85" s="114"/>
      <c r="AB85" s="112"/>
      <c r="AC85" s="112"/>
      <c r="AD85" s="112"/>
      <c r="AE85" s="112"/>
      <c r="AF85" s="112"/>
      <c r="AG85" s="113"/>
      <c r="AH85" s="115"/>
      <c r="AI85" s="116"/>
      <c r="AJ85" s="112"/>
      <c r="AK85" s="112"/>
      <c r="AL85" s="112"/>
      <c r="AM85" s="112"/>
      <c r="AN85" s="117"/>
      <c r="AO85" s="195"/>
      <c r="AP85" s="193"/>
      <c r="AQ85" s="193"/>
      <c r="AR85" s="193"/>
      <c r="AS85" s="193"/>
      <c r="AT85" s="193"/>
      <c r="AU85" s="196"/>
      <c r="AV85" s="215"/>
      <c r="AW85" s="192"/>
      <c r="AX85" s="192"/>
      <c r="AY85" s="192"/>
      <c r="AZ85" s="192"/>
      <c r="BA85" s="193"/>
      <c r="BB85" s="196"/>
      <c r="BC85" s="195"/>
      <c r="BD85" s="193"/>
      <c r="BE85" s="193"/>
      <c r="BF85" s="193"/>
      <c r="BG85" s="193"/>
      <c r="BH85" s="193"/>
      <c r="BI85" s="196"/>
      <c r="BJ85" s="195"/>
      <c r="BK85" s="193"/>
      <c r="BL85" s="193"/>
      <c r="BM85" s="194"/>
      <c r="BN85" s="203"/>
      <c r="BO85" s="193"/>
      <c r="BP85" s="196"/>
      <c r="BQ85" s="195"/>
      <c r="BR85" s="204"/>
      <c r="BS85" s="193"/>
      <c r="BT85" s="193"/>
      <c r="BU85" s="193"/>
      <c r="BV85" s="193"/>
      <c r="BW85" s="196"/>
      <c r="BX85" s="205"/>
      <c r="BY85" s="193"/>
      <c r="BZ85" s="193"/>
      <c r="CA85" s="193"/>
      <c r="CB85" s="193"/>
      <c r="CC85" s="206"/>
      <c r="CD85" s="207"/>
      <c r="CE85" s="181"/>
      <c r="CF85" s="179"/>
      <c r="CG85" s="179"/>
      <c r="CH85" s="179"/>
      <c r="CI85" s="179"/>
      <c r="CJ85" s="179"/>
      <c r="CK85" s="180"/>
      <c r="CL85" s="168"/>
      <c r="CM85" s="166"/>
      <c r="CN85" s="166"/>
      <c r="CO85" s="242"/>
      <c r="CP85" s="178"/>
      <c r="CQ85" s="166"/>
      <c r="CR85" s="169"/>
      <c r="CS85" s="168"/>
      <c r="CT85" s="166"/>
      <c r="CU85" s="166"/>
      <c r="CV85" s="166"/>
      <c r="CW85" s="166"/>
      <c r="CX85" s="169"/>
      <c r="CY85" s="168"/>
      <c r="CZ85" s="166"/>
      <c r="DA85" s="166"/>
      <c r="DB85" s="166"/>
      <c r="DC85" s="166"/>
      <c r="DD85" s="166"/>
      <c r="DE85" s="169"/>
      <c r="DF85" s="182"/>
      <c r="DG85" s="166"/>
      <c r="DH85" s="166"/>
      <c r="DI85" s="166"/>
      <c r="DJ85" s="166"/>
      <c r="DK85" s="166"/>
      <c r="DL85" s="169"/>
      <c r="DM85" s="178"/>
      <c r="DN85" s="166"/>
      <c r="DO85" s="166"/>
      <c r="DP85" s="166"/>
      <c r="DQ85" s="166"/>
      <c r="DR85" s="166"/>
      <c r="DS85" s="183"/>
    </row>
    <row r="86" spans="1:123" ht="14" outlineLevel="1" x14ac:dyDescent="0.3">
      <c r="A86" s="189" t="s">
        <v>236</v>
      </c>
      <c r="B86" s="236" t="s">
        <v>24</v>
      </c>
      <c r="C86" s="235" t="s">
        <v>182</v>
      </c>
      <c r="D86" s="126"/>
      <c r="E86" s="108"/>
      <c r="F86" s="108"/>
      <c r="G86" s="108"/>
      <c r="H86" s="108"/>
      <c r="I86" s="108"/>
      <c r="J86" s="108"/>
      <c r="K86" s="108"/>
      <c r="L86" s="109"/>
      <c r="M86" s="110"/>
      <c r="N86" s="108"/>
      <c r="O86" s="108"/>
      <c r="P86" s="108"/>
      <c r="Q86" s="108"/>
      <c r="R86" s="108"/>
      <c r="S86" s="111"/>
      <c r="T86" s="110"/>
      <c r="U86" s="108"/>
      <c r="V86" s="108"/>
      <c r="W86" s="108"/>
      <c r="X86" s="108"/>
      <c r="Y86" s="112"/>
      <c r="Z86" s="113"/>
      <c r="AA86" s="114"/>
      <c r="AB86" s="112"/>
      <c r="AC86" s="112"/>
      <c r="AD86" s="112"/>
      <c r="AE86" s="112"/>
      <c r="AF86" s="112"/>
      <c r="AG86" s="113"/>
      <c r="AH86" s="115"/>
      <c r="AI86" s="116"/>
      <c r="AJ86" s="112"/>
      <c r="AK86" s="112"/>
      <c r="AL86" s="112"/>
      <c r="AM86" s="112"/>
      <c r="AN86" s="117"/>
      <c r="AO86" s="195"/>
      <c r="AP86" s="193"/>
      <c r="AQ86" s="193"/>
      <c r="AR86" s="193"/>
      <c r="AS86" s="193"/>
      <c r="AT86" s="193"/>
      <c r="AU86" s="196"/>
      <c r="AV86" s="195"/>
      <c r="AW86" s="193"/>
      <c r="AX86" s="193"/>
      <c r="AY86" s="193"/>
      <c r="AZ86" s="193"/>
      <c r="BA86" s="193"/>
      <c r="BB86" s="196"/>
      <c r="BC86" s="215"/>
      <c r="BD86" s="192"/>
      <c r="BE86" s="192"/>
      <c r="BF86" s="192"/>
      <c r="BG86" s="192"/>
      <c r="BH86" s="193"/>
      <c r="BI86" s="196"/>
      <c r="BJ86" s="195"/>
      <c r="BK86" s="193"/>
      <c r="BL86" s="193"/>
      <c r="BM86" s="194"/>
      <c r="BN86" s="203"/>
      <c r="BO86" s="193"/>
      <c r="BP86" s="196"/>
      <c r="BQ86" s="195"/>
      <c r="BR86" s="204"/>
      <c r="BS86" s="193"/>
      <c r="BT86" s="193"/>
      <c r="BU86" s="193"/>
      <c r="BV86" s="193"/>
      <c r="BW86" s="196"/>
      <c r="BX86" s="205"/>
      <c r="BY86" s="193"/>
      <c r="BZ86" s="193"/>
      <c r="CA86" s="193"/>
      <c r="CB86" s="193"/>
      <c r="CC86" s="206"/>
      <c r="CD86" s="207"/>
      <c r="CE86" s="181"/>
      <c r="CF86" s="179"/>
      <c r="CG86" s="179"/>
      <c r="CH86" s="179"/>
      <c r="CI86" s="179"/>
      <c r="CJ86" s="179"/>
      <c r="CK86" s="180"/>
      <c r="CL86" s="168"/>
      <c r="CM86" s="166"/>
      <c r="CN86" s="166"/>
      <c r="CO86" s="242"/>
      <c r="CP86" s="178"/>
      <c r="CQ86" s="166"/>
      <c r="CR86" s="169"/>
      <c r="CS86" s="168"/>
      <c r="CT86" s="166"/>
      <c r="CU86" s="166"/>
      <c r="CV86" s="166"/>
      <c r="CW86" s="166"/>
      <c r="CX86" s="169"/>
      <c r="CY86" s="168"/>
      <c r="CZ86" s="166"/>
      <c r="DA86" s="166"/>
      <c r="DB86" s="166"/>
      <c r="DC86" s="166"/>
      <c r="DD86" s="166"/>
      <c r="DE86" s="169"/>
      <c r="DF86" s="182"/>
      <c r="DG86" s="166"/>
      <c r="DH86" s="166"/>
      <c r="DI86" s="166"/>
      <c r="DJ86" s="166"/>
      <c r="DK86" s="166"/>
      <c r="DL86" s="169"/>
      <c r="DM86" s="178"/>
      <c r="DN86" s="166"/>
      <c r="DO86" s="166"/>
      <c r="DP86" s="166"/>
      <c r="DQ86" s="166"/>
      <c r="DR86" s="166"/>
      <c r="DS86" s="183"/>
    </row>
    <row r="87" spans="1:123" ht="14" outlineLevel="1" x14ac:dyDescent="0.3">
      <c r="A87" s="189" t="s">
        <v>237</v>
      </c>
      <c r="B87" s="236" t="s">
        <v>24</v>
      </c>
      <c r="C87" s="235" t="s">
        <v>182</v>
      </c>
      <c r="D87" s="126"/>
      <c r="E87" s="108"/>
      <c r="F87" s="108"/>
      <c r="G87" s="108"/>
      <c r="H87" s="108"/>
      <c r="I87" s="108"/>
      <c r="J87" s="108"/>
      <c r="K87" s="108"/>
      <c r="L87" s="109"/>
      <c r="M87" s="110"/>
      <c r="N87" s="108"/>
      <c r="O87" s="108"/>
      <c r="P87" s="108"/>
      <c r="Q87" s="108"/>
      <c r="R87" s="108"/>
      <c r="S87" s="111"/>
      <c r="T87" s="110"/>
      <c r="U87" s="108"/>
      <c r="V87" s="108"/>
      <c r="W87" s="108"/>
      <c r="X87" s="108"/>
      <c r="Y87" s="112"/>
      <c r="Z87" s="113"/>
      <c r="AA87" s="114"/>
      <c r="AB87" s="112"/>
      <c r="AC87" s="112"/>
      <c r="AD87" s="112"/>
      <c r="AE87" s="112"/>
      <c r="AF87" s="112"/>
      <c r="AG87" s="113"/>
      <c r="AH87" s="115"/>
      <c r="AI87" s="116"/>
      <c r="AJ87" s="112"/>
      <c r="AK87" s="112"/>
      <c r="AL87" s="112"/>
      <c r="AM87" s="112"/>
      <c r="AN87" s="117"/>
      <c r="AO87" s="195"/>
      <c r="AP87" s="193"/>
      <c r="AQ87" s="193"/>
      <c r="AR87" s="193"/>
      <c r="AS87" s="193"/>
      <c r="AT87" s="193"/>
      <c r="AU87" s="196"/>
      <c r="AV87" s="195"/>
      <c r="AW87" s="193"/>
      <c r="AX87" s="193"/>
      <c r="AY87" s="193"/>
      <c r="AZ87" s="193"/>
      <c r="BA87" s="193"/>
      <c r="BB87" s="196"/>
      <c r="BC87" s="195"/>
      <c r="BD87" s="193"/>
      <c r="BE87" s="193"/>
      <c r="BF87" s="193"/>
      <c r="BG87" s="193"/>
      <c r="BH87" s="193"/>
      <c r="BI87" s="196"/>
      <c r="BJ87" s="195"/>
      <c r="BK87" s="193"/>
      <c r="BL87" s="193"/>
      <c r="BM87" s="194"/>
      <c r="BN87" s="203"/>
      <c r="BO87" s="193"/>
      <c r="BP87" s="196"/>
      <c r="BQ87" s="195"/>
      <c r="BR87" s="204"/>
      <c r="BS87" s="193"/>
      <c r="BT87" s="193"/>
      <c r="BU87" s="193"/>
      <c r="BV87" s="193"/>
      <c r="BW87" s="196"/>
      <c r="BX87" s="205"/>
      <c r="BY87" s="193"/>
      <c r="BZ87" s="193"/>
      <c r="CA87" s="193"/>
      <c r="CB87" s="193"/>
      <c r="CC87" s="206"/>
      <c r="CD87" s="207"/>
      <c r="CE87" s="181"/>
      <c r="CF87" s="179"/>
      <c r="CG87" s="179"/>
      <c r="CH87" s="179"/>
      <c r="CI87" s="179"/>
      <c r="CJ87" s="179"/>
      <c r="CK87" s="180"/>
      <c r="CL87" s="168"/>
      <c r="CM87" s="166"/>
      <c r="CN87" s="166"/>
      <c r="CO87" s="242"/>
      <c r="CP87" s="178"/>
      <c r="CQ87" s="166"/>
      <c r="CR87" s="169"/>
      <c r="CS87" s="168"/>
      <c r="CT87" s="166"/>
      <c r="CU87" s="166"/>
      <c r="CV87" s="166"/>
      <c r="CW87" s="166"/>
      <c r="CX87" s="169"/>
      <c r="CY87" s="168"/>
      <c r="CZ87" s="166"/>
      <c r="DA87" s="166"/>
      <c r="DB87" s="166"/>
      <c r="DC87" s="166"/>
      <c r="DD87" s="166"/>
      <c r="DE87" s="169"/>
      <c r="DF87" s="182"/>
      <c r="DG87" s="166"/>
      <c r="DH87" s="166"/>
      <c r="DI87" s="166"/>
      <c r="DJ87" s="166"/>
      <c r="DK87" s="166"/>
      <c r="DL87" s="169"/>
      <c r="DM87" s="178"/>
      <c r="DN87" s="166"/>
      <c r="DO87" s="166"/>
      <c r="DP87" s="166"/>
      <c r="DQ87" s="166"/>
      <c r="DR87" s="166"/>
      <c r="DS87" s="183"/>
    </row>
    <row r="88" spans="1:123" ht="14" outlineLevel="1" x14ac:dyDescent="0.3">
      <c r="A88" s="189" t="s">
        <v>238</v>
      </c>
      <c r="B88" s="236" t="s">
        <v>24</v>
      </c>
      <c r="C88" s="235" t="s">
        <v>182</v>
      </c>
      <c r="D88" s="126"/>
      <c r="E88" s="108"/>
      <c r="F88" s="108"/>
      <c r="G88" s="108"/>
      <c r="H88" s="108"/>
      <c r="I88" s="108"/>
      <c r="J88" s="108"/>
      <c r="K88" s="108"/>
      <c r="L88" s="109"/>
      <c r="M88" s="110"/>
      <c r="N88" s="108"/>
      <c r="O88" s="108"/>
      <c r="P88" s="108"/>
      <c r="Q88" s="108"/>
      <c r="R88" s="108"/>
      <c r="S88" s="111"/>
      <c r="T88" s="110"/>
      <c r="U88" s="108"/>
      <c r="V88" s="108"/>
      <c r="W88" s="108"/>
      <c r="X88" s="108"/>
      <c r="Y88" s="112"/>
      <c r="Z88" s="113"/>
      <c r="AA88" s="114"/>
      <c r="AB88" s="112"/>
      <c r="AC88" s="112"/>
      <c r="AD88" s="112"/>
      <c r="AE88" s="112"/>
      <c r="AF88" s="112"/>
      <c r="AG88" s="113"/>
      <c r="AH88" s="115"/>
      <c r="AI88" s="116"/>
      <c r="AJ88" s="112"/>
      <c r="AK88" s="112"/>
      <c r="AL88" s="112"/>
      <c r="AM88" s="112"/>
      <c r="AN88" s="117"/>
      <c r="AO88" s="110"/>
      <c r="AP88" s="108"/>
      <c r="AQ88" s="108"/>
      <c r="AR88" s="108"/>
      <c r="AS88" s="108"/>
      <c r="AT88" s="108"/>
      <c r="AU88" s="111"/>
      <c r="AV88" s="110"/>
      <c r="AW88" s="108"/>
      <c r="AX88" s="108"/>
      <c r="AY88" s="108"/>
      <c r="AZ88" s="108"/>
      <c r="BA88" s="108"/>
      <c r="BB88" s="111"/>
      <c r="BC88" s="110"/>
      <c r="BD88" s="108"/>
      <c r="BE88" s="108"/>
      <c r="BF88" s="108"/>
      <c r="BG88" s="108"/>
      <c r="BH88" s="108"/>
      <c r="BI88" s="111"/>
      <c r="BJ88" s="110"/>
      <c r="BK88" s="108"/>
      <c r="BL88" s="108"/>
      <c r="BM88" s="109"/>
      <c r="BN88" s="124"/>
      <c r="BO88" s="108"/>
      <c r="BP88" s="111"/>
      <c r="BQ88" s="110"/>
      <c r="BR88" s="125"/>
      <c r="BS88" s="108"/>
      <c r="BT88" s="108"/>
      <c r="BU88" s="108"/>
      <c r="BV88" s="108"/>
      <c r="BW88" s="111"/>
      <c r="BX88" s="126"/>
      <c r="BY88" s="108"/>
      <c r="BZ88" s="108"/>
      <c r="CA88" s="108"/>
      <c r="CB88" s="108"/>
      <c r="CC88" s="240"/>
      <c r="CD88" s="241"/>
      <c r="CE88" s="181"/>
      <c r="CF88" s="179"/>
      <c r="CG88" s="179"/>
      <c r="CH88" s="179"/>
      <c r="CI88" s="179"/>
      <c r="CJ88" s="179"/>
      <c r="CK88" s="180"/>
      <c r="CL88" s="168"/>
      <c r="CM88" s="166"/>
      <c r="CN88" s="166"/>
      <c r="CO88" s="242"/>
      <c r="CP88" s="178"/>
      <c r="CQ88" s="166"/>
      <c r="CR88" s="169"/>
      <c r="CS88" s="168"/>
      <c r="CT88" s="166"/>
      <c r="CU88" s="166"/>
      <c r="CV88" s="166"/>
      <c r="CW88" s="166"/>
      <c r="CX88" s="169"/>
      <c r="CY88" s="168"/>
      <c r="CZ88" s="166"/>
      <c r="DA88" s="166"/>
      <c r="DB88" s="166"/>
      <c r="DC88" s="166"/>
      <c r="DD88" s="166"/>
      <c r="DE88" s="169"/>
      <c r="DF88" s="182"/>
      <c r="DG88" s="166"/>
      <c r="DH88" s="166"/>
      <c r="DI88" s="166"/>
      <c r="DJ88" s="166"/>
      <c r="DK88" s="166"/>
      <c r="DL88" s="169"/>
      <c r="DM88" s="178"/>
      <c r="DN88" s="166"/>
      <c r="DO88" s="166"/>
      <c r="DP88" s="166"/>
      <c r="DQ88" s="166"/>
      <c r="DR88" s="166"/>
      <c r="DS88" s="183"/>
    </row>
    <row r="89" spans="1:123" ht="14.5" outlineLevel="1" thickBot="1" x14ac:dyDescent="0.35">
      <c r="A89" s="248" t="s">
        <v>239</v>
      </c>
      <c r="B89" s="236" t="s">
        <v>24</v>
      </c>
      <c r="C89" s="235" t="s">
        <v>182</v>
      </c>
      <c r="D89" s="126"/>
      <c r="E89" s="108"/>
      <c r="F89" s="108"/>
      <c r="G89" s="108"/>
      <c r="H89" s="108"/>
      <c r="I89" s="108"/>
      <c r="J89" s="108"/>
      <c r="K89" s="108"/>
      <c r="L89" s="109"/>
      <c r="M89" s="110"/>
      <c r="N89" s="108"/>
      <c r="O89" s="108"/>
      <c r="P89" s="108"/>
      <c r="Q89" s="108"/>
      <c r="R89" s="108"/>
      <c r="S89" s="111"/>
      <c r="T89" s="110"/>
      <c r="U89" s="108"/>
      <c r="V89" s="108"/>
      <c r="W89" s="108"/>
      <c r="X89" s="108"/>
      <c r="Y89" s="112"/>
      <c r="Z89" s="113"/>
      <c r="AA89" s="114"/>
      <c r="AB89" s="112"/>
      <c r="AC89" s="112"/>
      <c r="AD89" s="112"/>
      <c r="AE89" s="112"/>
      <c r="AF89" s="112"/>
      <c r="AG89" s="113"/>
      <c r="AH89" s="115"/>
      <c r="AI89" s="116"/>
      <c r="AJ89" s="112"/>
      <c r="AK89" s="112"/>
      <c r="AL89" s="112"/>
      <c r="AM89" s="112"/>
      <c r="AN89" s="117"/>
      <c r="AO89" s="110"/>
      <c r="AP89" s="108"/>
      <c r="AQ89" s="108"/>
      <c r="AR89" s="108"/>
      <c r="AS89" s="108"/>
      <c r="AT89" s="108"/>
      <c r="AU89" s="111"/>
      <c r="AV89" s="110"/>
      <c r="AW89" s="108"/>
      <c r="AX89" s="108"/>
      <c r="AY89" s="108"/>
      <c r="AZ89" s="108"/>
      <c r="BA89" s="108"/>
      <c r="BB89" s="111"/>
      <c r="BC89" s="110"/>
      <c r="BD89" s="108"/>
      <c r="BE89" s="108"/>
      <c r="BF89" s="108"/>
      <c r="BG89" s="108"/>
      <c r="BH89" s="108"/>
      <c r="BI89" s="111"/>
      <c r="BJ89" s="110"/>
      <c r="BK89" s="108"/>
      <c r="BL89" s="108"/>
      <c r="BM89" s="109"/>
      <c r="BN89" s="124"/>
      <c r="BO89" s="108"/>
      <c r="BP89" s="111"/>
      <c r="BQ89" s="110"/>
      <c r="BR89" s="125"/>
      <c r="BS89" s="108"/>
      <c r="BT89" s="108"/>
      <c r="BU89" s="108"/>
      <c r="BV89" s="108"/>
      <c r="BW89" s="111"/>
      <c r="BX89" s="126"/>
      <c r="BY89" s="108"/>
      <c r="BZ89" s="108"/>
      <c r="CA89" s="108"/>
      <c r="CB89" s="108"/>
      <c r="CC89" s="240"/>
      <c r="CD89" s="241"/>
      <c r="CE89" s="181"/>
      <c r="CF89" s="179"/>
      <c r="CG89" s="179"/>
      <c r="CH89" s="179"/>
      <c r="CI89" s="179"/>
      <c r="CJ89" s="179"/>
      <c r="CK89" s="180"/>
      <c r="CL89" s="168"/>
      <c r="CM89" s="166"/>
      <c r="CN89" s="166"/>
      <c r="CO89" s="242"/>
      <c r="CP89" s="178"/>
      <c r="CQ89" s="166"/>
      <c r="CR89" s="169"/>
      <c r="CS89" s="168"/>
      <c r="CT89" s="166"/>
      <c r="CU89" s="166"/>
      <c r="CV89" s="166"/>
      <c r="CW89" s="166"/>
      <c r="CX89" s="169"/>
      <c r="CY89" s="168"/>
      <c r="CZ89" s="166"/>
      <c r="DA89" s="166"/>
      <c r="DB89" s="166"/>
      <c r="DC89" s="166"/>
      <c r="DD89" s="166"/>
      <c r="DE89" s="169"/>
      <c r="DF89" s="182"/>
      <c r="DG89" s="166"/>
      <c r="DH89" s="166"/>
      <c r="DI89" s="166"/>
      <c r="DJ89" s="166"/>
      <c r="DK89" s="166"/>
      <c r="DL89" s="169"/>
      <c r="DM89" s="178"/>
      <c r="DN89" s="166"/>
      <c r="DO89" s="166"/>
      <c r="DP89" s="166"/>
      <c r="DQ89" s="166"/>
      <c r="DR89" s="166"/>
      <c r="DS89" s="183"/>
    </row>
    <row r="90" spans="1:123" ht="14" x14ac:dyDescent="0.3">
      <c r="A90" s="243" t="s">
        <v>240</v>
      </c>
      <c r="B90" s="244"/>
      <c r="C90" s="244"/>
      <c r="D90" s="36"/>
      <c r="E90" s="37"/>
      <c r="F90" s="37"/>
      <c r="G90" s="37"/>
      <c r="H90" s="37"/>
      <c r="I90" s="37"/>
      <c r="J90" s="37"/>
      <c r="K90" s="37"/>
      <c r="L90" s="38"/>
      <c r="M90" s="39"/>
      <c r="N90" s="37"/>
      <c r="O90" s="37"/>
      <c r="P90" s="37"/>
      <c r="Q90" s="37"/>
      <c r="R90" s="37"/>
      <c r="S90" s="40"/>
      <c r="T90" s="39"/>
      <c r="U90" s="37"/>
      <c r="V90" s="37"/>
      <c r="W90" s="37"/>
      <c r="X90" s="37"/>
      <c r="Y90" s="133"/>
      <c r="Z90" s="134"/>
      <c r="AA90" s="135"/>
      <c r="AB90" s="133"/>
      <c r="AC90" s="133"/>
      <c r="AD90" s="133"/>
      <c r="AE90" s="133"/>
      <c r="AF90" s="133"/>
      <c r="AG90" s="134"/>
      <c r="AH90" s="136"/>
      <c r="AI90" s="137"/>
      <c r="AJ90" s="133"/>
      <c r="AK90" s="133"/>
      <c r="AL90" s="133"/>
      <c r="AM90" s="133"/>
      <c r="AN90" s="138"/>
      <c r="AO90" s="39"/>
      <c r="AP90" s="37"/>
      <c r="AQ90" s="37"/>
      <c r="AR90" s="37"/>
      <c r="AS90" s="37"/>
      <c r="AT90" s="37"/>
      <c r="AU90" s="40"/>
      <c r="AV90" s="39"/>
      <c r="AW90" s="37"/>
      <c r="AX90" s="37"/>
      <c r="AY90" s="37"/>
      <c r="AZ90" s="37"/>
      <c r="BA90" s="37"/>
      <c r="BB90" s="40"/>
      <c r="BC90" s="39"/>
      <c r="BD90" s="37"/>
      <c r="BE90" s="37"/>
      <c r="BF90" s="37"/>
      <c r="BG90" s="37"/>
      <c r="BH90" s="37"/>
      <c r="BI90" s="40"/>
      <c r="BJ90" s="39"/>
      <c r="BK90" s="37"/>
      <c r="BL90" s="37"/>
      <c r="BM90" s="38"/>
      <c r="BN90" s="41"/>
      <c r="BO90" s="37"/>
      <c r="BP90" s="40"/>
      <c r="BQ90" s="39"/>
      <c r="BR90" s="42"/>
      <c r="BS90" s="37"/>
      <c r="BT90" s="37"/>
      <c r="BU90" s="37"/>
      <c r="BV90" s="37"/>
      <c r="BW90" s="40"/>
      <c r="BX90" s="43"/>
      <c r="BY90" s="37"/>
      <c r="BZ90" s="37"/>
      <c r="CA90" s="37"/>
      <c r="CB90" s="37"/>
      <c r="CC90" s="148"/>
      <c r="CD90" s="149"/>
      <c r="CE90" s="150"/>
      <c r="CF90" s="148"/>
      <c r="CG90" s="148"/>
      <c r="CH90" s="148"/>
      <c r="CI90" s="148"/>
      <c r="CJ90" s="148"/>
      <c r="CK90" s="149"/>
      <c r="CL90" s="39"/>
      <c r="CM90" s="37"/>
      <c r="CN90" s="37"/>
      <c r="CO90" s="47"/>
      <c r="CP90" s="43"/>
      <c r="CQ90" s="37"/>
      <c r="CR90" s="40"/>
      <c r="CS90" s="39"/>
      <c r="CT90" s="37"/>
      <c r="CU90" s="37"/>
      <c r="CV90" s="37"/>
      <c r="CW90" s="37"/>
      <c r="CX90" s="40"/>
      <c r="CY90" s="39"/>
      <c r="CZ90" s="37"/>
      <c r="DA90" s="37"/>
      <c r="DB90" s="37"/>
      <c r="DC90" s="37"/>
      <c r="DD90" s="37"/>
      <c r="DE90" s="40"/>
      <c r="DF90" s="48"/>
      <c r="DG90" s="37"/>
      <c r="DH90" s="37"/>
      <c r="DI90" s="37"/>
      <c r="DJ90" s="37"/>
      <c r="DK90" s="37"/>
      <c r="DL90" s="40"/>
      <c r="DM90" s="43"/>
      <c r="DN90" s="37"/>
      <c r="DO90" s="37"/>
      <c r="DP90" s="37"/>
      <c r="DQ90" s="37"/>
      <c r="DR90" s="37"/>
      <c r="DS90" s="49"/>
    </row>
    <row r="91" spans="1:123" ht="14" x14ac:dyDescent="0.3">
      <c r="A91" s="50" t="s">
        <v>241</v>
      </c>
      <c r="B91" s="77" t="s">
        <v>140</v>
      </c>
      <c r="C91" s="106" t="s">
        <v>179</v>
      </c>
      <c r="D91" s="165"/>
      <c r="E91" s="185"/>
      <c r="F91" s="185"/>
      <c r="G91" s="185"/>
      <c r="H91" s="185"/>
      <c r="I91" s="185"/>
      <c r="J91" s="185"/>
      <c r="K91" s="185"/>
      <c r="L91" s="249"/>
      <c r="M91" s="168"/>
      <c r="N91" s="166"/>
      <c r="O91" s="166"/>
      <c r="P91" s="166"/>
      <c r="Q91" s="166"/>
      <c r="R91" s="166"/>
      <c r="S91" s="169"/>
      <c r="T91" s="168"/>
      <c r="U91" s="166"/>
      <c r="V91" s="166"/>
      <c r="W91" s="166"/>
      <c r="X91" s="166"/>
      <c r="Y91" s="170"/>
      <c r="Z91" s="171"/>
      <c r="AA91" s="172"/>
      <c r="AB91" s="170"/>
      <c r="AC91" s="170"/>
      <c r="AD91" s="170"/>
      <c r="AE91" s="170"/>
      <c r="AF91" s="170"/>
      <c r="AG91" s="171"/>
      <c r="AH91" s="173"/>
      <c r="AI91" s="174"/>
      <c r="AJ91" s="170"/>
      <c r="AK91" s="170"/>
      <c r="AL91" s="170"/>
      <c r="AM91" s="170"/>
      <c r="AN91" s="175"/>
      <c r="AO91" s="168"/>
      <c r="AQ91" s="166"/>
      <c r="AR91" s="166"/>
      <c r="AS91" s="166"/>
      <c r="AT91" s="166"/>
      <c r="AU91" s="169"/>
      <c r="AV91" s="168"/>
      <c r="AW91" s="166"/>
      <c r="AX91" s="166"/>
      <c r="AY91" s="166"/>
      <c r="AZ91" s="166"/>
      <c r="BA91" s="166"/>
      <c r="BB91" s="169"/>
      <c r="BC91" s="168"/>
      <c r="BD91" s="166"/>
      <c r="BE91" s="166"/>
      <c r="BF91" s="166"/>
      <c r="BG91" s="166"/>
      <c r="BH91" s="166"/>
      <c r="BI91" s="169"/>
      <c r="BJ91" s="168"/>
      <c r="BK91" s="166"/>
      <c r="BL91" s="166"/>
      <c r="BM91" s="167"/>
      <c r="BN91" s="176"/>
      <c r="BO91" s="166"/>
      <c r="BP91" s="169"/>
      <c r="BQ91" s="168"/>
      <c r="BR91" s="177"/>
      <c r="BS91" s="166"/>
      <c r="BT91" s="166"/>
      <c r="BU91" s="166"/>
      <c r="BV91" s="166"/>
      <c r="BW91" s="169"/>
      <c r="BX91" s="178"/>
      <c r="BY91" s="166"/>
      <c r="BZ91" s="166"/>
      <c r="CA91" s="166"/>
      <c r="CB91" s="166"/>
      <c r="CC91" s="179"/>
      <c r="CD91" s="180"/>
      <c r="CE91" s="181"/>
      <c r="CF91" s="179"/>
      <c r="CG91" s="179"/>
      <c r="CH91" s="179"/>
      <c r="CI91" s="179"/>
      <c r="CJ91" s="179"/>
      <c r="CK91" s="180"/>
      <c r="CL91" s="168"/>
      <c r="CM91" s="166"/>
      <c r="CN91" s="166"/>
      <c r="CO91" s="242"/>
      <c r="CP91" s="178"/>
      <c r="CQ91" s="166"/>
      <c r="CR91" s="169"/>
      <c r="CS91" s="168"/>
      <c r="CT91" s="166"/>
      <c r="CU91" s="166"/>
      <c r="CV91" s="166"/>
      <c r="CW91" s="166"/>
      <c r="CX91" s="169"/>
      <c r="CY91" s="168"/>
      <c r="CZ91" s="166"/>
      <c r="DA91" s="166"/>
      <c r="DB91" s="166"/>
      <c r="DC91" s="166"/>
      <c r="DD91" s="166"/>
      <c r="DE91" s="169"/>
      <c r="DF91" s="182"/>
      <c r="DG91" s="166"/>
      <c r="DH91" s="166"/>
      <c r="DI91" s="166"/>
      <c r="DJ91" s="166"/>
      <c r="DK91" s="166"/>
      <c r="DL91" s="169"/>
      <c r="DM91" s="178"/>
      <c r="DN91" s="166"/>
      <c r="DO91" s="166"/>
      <c r="DP91" s="166"/>
      <c r="DQ91" s="166"/>
      <c r="DR91" s="166"/>
      <c r="DS91" s="183"/>
    </row>
    <row r="92" spans="1:123" ht="14" x14ac:dyDescent="0.3">
      <c r="A92" s="50" t="s">
        <v>242</v>
      </c>
      <c r="B92" s="77" t="s">
        <v>140</v>
      </c>
      <c r="C92" s="106" t="s">
        <v>179</v>
      </c>
      <c r="D92" s="166"/>
      <c r="E92" s="166"/>
      <c r="F92" s="166"/>
      <c r="G92" s="166"/>
      <c r="H92" s="166"/>
      <c r="I92" s="166"/>
      <c r="J92" s="166"/>
      <c r="K92" s="166"/>
      <c r="L92" s="167"/>
      <c r="M92" s="228"/>
      <c r="N92" s="185"/>
      <c r="O92" s="185"/>
      <c r="P92" s="185"/>
      <c r="Q92" s="185"/>
      <c r="R92" s="185"/>
      <c r="S92" s="231"/>
      <c r="T92" s="168"/>
      <c r="U92" s="166"/>
      <c r="V92" s="166"/>
      <c r="W92" s="166"/>
      <c r="X92" s="166"/>
      <c r="Y92" s="170"/>
      <c r="Z92" s="171"/>
      <c r="AA92" s="172"/>
      <c r="AB92" s="170"/>
      <c r="AC92" s="170"/>
      <c r="AD92" s="170"/>
      <c r="AE92" s="170"/>
      <c r="AF92" s="170"/>
      <c r="AG92" s="171"/>
      <c r="AH92" s="173"/>
      <c r="AI92" s="174"/>
      <c r="AJ92" s="170"/>
      <c r="AK92" s="170"/>
      <c r="AL92" s="170"/>
      <c r="AM92" s="170"/>
      <c r="AN92" s="175"/>
      <c r="AO92" s="168"/>
      <c r="AP92" s="166"/>
      <c r="AQ92" s="166"/>
      <c r="AR92" s="166"/>
      <c r="AS92" s="166"/>
      <c r="AT92" s="166"/>
      <c r="AU92" s="169"/>
      <c r="AV92" s="168"/>
      <c r="AW92" s="166"/>
      <c r="AX92" s="166"/>
      <c r="AY92" s="166"/>
      <c r="AZ92" s="166"/>
      <c r="BA92" s="166"/>
      <c r="BB92" s="169"/>
      <c r="BC92" s="168"/>
      <c r="BD92" s="166"/>
      <c r="BE92" s="166"/>
      <c r="BF92" s="166"/>
      <c r="BG92" s="166"/>
      <c r="BH92" s="166"/>
      <c r="BI92" s="169"/>
      <c r="BJ92" s="168"/>
      <c r="BK92" s="166"/>
      <c r="BL92" s="166"/>
      <c r="BM92" s="167"/>
      <c r="BN92" s="176"/>
      <c r="BO92" s="166"/>
      <c r="BP92" s="169"/>
      <c r="BQ92" s="168"/>
      <c r="BR92" s="177"/>
      <c r="BS92" s="166"/>
      <c r="BT92" s="166"/>
      <c r="BU92" s="166"/>
      <c r="BV92" s="166"/>
      <c r="BW92" s="169"/>
      <c r="BX92" s="178"/>
      <c r="BY92" s="166"/>
      <c r="BZ92" s="166"/>
      <c r="CA92" s="166"/>
      <c r="CB92" s="166"/>
      <c r="CC92" s="179"/>
      <c r="CD92" s="180"/>
      <c r="CE92" s="181"/>
      <c r="CF92" s="179"/>
      <c r="CG92" s="179"/>
      <c r="CH92" s="179"/>
      <c r="CI92" s="179"/>
      <c r="CJ92" s="179"/>
      <c r="CK92" s="180"/>
      <c r="CL92" s="168"/>
      <c r="CM92" s="166"/>
      <c r="CN92" s="166"/>
      <c r="CO92" s="242"/>
      <c r="CP92" s="178"/>
      <c r="CQ92" s="166"/>
      <c r="CR92" s="169"/>
      <c r="CS92" s="168"/>
      <c r="CT92" s="166"/>
      <c r="CU92" s="166"/>
      <c r="CV92" s="166"/>
      <c r="CW92" s="166"/>
      <c r="CX92" s="169"/>
      <c r="CY92" s="168"/>
      <c r="CZ92" s="166"/>
      <c r="DA92" s="166"/>
      <c r="DB92" s="166"/>
      <c r="DC92" s="166"/>
      <c r="DD92" s="166"/>
      <c r="DE92" s="169"/>
      <c r="DF92" s="182"/>
      <c r="DG92" s="166"/>
      <c r="DH92" s="166"/>
      <c r="DI92" s="166"/>
      <c r="DJ92" s="166"/>
      <c r="DK92" s="166"/>
      <c r="DL92" s="169"/>
      <c r="DM92" s="178"/>
      <c r="DN92" s="166"/>
      <c r="DO92" s="166"/>
      <c r="DP92" s="166"/>
      <c r="DQ92" s="166"/>
      <c r="DR92" s="166"/>
      <c r="DS92" s="183"/>
    </row>
    <row r="93" spans="1:123" ht="14" x14ac:dyDescent="0.3">
      <c r="A93" s="50" t="s">
        <v>243</v>
      </c>
      <c r="B93" s="77" t="s">
        <v>140</v>
      </c>
      <c r="C93" s="250" t="s">
        <v>179</v>
      </c>
      <c r="D93" s="126"/>
      <c r="E93" s="108"/>
      <c r="F93" s="108"/>
      <c r="G93" s="108"/>
      <c r="H93" s="108"/>
      <c r="I93" s="108"/>
      <c r="J93" s="108"/>
      <c r="K93" s="108"/>
      <c r="L93" s="109"/>
      <c r="M93" s="121"/>
      <c r="N93" s="122"/>
      <c r="O93" s="122"/>
      <c r="P93" s="122"/>
      <c r="Q93" s="122"/>
      <c r="R93" s="122"/>
      <c r="S93" s="143"/>
      <c r="T93" s="110"/>
      <c r="U93" s="108"/>
      <c r="V93" s="108"/>
      <c r="W93" s="108"/>
      <c r="X93" s="108"/>
      <c r="Y93" s="112"/>
      <c r="Z93" s="113"/>
      <c r="AA93" s="114"/>
      <c r="AB93" s="112"/>
      <c r="AC93" s="112"/>
      <c r="AD93" s="112"/>
      <c r="AE93" s="112"/>
      <c r="AF93" s="112"/>
      <c r="AG93" s="113"/>
      <c r="AH93" s="115"/>
      <c r="AI93" s="116"/>
      <c r="AJ93" s="112"/>
      <c r="AK93" s="112"/>
      <c r="AL93" s="112"/>
      <c r="AM93" s="112"/>
      <c r="AN93" s="117"/>
      <c r="AO93" s="110"/>
      <c r="AP93" s="123"/>
      <c r="AQ93" s="108"/>
      <c r="AR93" s="108"/>
      <c r="AS93" s="108"/>
      <c r="AT93" s="108"/>
      <c r="AU93" s="111"/>
      <c r="AV93" s="110"/>
      <c r="AW93" s="108"/>
      <c r="AX93" s="108"/>
      <c r="AY93" s="108"/>
      <c r="AZ93" s="108"/>
      <c r="BA93" s="108"/>
      <c r="BB93" s="111"/>
      <c r="BC93" s="110"/>
      <c r="BD93" s="108"/>
      <c r="BE93" s="108"/>
      <c r="BF93" s="108"/>
      <c r="BG93" s="108"/>
      <c r="BH93" s="108"/>
      <c r="BI93" s="111"/>
      <c r="BJ93" s="168"/>
      <c r="BK93" s="166"/>
      <c r="BL93" s="166"/>
      <c r="BM93" s="167"/>
      <c r="BN93" s="176"/>
      <c r="BO93" s="166"/>
      <c r="BP93" s="169"/>
      <c r="BQ93" s="168"/>
      <c r="BR93" s="177"/>
      <c r="BS93" s="166"/>
      <c r="BT93" s="166"/>
      <c r="BU93" s="166"/>
      <c r="BV93" s="166"/>
      <c r="BW93" s="169"/>
      <c r="BX93" s="178"/>
      <c r="BY93" s="166"/>
      <c r="BZ93" s="166"/>
      <c r="CA93" s="166"/>
      <c r="CB93" s="166"/>
      <c r="CC93" s="179"/>
      <c r="CD93" s="180"/>
      <c r="CE93" s="181"/>
      <c r="CF93" s="179"/>
      <c r="CG93" s="179"/>
      <c r="CH93" s="179"/>
      <c r="CI93" s="179"/>
      <c r="CJ93" s="179"/>
      <c r="CK93" s="180"/>
      <c r="CL93" s="168"/>
      <c r="CM93" s="166"/>
      <c r="CN93" s="166"/>
      <c r="CO93" s="242"/>
      <c r="CP93" s="178"/>
      <c r="CQ93" s="166"/>
      <c r="CR93" s="169"/>
      <c r="CS93" s="168"/>
      <c r="CT93" s="166"/>
      <c r="CU93" s="166"/>
      <c r="CV93" s="166"/>
      <c r="CW93" s="166"/>
      <c r="CX93" s="169"/>
      <c r="CY93" s="168"/>
      <c r="CZ93" s="166"/>
      <c r="DA93" s="166"/>
      <c r="DB93" s="166"/>
      <c r="DC93" s="166"/>
      <c r="DD93" s="166"/>
      <c r="DE93" s="169"/>
      <c r="DF93" s="182"/>
      <c r="DG93" s="166"/>
      <c r="DH93" s="166"/>
      <c r="DI93" s="166"/>
      <c r="DJ93" s="166"/>
      <c r="DK93" s="166"/>
      <c r="DL93" s="169"/>
      <c r="DM93" s="178"/>
      <c r="DN93" s="166"/>
      <c r="DO93" s="166"/>
      <c r="DP93" s="166"/>
      <c r="DQ93" s="166"/>
      <c r="DR93" s="166"/>
      <c r="DS93" s="183"/>
    </row>
    <row r="94" spans="1:123" ht="14" x14ac:dyDescent="0.3">
      <c r="A94" s="50" t="s">
        <v>244</v>
      </c>
      <c r="B94" s="77" t="s">
        <v>140</v>
      </c>
      <c r="C94" s="251" t="s">
        <v>179</v>
      </c>
      <c r="D94" s="252"/>
      <c r="E94" s="253"/>
      <c r="F94" s="253"/>
      <c r="G94" s="253"/>
      <c r="H94" s="253"/>
      <c r="I94" s="253"/>
      <c r="J94" s="253"/>
      <c r="K94" s="253"/>
      <c r="L94" s="254"/>
      <c r="M94" s="255"/>
      <c r="N94" s="253"/>
      <c r="O94" s="253"/>
      <c r="P94" s="253"/>
      <c r="Q94" s="253"/>
      <c r="R94" s="253"/>
      <c r="S94" s="256"/>
      <c r="T94" s="255"/>
      <c r="U94" s="253"/>
      <c r="V94" s="253"/>
      <c r="W94" s="253"/>
      <c r="X94" s="253"/>
      <c r="Y94" s="257"/>
      <c r="Z94" s="258"/>
      <c r="AA94" s="259"/>
      <c r="AB94" s="257"/>
      <c r="AC94" s="257"/>
      <c r="AD94" s="257"/>
      <c r="AE94" s="257"/>
      <c r="AF94" s="257"/>
      <c r="AG94" s="258"/>
      <c r="AH94" s="260"/>
      <c r="AI94" s="261"/>
      <c r="AJ94" s="257"/>
      <c r="AK94" s="257"/>
      <c r="AL94" s="257"/>
      <c r="AM94" s="257"/>
      <c r="AN94" s="262"/>
      <c r="AO94" s="255"/>
      <c r="AP94" s="253"/>
      <c r="AQ94" s="263"/>
      <c r="AR94" s="263"/>
      <c r="AS94" s="263"/>
      <c r="AT94" s="263"/>
      <c r="AU94" s="264"/>
      <c r="AV94" s="265"/>
      <c r="AW94" s="263"/>
      <c r="AX94" s="253"/>
      <c r="AY94" s="253"/>
      <c r="AZ94" s="253"/>
      <c r="BA94" s="253"/>
      <c r="BB94" s="256"/>
      <c r="BC94" s="255"/>
      <c r="BD94" s="253"/>
      <c r="BE94" s="253"/>
      <c r="BF94" s="253"/>
      <c r="BG94" s="253"/>
      <c r="BH94" s="253"/>
      <c r="BI94" s="169"/>
      <c r="BJ94" s="168"/>
      <c r="BK94" s="166"/>
      <c r="BL94" s="166"/>
      <c r="BM94" s="167"/>
      <c r="BN94" s="176"/>
      <c r="BO94" s="166"/>
      <c r="BP94" s="169"/>
      <c r="BQ94" s="168"/>
      <c r="BR94" s="177"/>
      <c r="BS94" s="166"/>
      <c r="BT94" s="166"/>
      <c r="BU94" s="166"/>
      <c r="BV94" s="166"/>
      <c r="BW94" s="169"/>
      <c r="BX94" s="178"/>
      <c r="BY94" s="166"/>
      <c r="BZ94" s="166"/>
      <c r="CA94" s="166"/>
      <c r="CB94" s="166"/>
      <c r="CC94" s="179"/>
      <c r="CD94" s="180"/>
      <c r="CE94" s="181"/>
      <c r="CF94" s="179"/>
      <c r="CG94" s="179"/>
      <c r="CH94" s="179"/>
      <c r="CI94" s="179"/>
      <c r="CJ94" s="179"/>
      <c r="CK94" s="180"/>
      <c r="CL94" s="168"/>
      <c r="CM94" s="166"/>
      <c r="CN94" s="166"/>
      <c r="CO94" s="242"/>
      <c r="CP94" s="178"/>
      <c r="CQ94" s="166"/>
      <c r="CR94" s="169"/>
      <c r="CS94" s="168"/>
      <c r="CT94" s="166"/>
      <c r="CU94" s="166"/>
      <c r="CV94" s="166"/>
      <c r="CW94" s="166"/>
      <c r="CX94" s="169"/>
      <c r="CY94" s="168"/>
      <c r="CZ94" s="166"/>
      <c r="DA94" s="166"/>
      <c r="DB94" s="166"/>
      <c r="DC94" s="166"/>
      <c r="DD94" s="166"/>
      <c r="DE94" s="169"/>
      <c r="DF94" s="182"/>
      <c r="DG94" s="166"/>
      <c r="DH94" s="166"/>
      <c r="DI94" s="166"/>
      <c r="DJ94" s="166"/>
      <c r="DK94" s="166"/>
      <c r="DL94" s="169"/>
      <c r="DM94" s="178"/>
      <c r="DN94" s="166"/>
      <c r="DO94" s="166"/>
      <c r="DP94" s="166"/>
      <c r="DQ94" s="166"/>
      <c r="DR94" s="166"/>
      <c r="DS94" s="183"/>
    </row>
    <row r="95" spans="1:123" ht="14.5" thickBot="1" x14ac:dyDescent="0.35">
      <c r="A95" s="156" t="s">
        <v>245</v>
      </c>
      <c r="B95" s="51" t="s">
        <v>140</v>
      </c>
      <c r="C95" s="266" t="s">
        <v>179</v>
      </c>
      <c r="D95" s="267"/>
      <c r="E95" s="268"/>
      <c r="F95" s="108"/>
      <c r="G95" s="108"/>
      <c r="H95" s="108"/>
      <c r="I95" s="108"/>
      <c r="J95" s="108"/>
      <c r="K95" s="108"/>
      <c r="L95" s="109"/>
      <c r="M95" s="110"/>
      <c r="N95" s="108"/>
      <c r="O95" s="108"/>
      <c r="P95" s="108"/>
      <c r="Q95" s="108"/>
      <c r="R95" s="108"/>
      <c r="S95" s="111"/>
      <c r="T95" s="110"/>
      <c r="U95" s="108"/>
      <c r="V95" s="108"/>
      <c r="W95" s="108"/>
      <c r="X95" s="108"/>
      <c r="Y95" s="112"/>
      <c r="Z95" s="113"/>
      <c r="AA95" s="114"/>
      <c r="AB95" s="112"/>
      <c r="AC95" s="112"/>
      <c r="AD95" s="112"/>
      <c r="AE95" s="112"/>
      <c r="AF95" s="112"/>
      <c r="AG95" s="113"/>
      <c r="AH95" s="115"/>
      <c r="AI95" s="116"/>
      <c r="AJ95" s="112"/>
      <c r="AK95" s="112"/>
      <c r="AL95" s="112"/>
      <c r="AM95" s="112"/>
      <c r="AN95" s="117"/>
      <c r="AO95" s="110"/>
      <c r="AP95" s="108"/>
      <c r="AQ95" s="108"/>
      <c r="AR95" s="108"/>
      <c r="AS95" s="108"/>
      <c r="AT95" s="108"/>
      <c r="AU95" s="111"/>
      <c r="AV95" s="110"/>
      <c r="AW95" s="108"/>
      <c r="AX95" s="269"/>
      <c r="AY95" s="122"/>
      <c r="AZ95" s="108"/>
      <c r="BA95" s="108"/>
      <c r="BB95" s="111"/>
      <c r="BC95" s="110"/>
      <c r="BD95" s="108"/>
      <c r="BE95" s="108"/>
      <c r="BF95" s="108"/>
      <c r="BG95" s="108"/>
      <c r="BH95" s="108"/>
      <c r="BI95" s="111"/>
      <c r="BJ95" s="168"/>
      <c r="BK95" s="166"/>
      <c r="BL95" s="166"/>
      <c r="BM95" s="167"/>
      <c r="BN95" s="176"/>
      <c r="BO95" s="166"/>
      <c r="BP95" s="169"/>
      <c r="BQ95" s="168"/>
      <c r="BR95" s="177"/>
      <c r="BS95" s="166"/>
      <c r="BT95" s="166"/>
      <c r="BU95" s="166"/>
      <c r="BV95" s="166"/>
      <c r="BW95" s="169"/>
      <c r="BX95" s="178"/>
      <c r="BY95" s="166"/>
      <c r="BZ95" s="166"/>
      <c r="CA95" s="166"/>
      <c r="CB95" s="166"/>
      <c r="CC95" s="179"/>
      <c r="CD95" s="180"/>
      <c r="CE95" s="181"/>
      <c r="CF95" s="179"/>
      <c r="CG95" s="179"/>
      <c r="CH95" s="179"/>
      <c r="CI95" s="179"/>
      <c r="CJ95" s="179"/>
      <c r="CK95" s="180"/>
      <c r="CL95" s="168"/>
      <c r="CM95" s="166"/>
      <c r="CN95" s="166"/>
      <c r="CO95" s="242"/>
      <c r="CP95" s="178"/>
      <c r="CQ95" s="166"/>
      <c r="CR95" s="169"/>
      <c r="CS95" s="168"/>
      <c r="CT95" s="166"/>
      <c r="CU95" s="166"/>
      <c r="CV95" s="166"/>
      <c r="CW95" s="166"/>
      <c r="CX95" s="169"/>
      <c r="CY95" s="168"/>
      <c r="CZ95" s="166"/>
      <c r="DA95" s="166"/>
      <c r="DB95" s="166"/>
      <c r="DC95" s="166"/>
      <c r="DD95" s="166"/>
      <c r="DE95" s="169"/>
      <c r="DF95" s="182"/>
      <c r="DG95" s="166"/>
      <c r="DH95" s="166"/>
      <c r="DI95" s="166"/>
      <c r="DJ95" s="166"/>
      <c r="DK95" s="166"/>
      <c r="DL95" s="169"/>
      <c r="DM95" s="178"/>
      <c r="DN95" s="166"/>
      <c r="DO95" s="166"/>
      <c r="DP95" s="166"/>
      <c r="DQ95" s="166"/>
      <c r="DR95" s="166"/>
      <c r="DS95" s="183"/>
    </row>
    <row r="96" spans="1:123" ht="14" x14ac:dyDescent="0.3">
      <c r="A96" s="50" t="s">
        <v>246</v>
      </c>
      <c r="B96" s="51" t="s">
        <v>140</v>
      </c>
      <c r="C96" s="389" t="s">
        <v>254</v>
      </c>
      <c r="D96" s="270"/>
      <c r="E96" s="271"/>
      <c r="F96" s="271"/>
      <c r="G96" s="271"/>
      <c r="H96" s="271"/>
      <c r="I96" s="271"/>
      <c r="J96" s="271"/>
      <c r="K96" s="271"/>
      <c r="L96" s="272"/>
      <c r="M96" s="273"/>
      <c r="N96" s="271"/>
      <c r="O96" s="271"/>
      <c r="P96" s="271"/>
      <c r="Q96" s="271"/>
      <c r="R96" s="271"/>
      <c r="S96" s="274"/>
      <c r="T96" s="273"/>
      <c r="U96" s="271"/>
      <c r="V96" s="271"/>
      <c r="W96" s="271"/>
      <c r="X96" s="271"/>
      <c r="Y96" s="257"/>
      <c r="Z96" s="258"/>
      <c r="AA96" s="259"/>
      <c r="AB96" s="257"/>
      <c r="AC96" s="257"/>
      <c r="AD96" s="257"/>
      <c r="AE96" s="257"/>
      <c r="AF96" s="257"/>
      <c r="AG96" s="258"/>
      <c r="AH96" s="260"/>
      <c r="AI96" s="261"/>
      <c r="AJ96" s="257"/>
      <c r="AK96" s="257"/>
      <c r="AL96" s="257"/>
      <c r="AM96" s="257"/>
      <c r="AN96" s="262"/>
      <c r="AO96" s="273"/>
      <c r="AP96" s="271"/>
      <c r="AQ96" s="271"/>
      <c r="AR96" s="271"/>
      <c r="AS96" s="271"/>
      <c r="AT96" s="271"/>
      <c r="AU96" s="274"/>
      <c r="AV96" s="273"/>
      <c r="AW96" s="271"/>
      <c r="AX96" s="271"/>
      <c r="AY96" s="275"/>
      <c r="AZ96" s="275"/>
      <c r="BA96" s="275"/>
      <c r="BB96" s="276"/>
      <c r="BC96" s="277"/>
      <c r="BD96" s="275"/>
      <c r="BE96" s="275"/>
      <c r="BF96" s="275"/>
      <c r="BG96" s="275"/>
      <c r="BH96" s="275"/>
      <c r="BI96" s="278"/>
      <c r="BJ96" s="168"/>
      <c r="BK96" s="166"/>
      <c r="BL96" s="166"/>
      <c r="BM96" s="167"/>
      <c r="BN96" s="176"/>
      <c r="BO96" s="166"/>
      <c r="BP96" s="169"/>
      <c r="BQ96" s="168"/>
      <c r="BR96" s="177"/>
      <c r="BS96" s="166"/>
      <c r="BT96" s="166"/>
      <c r="BU96" s="166"/>
      <c r="BV96" s="166"/>
      <c r="BW96" s="169"/>
      <c r="BX96" s="178"/>
      <c r="BY96" s="166"/>
      <c r="BZ96" s="166"/>
      <c r="CA96" s="166"/>
      <c r="CB96" s="166"/>
      <c r="CC96" s="240"/>
      <c r="CD96" s="241"/>
      <c r="CE96" s="239"/>
      <c r="CF96" s="240"/>
      <c r="CG96" s="240"/>
      <c r="CH96" s="240"/>
      <c r="CI96" s="240"/>
      <c r="CJ96" s="240"/>
      <c r="CK96" s="241"/>
      <c r="CL96" s="168"/>
      <c r="CM96" s="166"/>
      <c r="CN96" s="166"/>
      <c r="CO96" s="242"/>
      <c r="CP96" s="178"/>
      <c r="CQ96" s="166"/>
      <c r="CR96" s="169"/>
      <c r="CS96" s="168"/>
      <c r="CT96" s="166"/>
      <c r="CU96" s="166"/>
      <c r="CV96" s="166"/>
      <c r="CW96" s="166"/>
      <c r="CX96" s="169"/>
      <c r="CY96" s="168"/>
      <c r="CZ96" s="166"/>
      <c r="DA96" s="166"/>
      <c r="DB96" s="166"/>
      <c r="DC96" s="166"/>
      <c r="DD96" s="166"/>
      <c r="DE96" s="169"/>
      <c r="DF96" s="182"/>
      <c r="DG96" s="166"/>
      <c r="DH96" s="166"/>
      <c r="DI96" s="166"/>
      <c r="DJ96" s="166"/>
      <c r="DK96" s="166"/>
      <c r="DL96" s="169"/>
      <c r="DM96" s="178"/>
      <c r="DN96" s="166"/>
      <c r="DO96" s="166"/>
      <c r="DP96" s="166"/>
      <c r="DQ96" s="166"/>
      <c r="DR96" s="166"/>
      <c r="DS96" s="183"/>
    </row>
    <row r="97" spans="1:123" ht="14" x14ac:dyDescent="0.3">
      <c r="A97" s="220" t="s">
        <v>237</v>
      </c>
      <c r="B97" s="51" t="s">
        <v>140</v>
      </c>
      <c r="C97" s="279" t="s">
        <v>182</v>
      </c>
      <c r="D97" s="280"/>
      <c r="E97" s="281"/>
      <c r="F97" s="281"/>
      <c r="G97" s="281"/>
      <c r="H97" s="281"/>
      <c r="I97" s="281"/>
      <c r="J97" s="281"/>
      <c r="K97" s="281"/>
      <c r="L97" s="282"/>
      <c r="M97" s="283"/>
      <c r="N97" s="281"/>
      <c r="O97" s="281"/>
      <c r="P97" s="281"/>
      <c r="Q97" s="281"/>
      <c r="R97" s="281"/>
      <c r="S97" s="284"/>
      <c r="T97" s="283"/>
      <c r="U97" s="281"/>
      <c r="V97" s="281"/>
      <c r="W97" s="281"/>
      <c r="X97" s="281"/>
      <c r="Y97" s="112"/>
      <c r="Z97" s="113"/>
      <c r="AA97" s="114"/>
      <c r="AB97" s="112"/>
      <c r="AC97" s="112"/>
      <c r="AD97" s="112"/>
      <c r="AE97" s="112"/>
      <c r="AF97" s="112"/>
      <c r="AG97" s="113"/>
      <c r="AH97" s="115"/>
      <c r="AI97" s="116"/>
      <c r="AJ97" s="112"/>
      <c r="AK97" s="112"/>
      <c r="AL97" s="112"/>
      <c r="AM97" s="112"/>
      <c r="AN97" s="117"/>
      <c r="AO97" s="283"/>
      <c r="AP97" s="281"/>
      <c r="AQ97" s="281"/>
      <c r="AR97" s="281"/>
      <c r="AS97" s="281"/>
      <c r="AT97" s="281"/>
      <c r="AU97" s="284"/>
      <c r="AV97" s="283"/>
      <c r="AW97" s="281"/>
      <c r="AX97" s="281"/>
      <c r="AY97" s="281"/>
      <c r="AZ97" s="281"/>
      <c r="BA97" s="281"/>
      <c r="BB97" s="284"/>
      <c r="BC97" s="283"/>
      <c r="BD97" s="281"/>
      <c r="BE97" s="281"/>
      <c r="BF97" s="281"/>
      <c r="BG97" s="281"/>
      <c r="BH97" s="281"/>
      <c r="BI97" s="285"/>
      <c r="BJ97" s="168"/>
      <c r="BK97" s="166"/>
      <c r="BL97" s="166"/>
      <c r="BM97" s="167"/>
      <c r="BN97" s="176"/>
      <c r="BO97" s="166"/>
      <c r="BP97" s="169"/>
      <c r="BQ97" s="168"/>
      <c r="BR97" s="177"/>
      <c r="BS97" s="166"/>
      <c r="BT97" s="166"/>
      <c r="BU97" s="166"/>
      <c r="BV97" s="166"/>
      <c r="BW97" s="169"/>
      <c r="BX97" s="178"/>
      <c r="BY97" s="166"/>
      <c r="BZ97" s="166"/>
      <c r="CA97" s="166"/>
      <c r="CB97" s="166"/>
      <c r="CC97" s="240"/>
      <c r="CD97" s="241"/>
      <c r="CE97" s="239"/>
      <c r="CF97" s="240"/>
      <c r="CG97" s="240"/>
      <c r="CH97" s="240"/>
      <c r="CI97" s="240"/>
      <c r="CJ97" s="240"/>
      <c r="CK97" s="241"/>
      <c r="CL97" s="168"/>
      <c r="CM97" s="166"/>
      <c r="CN97" s="166"/>
      <c r="CO97" s="242"/>
      <c r="CP97" s="178"/>
      <c r="CQ97" s="166"/>
      <c r="CR97" s="169"/>
      <c r="CS97" s="168"/>
      <c r="CT97" s="166"/>
      <c r="CU97" s="166"/>
      <c r="CV97" s="166"/>
      <c r="CW97" s="166"/>
      <c r="CX97" s="169"/>
      <c r="CY97" s="168"/>
      <c r="CZ97" s="166"/>
      <c r="DA97" s="166"/>
      <c r="DB97" s="166"/>
      <c r="DC97" s="166"/>
      <c r="DD97" s="166"/>
      <c r="DE97" s="169"/>
      <c r="DF97" s="182"/>
      <c r="DG97" s="166"/>
      <c r="DH97" s="166"/>
      <c r="DI97" s="166"/>
      <c r="DJ97" s="166"/>
      <c r="DK97" s="166"/>
      <c r="DL97" s="169"/>
      <c r="DM97" s="178"/>
      <c r="DN97" s="166"/>
      <c r="DO97" s="166"/>
      <c r="DP97" s="166"/>
      <c r="DQ97" s="166"/>
      <c r="DR97" s="166"/>
      <c r="DS97" s="183"/>
    </row>
    <row r="98" spans="1:123" ht="14.5" outlineLevel="1" thickBot="1" x14ac:dyDescent="0.35">
      <c r="A98" s="156" t="s">
        <v>247</v>
      </c>
      <c r="B98" s="328" t="s">
        <v>140</v>
      </c>
      <c r="C98" s="286" t="s">
        <v>182</v>
      </c>
      <c r="D98" s="287"/>
      <c r="E98" s="288"/>
      <c r="F98" s="288"/>
      <c r="G98" s="288"/>
      <c r="H98" s="288"/>
      <c r="I98" s="288"/>
      <c r="J98" s="288"/>
      <c r="K98" s="288"/>
      <c r="L98" s="289"/>
      <c r="M98" s="290"/>
      <c r="N98" s="288"/>
      <c r="O98" s="288"/>
      <c r="P98" s="288"/>
      <c r="Q98" s="288"/>
      <c r="R98" s="288"/>
      <c r="S98" s="291"/>
      <c r="T98" s="290"/>
      <c r="U98" s="288"/>
      <c r="V98" s="288"/>
      <c r="W98" s="288"/>
      <c r="X98" s="288"/>
      <c r="Y98" s="257"/>
      <c r="Z98" s="258"/>
      <c r="AA98" s="259"/>
      <c r="AB98" s="257"/>
      <c r="AC98" s="257"/>
      <c r="AD98" s="257"/>
      <c r="AE98" s="257"/>
      <c r="AF98" s="257"/>
      <c r="AG98" s="258"/>
      <c r="AH98" s="260"/>
      <c r="AI98" s="261"/>
      <c r="AJ98" s="257"/>
      <c r="AK98" s="257"/>
      <c r="AL98" s="112"/>
      <c r="AM98" s="112"/>
      <c r="AN98" s="117"/>
      <c r="AO98" s="290"/>
      <c r="AP98" s="288"/>
      <c r="AQ98" s="288"/>
      <c r="AR98" s="288"/>
      <c r="AS98" s="288"/>
      <c r="AT98" s="288"/>
      <c r="AU98" s="291"/>
      <c r="AV98" s="290"/>
      <c r="AW98" s="288"/>
      <c r="AX98" s="288"/>
      <c r="AY98" s="288"/>
      <c r="AZ98" s="288"/>
      <c r="BA98" s="288"/>
      <c r="BB98" s="291"/>
      <c r="BC98" s="290"/>
      <c r="BD98" s="288"/>
      <c r="BE98" s="288"/>
      <c r="BF98" s="288"/>
      <c r="BG98" s="288"/>
      <c r="BH98" s="288"/>
      <c r="BI98" s="291"/>
      <c r="BJ98" s="290"/>
      <c r="BK98" s="288"/>
      <c r="BL98" s="288"/>
      <c r="BM98" s="109"/>
      <c r="BN98" s="124"/>
      <c r="BO98" s="288"/>
      <c r="BP98" s="291"/>
      <c r="BQ98" s="290"/>
      <c r="BR98" s="292"/>
      <c r="BS98" s="288"/>
      <c r="BT98" s="288"/>
      <c r="BU98" s="288"/>
      <c r="BV98" s="288"/>
      <c r="BW98" s="291"/>
      <c r="BX98" s="290"/>
      <c r="BY98" s="288"/>
      <c r="BZ98" s="288"/>
      <c r="CA98" s="288"/>
      <c r="CB98" s="288"/>
      <c r="CC98" s="293"/>
      <c r="CD98" s="294"/>
      <c r="CE98" s="295"/>
      <c r="CF98" s="293"/>
      <c r="CG98" s="293"/>
      <c r="CH98" s="293"/>
      <c r="CI98" s="293"/>
      <c r="CJ98" s="293"/>
      <c r="CK98" s="294"/>
      <c r="CL98" s="168"/>
      <c r="CM98" s="166"/>
      <c r="CN98" s="166"/>
      <c r="CO98" s="242"/>
      <c r="CP98" s="178"/>
      <c r="CQ98" s="166"/>
      <c r="CR98" s="169"/>
      <c r="CS98" s="168"/>
      <c r="CT98" s="166"/>
      <c r="CU98" s="166"/>
      <c r="CV98" s="166"/>
      <c r="CW98" s="166"/>
      <c r="CX98" s="169"/>
      <c r="CY98" s="168"/>
      <c r="CZ98" s="166"/>
      <c r="DA98" s="166"/>
      <c r="DB98" s="166"/>
      <c r="DC98" s="166"/>
      <c r="DD98" s="166"/>
      <c r="DE98" s="169"/>
      <c r="DF98" s="182"/>
      <c r="DG98" s="166"/>
      <c r="DH98" s="166"/>
      <c r="DI98" s="166"/>
      <c r="DJ98" s="166"/>
      <c r="DK98" s="166"/>
      <c r="DL98" s="169"/>
      <c r="DM98" s="178"/>
      <c r="DN98" s="166"/>
      <c r="DO98" s="166"/>
      <c r="DP98" s="166"/>
      <c r="DQ98" s="166"/>
      <c r="DR98" s="166"/>
      <c r="DS98" s="183"/>
    </row>
    <row r="99" spans="1:123" ht="14" outlineLevel="1" x14ac:dyDescent="0.3">
      <c r="A99" s="317" t="s">
        <v>261</v>
      </c>
      <c r="B99" s="329"/>
      <c r="C99" s="321"/>
      <c r="D99" s="126"/>
      <c r="E99" s="108"/>
      <c r="F99" s="108"/>
      <c r="G99" s="108"/>
      <c r="H99" s="108"/>
      <c r="I99" s="108"/>
      <c r="J99" s="108"/>
      <c r="K99" s="108"/>
      <c r="L99" s="109"/>
      <c r="M99" s="110"/>
      <c r="N99" s="108"/>
      <c r="O99" s="108"/>
      <c r="P99" s="108"/>
      <c r="Q99" s="108"/>
      <c r="R99" s="108"/>
      <c r="S99" s="111"/>
      <c r="T99" s="110"/>
      <c r="U99" s="108"/>
      <c r="V99" s="108"/>
      <c r="W99" s="108"/>
      <c r="X99" s="108"/>
      <c r="Y99" s="170"/>
      <c r="Z99" s="171"/>
      <c r="AA99" s="172"/>
      <c r="AB99" s="170"/>
      <c r="AC99" s="170"/>
      <c r="AD99" s="170"/>
      <c r="AE99" s="170"/>
      <c r="AF99" s="170"/>
      <c r="AG99" s="171"/>
      <c r="AH99" s="173"/>
      <c r="AI99" s="174"/>
      <c r="AJ99" s="170"/>
      <c r="AK99" s="170"/>
      <c r="AL99" s="112"/>
      <c r="AM99" s="112"/>
      <c r="AN99" s="117"/>
      <c r="AO99" s="110"/>
      <c r="AP99" s="108"/>
      <c r="AQ99" s="108"/>
      <c r="AR99" s="108"/>
      <c r="AS99" s="108"/>
      <c r="AT99" s="108"/>
      <c r="AU99" s="111"/>
      <c r="AV99" s="110"/>
      <c r="AW99" s="108"/>
      <c r="AX99" s="108"/>
      <c r="AY99" s="108"/>
      <c r="AZ99" s="108"/>
      <c r="BA99" s="108"/>
      <c r="BB99" s="111"/>
      <c r="BC99" s="110"/>
      <c r="BD99" s="108"/>
      <c r="BE99" s="108"/>
      <c r="BF99" s="108"/>
      <c r="BG99" s="108"/>
      <c r="BH99" s="108"/>
      <c r="BI99" s="111"/>
      <c r="BJ99" s="110"/>
      <c r="BK99" s="108"/>
      <c r="BL99" s="108"/>
      <c r="BM99" s="109"/>
      <c r="BN99" s="124"/>
      <c r="BO99" s="108"/>
      <c r="BP99" s="111"/>
      <c r="BQ99" s="110"/>
      <c r="BR99" s="125"/>
      <c r="BS99" s="108"/>
      <c r="BT99" s="108"/>
      <c r="BU99" s="108"/>
      <c r="BV99" s="108"/>
      <c r="BW99" s="111"/>
      <c r="BX99" s="126"/>
      <c r="BY99" s="108"/>
      <c r="BZ99" s="108"/>
      <c r="CA99" s="108"/>
      <c r="CB99" s="108"/>
      <c r="CC99" s="240"/>
      <c r="CD99" s="241"/>
      <c r="CE99" s="239"/>
      <c r="CF99" s="240"/>
      <c r="CG99" s="240"/>
      <c r="CH99" s="240"/>
      <c r="CI99" s="240"/>
      <c r="CJ99" s="240"/>
      <c r="CK99" s="241"/>
      <c r="CL99" s="168"/>
      <c r="CM99" s="166"/>
      <c r="CN99" s="166"/>
      <c r="CO99" s="242"/>
      <c r="CP99" s="178"/>
      <c r="CQ99" s="166"/>
      <c r="CR99" s="169"/>
      <c r="CS99" s="168"/>
      <c r="CT99" s="166"/>
      <c r="CU99" s="166"/>
      <c r="CV99" s="166"/>
      <c r="CW99" s="166"/>
      <c r="CX99" s="169"/>
      <c r="CY99" s="168"/>
      <c r="CZ99" s="166"/>
      <c r="DA99" s="166"/>
      <c r="DB99" s="166"/>
      <c r="DC99" s="166"/>
      <c r="DD99" s="166"/>
      <c r="DE99" s="169"/>
      <c r="DF99" s="182"/>
      <c r="DG99" s="166"/>
      <c r="DH99" s="166"/>
      <c r="DI99" s="166"/>
      <c r="DJ99" s="166"/>
      <c r="DK99" s="166"/>
      <c r="DL99" s="169"/>
      <c r="DM99" s="178"/>
      <c r="DN99" s="166"/>
      <c r="DO99" s="166"/>
      <c r="DP99" s="166"/>
      <c r="DQ99" s="166"/>
      <c r="DR99" s="166"/>
      <c r="DS99" s="183"/>
    </row>
    <row r="100" spans="1:123" ht="14" outlineLevel="1" x14ac:dyDescent="0.3">
      <c r="A100" s="335" t="s">
        <v>264</v>
      </c>
      <c r="B100" s="330" t="s">
        <v>107</v>
      </c>
      <c r="C100" s="322" t="s">
        <v>179</v>
      </c>
      <c r="D100" s="126"/>
      <c r="E100" s="108"/>
      <c r="F100" s="108"/>
      <c r="G100" s="108"/>
      <c r="H100" s="108"/>
      <c r="I100" s="108"/>
      <c r="J100" s="108"/>
      <c r="K100" s="108"/>
      <c r="L100" s="109"/>
      <c r="M100" s="110"/>
      <c r="N100" s="108"/>
      <c r="O100" s="108"/>
      <c r="P100" s="108"/>
      <c r="Q100" s="108"/>
      <c r="R100" s="108"/>
      <c r="S100" s="111"/>
      <c r="T100" s="110"/>
      <c r="U100" s="108"/>
      <c r="V100" s="108"/>
      <c r="W100" s="108"/>
      <c r="X100" s="108"/>
      <c r="Y100" s="170"/>
      <c r="Z100" s="171"/>
      <c r="AA100" s="172"/>
      <c r="AB100" s="170"/>
      <c r="AC100" s="170"/>
      <c r="AD100" s="170"/>
      <c r="AE100" s="170"/>
      <c r="AF100" s="170"/>
      <c r="AG100" s="171"/>
      <c r="AH100" s="173"/>
      <c r="AI100" s="174"/>
      <c r="AJ100" s="170"/>
      <c r="AK100" s="170"/>
      <c r="AL100" s="112"/>
      <c r="AM100" s="112"/>
      <c r="AN100" s="117"/>
      <c r="AO100" s="121"/>
      <c r="AP100" s="122"/>
      <c r="AQ100" s="122"/>
      <c r="AR100" s="122"/>
      <c r="AS100" s="122"/>
      <c r="AT100" s="122"/>
      <c r="AU100" s="143"/>
      <c r="AV100" s="283"/>
      <c r="AW100" s="281"/>
      <c r="AX100" s="281"/>
      <c r="AY100" s="281"/>
      <c r="AZ100" s="281"/>
      <c r="BA100" s="281"/>
      <c r="BB100" s="284"/>
      <c r="BC100" s="110"/>
      <c r="BD100" s="108"/>
      <c r="BE100" s="108"/>
      <c r="BF100" s="108"/>
      <c r="BG100" s="108"/>
      <c r="BH100" s="108"/>
      <c r="BI100" s="111"/>
      <c r="BJ100" s="110"/>
      <c r="BK100" s="108"/>
      <c r="BL100" s="108"/>
      <c r="BM100" s="109"/>
      <c r="BN100" s="124"/>
      <c r="BO100" s="108"/>
      <c r="BP100" s="111"/>
      <c r="BQ100" s="110"/>
      <c r="BR100" s="125"/>
      <c r="BS100" s="108"/>
      <c r="BT100" s="108"/>
      <c r="BU100" s="108"/>
      <c r="BV100" s="108"/>
      <c r="BW100" s="111"/>
      <c r="BX100" s="126"/>
      <c r="BY100" s="108"/>
      <c r="BZ100" s="108"/>
      <c r="CA100" s="108"/>
      <c r="CB100" s="108"/>
      <c r="CC100" s="240"/>
      <c r="CD100" s="241"/>
      <c r="CE100" s="239"/>
      <c r="CF100" s="240"/>
      <c r="CG100" s="240"/>
      <c r="CH100" s="240"/>
      <c r="CI100" s="240"/>
      <c r="CJ100" s="240"/>
      <c r="CK100" s="241"/>
      <c r="CL100" s="168"/>
      <c r="CM100" s="166"/>
      <c r="CN100" s="166"/>
      <c r="CO100" s="242"/>
      <c r="CP100" s="178"/>
      <c r="CQ100" s="166"/>
      <c r="CR100" s="169"/>
      <c r="CS100" s="168"/>
      <c r="CT100" s="166"/>
      <c r="CU100" s="166"/>
      <c r="CV100" s="166"/>
      <c r="CW100" s="166"/>
      <c r="CX100" s="169"/>
      <c r="CY100" s="168"/>
      <c r="CZ100" s="166"/>
      <c r="DA100" s="166"/>
      <c r="DB100" s="166"/>
      <c r="DC100" s="166"/>
      <c r="DD100" s="166"/>
      <c r="DE100" s="169"/>
      <c r="DF100" s="182"/>
      <c r="DG100" s="166"/>
      <c r="DH100" s="166"/>
      <c r="DI100" s="166"/>
      <c r="DJ100" s="166"/>
      <c r="DK100" s="166"/>
      <c r="DL100" s="169"/>
      <c r="DM100" s="178"/>
      <c r="DN100" s="166"/>
      <c r="DO100" s="166"/>
      <c r="DP100" s="166"/>
      <c r="DQ100" s="166"/>
      <c r="DR100" s="166"/>
      <c r="DS100" s="183"/>
    </row>
    <row r="101" spans="1:123" ht="14" outlineLevel="1" x14ac:dyDescent="0.3">
      <c r="A101" s="336" t="s">
        <v>263</v>
      </c>
      <c r="B101" s="330" t="s">
        <v>107</v>
      </c>
      <c r="C101" s="323" t="s">
        <v>191</v>
      </c>
      <c r="D101" s="126"/>
      <c r="E101" s="108"/>
      <c r="F101" s="108"/>
      <c r="G101" s="108"/>
      <c r="H101" s="108"/>
      <c r="I101" s="108"/>
      <c r="J101" s="108"/>
      <c r="K101" s="108"/>
      <c r="L101" s="109"/>
      <c r="M101" s="110"/>
      <c r="N101" s="108"/>
      <c r="O101" s="108"/>
      <c r="P101" s="108"/>
      <c r="Q101" s="108"/>
      <c r="R101" s="108"/>
      <c r="S101" s="111"/>
      <c r="T101" s="110"/>
      <c r="U101" s="108"/>
      <c r="V101" s="108"/>
      <c r="W101" s="108"/>
      <c r="X101" s="108"/>
      <c r="Y101" s="170"/>
      <c r="Z101" s="171"/>
      <c r="AA101" s="172"/>
      <c r="AB101" s="170"/>
      <c r="AC101" s="170"/>
      <c r="AD101" s="170"/>
      <c r="AE101" s="170"/>
      <c r="AF101" s="170"/>
      <c r="AG101" s="171"/>
      <c r="AH101" s="173"/>
      <c r="AI101" s="174"/>
      <c r="AJ101" s="170"/>
      <c r="AK101" s="170"/>
      <c r="AL101" s="112"/>
      <c r="AM101" s="112"/>
      <c r="AN101" s="117"/>
      <c r="AO101" s="110"/>
      <c r="AP101" s="108"/>
      <c r="AQ101" s="108"/>
      <c r="AR101" s="108"/>
      <c r="AS101" s="108"/>
      <c r="AT101" s="108"/>
      <c r="AU101" s="111"/>
      <c r="AV101" s="283"/>
      <c r="AW101" s="281"/>
      <c r="AX101" s="281"/>
      <c r="AY101" s="281"/>
      <c r="AZ101" s="281"/>
      <c r="BA101" s="281"/>
      <c r="BB101" s="284"/>
      <c r="BC101" s="121"/>
      <c r="BD101" s="122"/>
      <c r="BE101" s="122"/>
      <c r="BF101" s="122"/>
      <c r="BG101" s="122"/>
      <c r="BH101" s="122"/>
      <c r="BI101" s="143"/>
      <c r="BJ101" s="346"/>
      <c r="BK101" s="108"/>
      <c r="BL101" s="108"/>
      <c r="BM101" s="109"/>
      <c r="BN101" s="124"/>
      <c r="BO101" s="108"/>
      <c r="BP101" s="111"/>
      <c r="BQ101" s="110"/>
      <c r="BR101" s="125"/>
      <c r="BS101" s="108"/>
      <c r="BT101" s="108"/>
      <c r="BU101" s="108"/>
      <c r="BV101" s="108"/>
      <c r="BW101" s="111"/>
      <c r="BX101" s="126"/>
      <c r="BY101" s="108"/>
      <c r="BZ101" s="108"/>
      <c r="CA101" s="108"/>
      <c r="CB101" s="108"/>
      <c r="CC101" s="240"/>
      <c r="CD101" s="241"/>
      <c r="CE101" s="239"/>
      <c r="CF101" s="240"/>
      <c r="CG101" s="240"/>
      <c r="CH101" s="240"/>
      <c r="CI101" s="240"/>
      <c r="CJ101" s="240"/>
      <c r="CK101" s="241"/>
      <c r="CL101" s="59"/>
      <c r="CM101" s="57"/>
      <c r="CN101" s="57"/>
      <c r="CO101" s="73"/>
      <c r="CP101" s="178"/>
      <c r="CQ101" s="166"/>
      <c r="CR101" s="169"/>
      <c r="CS101" s="168"/>
      <c r="CT101" s="166"/>
      <c r="CU101" s="166"/>
      <c r="CV101" s="166"/>
      <c r="CW101" s="166"/>
      <c r="CX101" s="169"/>
      <c r="CY101" s="168"/>
      <c r="CZ101" s="166"/>
      <c r="DA101" s="166"/>
      <c r="DB101" s="166"/>
      <c r="DC101" s="166"/>
      <c r="DD101" s="166"/>
      <c r="DE101" s="169"/>
      <c r="DF101" s="182"/>
      <c r="DG101" s="166"/>
      <c r="DH101" s="166"/>
      <c r="DI101" s="166"/>
      <c r="DJ101" s="166"/>
      <c r="DK101" s="166"/>
      <c r="DL101" s="169"/>
      <c r="DM101" s="178"/>
      <c r="DN101" s="166"/>
      <c r="DO101" s="166"/>
      <c r="DP101" s="166"/>
      <c r="DQ101" s="166"/>
      <c r="DR101" s="166"/>
      <c r="DS101" s="183"/>
    </row>
    <row r="102" spans="1:123" ht="14" outlineLevel="1" x14ac:dyDescent="0.3">
      <c r="A102" s="336" t="s">
        <v>265</v>
      </c>
      <c r="B102" s="330" t="s">
        <v>12</v>
      </c>
      <c r="C102" s="322" t="s">
        <v>179</v>
      </c>
      <c r="D102" s="126"/>
      <c r="E102" s="108"/>
      <c r="F102" s="108"/>
      <c r="G102" s="108"/>
      <c r="H102" s="108"/>
      <c r="I102" s="108"/>
      <c r="J102" s="108"/>
      <c r="K102" s="108"/>
      <c r="L102" s="109"/>
      <c r="M102" s="110"/>
      <c r="N102" s="108"/>
      <c r="O102" s="108"/>
      <c r="P102" s="108"/>
      <c r="Q102" s="108"/>
      <c r="R102" s="108"/>
      <c r="S102" s="111"/>
      <c r="T102" s="121"/>
      <c r="U102" s="122"/>
      <c r="V102" s="122"/>
      <c r="W102" s="122"/>
      <c r="X102" s="122"/>
      <c r="Y102" s="170"/>
      <c r="Z102" s="171"/>
      <c r="AA102" s="172"/>
      <c r="AB102" s="170"/>
      <c r="AC102" s="170"/>
      <c r="AD102" s="170"/>
      <c r="AE102" s="170"/>
      <c r="AF102" s="170"/>
      <c r="AG102" s="171"/>
      <c r="AH102" s="173"/>
      <c r="AI102" s="174"/>
      <c r="AJ102" s="170"/>
      <c r="AK102" s="170"/>
      <c r="AL102" s="112"/>
      <c r="AM102" s="112"/>
      <c r="AN102" s="117"/>
      <c r="AO102" s="110"/>
      <c r="AP102" s="108"/>
      <c r="AQ102" s="108"/>
      <c r="AR102" s="108"/>
      <c r="AS102" s="108"/>
      <c r="AT102" s="108"/>
      <c r="AU102" s="111"/>
      <c r="AV102" s="283"/>
      <c r="AW102" s="281"/>
      <c r="AX102" s="281"/>
      <c r="AY102" s="281"/>
      <c r="AZ102" s="281"/>
      <c r="BA102" s="281"/>
      <c r="BB102" s="284"/>
      <c r="BC102" s="110"/>
      <c r="BD102" s="108"/>
      <c r="BE102" s="108"/>
      <c r="BF102" s="108"/>
      <c r="BG102" s="108"/>
      <c r="BH102" s="108"/>
      <c r="BI102" s="111"/>
      <c r="BJ102" s="283"/>
      <c r="BK102" s="281"/>
      <c r="BL102" s="281"/>
      <c r="BM102" s="167"/>
      <c r="BN102" s="176"/>
      <c r="BO102" s="281"/>
      <c r="BP102" s="284"/>
      <c r="BQ102" s="110"/>
      <c r="BR102" s="125"/>
      <c r="BS102" s="108"/>
      <c r="BT102" s="108"/>
      <c r="BU102" s="108"/>
      <c r="BV102" s="108"/>
      <c r="BW102" s="111"/>
      <c r="BX102" s="126"/>
      <c r="BY102" s="108"/>
      <c r="BZ102" s="108"/>
      <c r="CA102" s="108"/>
      <c r="CB102" s="108"/>
      <c r="CC102" s="240"/>
      <c r="CD102" s="241"/>
      <c r="CE102" s="239"/>
      <c r="CF102" s="240"/>
      <c r="CG102" s="240"/>
      <c r="CH102" s="240"/>
      <c r="CI102" s="240"/>
      <c r="CJ102" s="240"/>
      <c r="CK102" s="241"/>
      <c r="CL102" s="168"/>
      <c r="CM102" s="166"/>
      <c r="CN102" s="166"/>
      <c r="CO102" s="242"/>
      <c r="CP102" s="178"/>
      <c r="CQ102" s="166"/>
      <c r="CR102" s="169"/>
      <c r="CS102" s="168"/>
      <c r="CT102" s="166"/>
      <c r="CU102" s="166"/>
      <c r="CV102" s="166"/>
      <c r="CW102" s="166"/>
      <c r="CX102" s="169"/>
      <c r="CY102" s="168"/>
      <c r="CZ102" s="166"/>
      <c r="DA102" s="166"/>
      <c r="DB102" s="166"/>
      <c r="DC102" s="166"/>
      <c r="DD102" s="166"/>
      <c r="DE102" s="169"/>
      <c r="DF102" s="182"/>
      <c r="DG102" s="166"/>
      <c r="DH102" s="166"/>
      <c r="DI102" s="166"/>
      <c r="DJ102" s="166"/>
      <c r="DK102" s="166"/>
      <c r="DL102" s="169"/>
      <c r="DM102" s="178"/>
      <c r="DN102" s="166"/>
      <c r="DO102" s="166"/>
      <c r="DP102" s="166"/>
      <c r="DQ102" s="166"/>
      <c r="DR102" s="166"/>
      <c r="DS102" s="183"/>
    </row>
    <row r="103" spans="1:123" ht="14" outlineLevel="1" x14ac:dyDescent="0.3">
      <c r="A103" s="336" t="s">
        <v>266</v>
      </c>
      <c r="B103" s="330" t="s">
        <v>12</v>
      </c>
      <c r="C103" s="322" t="s">
        <v>179</v>
      </c>
      <c r="D103" s="126"/>
      <c r="E103" s="108"/>
      <c r="F103" s="108"/>
      <c r="G103" s="108"/>
      <c r="H103" s="108"/>
      <c r="I103" s="108"/>
      <c r="J103" s="108"/>
      <c r="K103" s="108"/>
      <c r="L103" s="109"/>
      <c r="M103" s="110"/>
      <c r="N103" s="108"/>
      <c r="O103" s="108"/>
      <c r="P103" s="108"/>
      <c r="Q103" s="108"/>
      <c r="R103" s="108"/>
      <c r="S103" s="111"/>
      <c r="T103" s="110"/>
      <c r="U103" s="108"/>
      <c r="V103" s="108"/>
      <c r="W103" s="108"/>
      <c r="X103" s="108"/>
      <c r="Y103" s="170"/>
      <c r="Z103" s="171"/>
      <c r="AA103" s="172"/>
      <c r="AB103" s="170"/>
      <c r="AC103" s="170"/>
      <c r="AD103" s="170"/>
      <c r="AE103" s="170"/>
      <c r="AF103" s="170"/>
      <c r="AG103" s="171"/>
      <c r="AH103" s="173"/>
      <c r="AI103" s="174"/>
      <c r="AJ103" s="170"/>
      <c r="AK103" s="170"/>
      <c r="AL103" s="112"/>
      <c r="AM103" s="112"/>
      <c r="AN103" s="117"/>
      <c r="AO103" s="121"/>
      <c r="AP103" s="122"/>
      <c r="AQ103" s="122"/>
      <c r="AR103" s="122"/>
      <c r="AS103" s="122"/>
      <c r="AT103" s="122"/>
      <c r="AU103" s="143"/>
      <c r="AV103" s="283"/>
      <c r="AW103" s="281"/>
      <c r="AX103" s="281"/>
      <c r="AY103" s="281"/>
      <c r="AZ103" s="281"/>
      <c r="BA103" s="281"/>
      <c r="BB103" s="284"/>
      <c r="BC103" s="110"/>
      <c r="BD103" s="108"/>
      <c r="BE103" s="108"/>
      <c r="BF103" s="108"/>
      <c r="BG103" s="108"/>
      <c r="BH103" s="108"/>
      <c r="BI103" s="111"/>
      <c r="BJ103" s="283"/>
      <c r="BK103" s="281"/>
      <c r="BL103" s="281"/>
      <c r="BM103" s="167"/>
      <c r="BN103" s="176"/>
      <c r="BO103" s="281"/>
      <c r="BP103" s="284"/>
      <c r="BQ103" s="110"/>
      <c r="BR103" s="125"/>
      <c r="BS103" s="108"/>
      <c r="BT103" s="108"/>
      <c r="BU103" s="108"/>
      <c r="BV103" s="108"/>
      <c r="BW103" s="111"/>
      <c r="BX103" s="126"/>
      <c r="BY103" s="108"/>
      <c r="BZ103" s="108"/>
      <c r="CA103" s="108"/>
      <c r="CB103" s="108"/>
      <c r="CC103" s="240"/>
      <c r="CD103" s="241"/>
      <c r="CE103" s="239"/>
      <c r="CF103" s="240"/>
      <c r="CG103" s="240"/>
      <c r="CH103" s="240"/>
      <c r="CI103" s="240"/>
      <c r="CJ103" s="240"/>
      <c r="CK103" s="241"/>
      <c r="CL103" s="168"/>
      <c r="CM103" s="166"/>
      <c r="CN103" s="166"/>
      <c r="CO103" s="242"/>
      <c r="CP103" s="178"/>
      <c r="CQ103" s="166"/>
      <c r="CR103" s="169"/>
      <c r="CS103" s="168"/>
      <c r="CT103" s="166"/>
      <c r="CU103" s="166"/>
      <c r="CV103" s="166"/>
      <c r="CW103" s="166"/>
      <c r="CX103" s="169"/>
      <c r="CY103" s="168"/>
      <c r="CZ103" s="166"/>
      <c r="DA103" s="166"/>
      <c r="DB103" s="166"/>
      <c r="DC103" s="166"/>
      <c r="DD103" s="166"/>
      <c r="DE103" s="169"/>
      <c r="DF103" s="182"/>
      <c r="DG103" s="166"/>
      <c r="DH103" s="166"/>
      <c r="DI103" s="166"/>
      <c r="DJ103" s="166"/>
      <c r="DK103" s="166"/>
      <c r="DL103" s="169"/>
      <c r="DM103" s="178"/>
      <c r="DN103" s="166"/>
      <c r="DO103" s="166"/>
      <c r="DP103" s="166"/>
      <c r="DQ103" s="166"/>
      <c r="DR103" s="166"/>
      <c r="DS103" s="183"/>
    </row>
    <row r="104" spans="1:123" ht="14" outlineLevel="1" x14ac:dyDescent="0.3">
      <c r="A104" s="337" t="s">
        <v>271</v>
      </c>
      <c r="B104" s="330" t="s">
        <v>18</v>
      </c>
      <c r="C104" s="322" t="s">
        <v>179</v>
      </c>
      <c r="D104" s="126"/>
      <c r="E104" s="108"/>
      <c r="F104" s="108"/>
      <c r="G104" s="108"/>
      <c r="H104" s="108"/>
      <c r="I104" s="108"/>
      <c r="J104" s="108"/>
      <c r="K104" s="108"/>
      <c r="L104" s="109"/>
      <c r="M104" s="110"/>
      <c r="N104" s="108"/>
      <c r="O104" s="108"/>
      <c r="P104" s="108"/>
      <c r="Q104" s="108"/>
      <c r="R104" s="108"/>
      <c r="S104" s="111"/>
      <c r="T104" s="110"/>
      <c r="U104" s="108"/>
      <c r="V104" s="108"/>
      <c r="W104" s="108"/>
      <c r="X104" s="108"/>
      <c r="Y104" s="170"/>
      <c r="Z104" s="171"/>
      <c r="AA104" s="172"/>
      <c r="AB104" s="170"/>
      <c r="AC104" s="170"/>
      <c r="AD104" s="170"/>
      <c r="AE104" s="170"/>
      <c r="AF104" s="170"/>
      <c r="AG104" s="171"/>
      <c r="AH104" s="173"/>
      <c r="AI104" s="174"/>
      <c r="AJ104" s="170"/>
      <c r="AK104" s="170"/>
      <c r="AL104" s="112"/>
      <c r="AM104" s="112"/>
      <c r="AN104" s="117"/>
      <c r="AO104" s="283"/>
      <c r="AP104" s="281"/>
      <c r="AQ104" s="281"/>
      <c r="AR104" s="281"/>
      <c r="AS104" s="281"/>
      <c r="AT104" s="281"/>
      <c r="AU104" s="284"/>
      <c r="AV104" s="283"/>
      <c r="AW104" s="281"/>
      <c r="AX104" s="281"/>
      <c r="AY104" s="281"/>
      <c r="AZ104" s="281"/>
      <c r="BA104" s="281"/>
      <c r="BB104" s="284"/>
      <c r="BC104" s="110"/>
      <c r="BD104" s="108"/>
      <c r="BE104" s="108"/>
      <c r="BF104" s="108"/>
      <c r="BG104" s="108"/>
      <c r="BH104" s="108"/>
      <c r="BI104" s="111"/>
      <c r="BJ104" s="283"/>
      <c r="BK104" s="281"/>
      <c r="BL104" s="281"/>
      <c r="BM104" s="167"/>
      <c r="BN104" s="176"/>
      <c r="BO104" s="281"/>
      <c r="BP104" s="284"/>
      <c r="BQ104" s="110"/>
      <c r="BR104" s="125"/>
      <c r="BS104" s="108"/>
      <c r="BT104" s="108"/>
      <c r="BU104" s="108"/>
      <c r="BV104" s="108"/>
      <c r="BW104" s="111"/>
      <c r="BX104" s="126"/>
      <c r="BY104" s="108"/>
      <c r="BZ104" s="108"/>
      <c r="CA104" s="108"/>
      <c r="CB104" s="108"/>
      <c r="CC104" s="240"/>
      <c r="CD104" s="241"/>
      <c r="CE104" s="239"/>
      <c r="CF104" s="240"/>
      <c r="CG104" s="240"/>
      <c r="CH104" s="240"/>
      <c r="CI104" s="240"/>
      <c r="CJ104" s="240"/>
      <c r="CK104" s="241"/>
      <c r="CL104" s="168"/>
      <c r="CM104" s="166"/>
      <c r="CN104" s="166"/>
      <c r="CO104" s="242"/>
      <c r="CP104" s="178"/>
      <c r="CQ104" s="166"/>
      <c r="CR104" s="169"/>
      <c r="CS104" s="168"/>
      <c r="CT104" s="166"/>
      <c r="CU104" s="166"/>
      <c r="CV104" s="166"/>
      <c r="CW104" s="166"/>
      <c r="CX104" s="169"/>
      <c r="CY104" s="168"/>
      <c r="CZ104" s="166"/>
      <c r="DA104" s="166"/>
      <c r="DB104" s="166"/>
      <c r="DC104" s="166"/>
      <c r="DD104" s="166"/>
      <c r="DE104" s="169"/>
      <c r="DF104" s="182"/>
      <c r="DG104" s="166"/>
      <c r="DH104" s="166"/>
      <c r="DI104" s="166"/>
      <c r="DJ104" s="166"/>
      <c r="DK104" s="166"/>
      <c r="DL104" s="169"/>
      <c r="DM104" s="178"/>
      <c r="DN104" s="166"/>
      <c r="DO104" s="166"/>
      <c r="DP104" s="166"/>
      <c r="DQ104" s="166"/>
      <c r="DR104" s="166"/>
      <c r="DS104" s="183"/>
    </row>
    <row r="105" spans="1:123" ht="14" outlineLevel="1" x14ac:dyDescent="0.3">
      <c r="A105" s="337" t="s">
        <v>320</v>
      </c>
      <c r="B105" s="330" t="s">
        <v>9</v>
      </c>
      <c r="C105" s="323" t="s">
        <v>191</v>
      </c>
      <c r="D105" s="126"/>
      <c r="E105" s="108"/>
      <c r="F105" s="108"/>
      <c r="G105" s="108"/>
      <c r="H105" s="108"/>
      <c r="I105" s="108"/>
      <c r="J105" s="108"/>
      <c r="K105" s="108"/>
      <c r="L105" s="109"/>
      <c r="M105" s="110"/>
      <c r="N105" s="108"/>
      <c r="O105" s="108"/>
      <c r="P105" s="108"/>
      <c r="Q105" s="108"/>
      <c r="R105" s="108"/>
      <c r="S105" s="111"/>
      <c r="T105" s="110"/>
      <c r="U105" s="108"/>
      <c r="V105" s="108"/>
      <c r="W105" s="108"/>
      <c r="X105" s="108"/>
      <c r="Y105" s="170"/>
      <c r="Z105" s="171"/>
      <c r="AA105" s="172"/>
      <c r="AB105" s="170"/>
      <c r="AC105" s="170"/>
      <c r="AD105" s="170"/>
      <c r="AE105" s="170"/>
      <c r="AF105" s="170"/>
      <c r="AG105" s="171"/>
      <c r="AH105" s="173"/>
      <c r="AI105" s="174"/>
      <c r="AJ105" s="170"/>
      <c r="AK105" s="170"/>
      <c r="AL105" s="112"/>
      <c r="AM105" s="112"/>
      <c r="AN105" s="117"/>
      <c r="AO105" s="283"/>
      <c r="AP105" s="281"/>
      <c r="AQ105" s="281"/>
      <c r="AR105" s="281"/>
      <c r="AS105" s="281"/>
      <c r="AT105" s="281"/>
      <c r="AU105" s="284"/>
      <c r="AV105" s="283"/>
      <c r="AW105" s="281"/>
      <c r="AX105" s="281"/>
      <c r="AY105" s="281"/>
      <c r="AZ105" s="281"/>
      <c r="BA105" s="281"/>
      <c r="BB105" s="284"/>
      <c r="BC105" s="110"/>
      <c r="BD105" s="108"/>
      <c r="BE105" s="108"/>
      <c r="BF105" s="108"/>
      <c r="BG105" s="108"/>
      <c r="BH105" s="108"/>
      <c r="BI105" s="111"/>
      <c r="BJ105" s="283"/>
      <c r="BK105" s="281"/>
      <c r="BL105" s="281"/>
      <c r="BM105" s="167"/>
      <c r="BN105" s="176"/>
      <c r="BO105" s="281"/>
      <c r="BP105" s="284"/>
      <c r="BQ105" s="110"/>
      <c r="BR105" s="125"/>
      <c r="BS105" s="108"/>
      <c r="BT105" s="108"/>
      <c r="BU105" s="108"/>
      <c r="BV105" s="108"/>
      <c r="BW105" s="111"/>
      <c r="BX105" s="126"/>
      <c r="BY105" s="108"/>
      <c r="BZ105" s="108"/>
      <c r="CA105" s="108"/>
      <c r="CB105" s="108"/>
      <c r="CC105" s="240"/>
      <c r="CD105" s="241"/>
      <c r="CE105" s="239"/>
      <c r="CF105" s="240"/>
      <c r="CG105" s="240"/>
      <c r="CH105" s="240"/>
      <c r="CI105" s="240"/>
      <c r="CJ105" s="240"/>
      <c r="CK105" s="241"/>
      <c r="CL105" s="168"/>
      <c r="CM105" s="166"/>
      <c r="CN105" s="166"/>
      <c r="CO105" s="242"/>
      <c r="CP105" s="178"/>
      <c r="CQ105" s="166"/>
      <c r="CR105" s="169"/>
      <c r="CS105" s="168"/>
      <c r="CT105" s="166"/>
      <c r="CU105" s="166"/>
      <c r="CV105" s="166"/>
      <c r="CW105" s="166"/>
      <c r="CX105" s="169"/>
      <c r="CY105" s="168"/>
      <c r="CZ105" s="166"/>
      <c r="DA105" s="166"/>
      <c r="DB105" s="166"/>
      <c r="DC105" s="166"/>
      <c r="DD105" s="166"/>
      <c r="DE105" s="169"/>
      <c r="DF105" s="182"/>
      <c r="DG105" s="166"/>
      <c r="DH105" s="166"/>
      <c r="DI105" s="166"/>
      <c r="DJ105" s="166"/>
      <c r="DK105" s="166"/>
      <c r="DL105" s="169"/>
      <c r="DM105" s="178"/>
      <c r="DN105" s="166"/>
      <c r="DO105" s="166"/>
      <c r="DP105" s="166"/>
      <c r="DQ105" s="166"/>
      <c r="DR105" s="166"/>
      <c r="DS105" s="183"/>
    </row>
    <row r="106" spans="1:123" ht="14" outlineLevel="1" x14ac:dyDescent="0.3">
      <c r="A106" s="337" t="s">
        <v>270</v>
      </c>
      <c r="B106" s="330" t="s">
        <v>9</v>
      </c>
      <c r="C106" s="323" t="s">
        <v>191</v>
      </c>
      <c r="D106" s="126"/>
      <c r="E106" s="108"/>
      <c r="F106" s="108"/>
      <c r="G106" s="108"/>
      <c r="H106" s="108"/>
      <c r="I106" s="108"/>
      <c r="J106" s="108"/>
      <c r="K106" s="108"/>
      <c r="L106" s="109"/>
      <c r="M106" s="110"/>
      <c r="N106" s="108"/>
      <c r="O106" s="108"/>
      <c r="P106" s="108"/>
      <c r="Q106" s="108"/>
      <c r="R106" s="108"/>
      <c r="S106" s="111"/>
      <c r="T106" s="110"/>
      <c r="U106" s="108"/>
      <c r="V106" s="108"/>
      <c r="W106" s="108"/>
      <c r="X106" s="108"/>
      <c r="Y106" s="170"/>
      <c r="Z106" s="171"/>
      <c r="AA106" s="172"/>
      <c r="AB106" s="170"/>
      <c r="AC106" s="170"/>
      <c r="AD106" s="170"/>
      <c r="AE106" s="170"/>
      <c r="AF106" s="170"/>
      <c r="AG106" s="171"/>
      <c r="AH106" s="173"/>
      <c r="AI106" s="174"/>
      <c r="AJ106" s="170"/>
      <c r="AK106" s="170"/>
      <c r="AL106" s="112"/>
      <c r="AM106" s="112"/>
      <c r="AN106" s="117"/>
      <c r="AO106" s="283"/>
      <c r="AP106" s="281"/>
      <c r="AQ106" s="281"/>
      <c r="AR106" s="281"/>
      <c r="AS106" s="281"/>
      <c r="AT106" s="281"/>
      <c r="AU106" s="284"/>
      <c r="AV106" s="283"/>
      <c r="AW106" s="281"/>
      <c r="AX106" s="281"/>
      <c r="AY106" s="281"/>
      <c r="AZ106" s="281"/>
      <c r="BA106" s="281"/>
      <c r="BB106" s="284"/>
      <c r="BC106" s="283"/>
      <c r="BD106" s="281"/>
      <c r="BE106" s="281"/>
      <c r="BF106" s="281"/>
      <c r="BG106" s="281"/>
      <c r="BH106" s="281"/>
      <c r="BI106" s="284"/>
      <c r="BJ106" s="283"/>
      <c r="BK106" s="281"/>
      <c r="BL106" s="281"/>
      <c r="BM106" s="167"/>
      <c r="BN106" s="176"/>
      <c r="BO106" s="281"/>
      <c r="BP106" s="284"/>
      <c r="BQ106" s="110"/>
      <c r="BR106" s="125"/>
      <c r="BS106" s="108"/>
      <c r="BT106" s="108"/>
      <c r="BU106" s="108"/>
      <c r="BV106" s="108"/>
      <c r="BW106" s="111"/>
      <c r="BX106" s="126"/>
      <c r="BY106" s="108"/>
      <c r="BZ106" s="108"/>
      <c r="CA106" s="108"/>
      <c r="CB106" s="108"/>
      <c r="CC106" s="240"/>
      <c r="CD106" s="241"/>
      <c r="CE106" s="239"/>
      <c r="CF106" s="240"/>
      <c r="CG106" s="240"/>
      <c r="CH106" s="240"/>
      <c r="CI106" s="240"/>
      <c r="CJ106" s="240"/>
      <c r="CK106" s="241"/>
      <c r="CL106" s="168"/>
      <c r="CM106" s="166"/>
      <c r="CN106" s="166"/>
      <c r="CO106" s="242"/>
      <c r="CP106" s="178"/>
      <c r="CQ106" s="166"/>
      <c r="CR106" s="169"/>
      <c r="CS106" s="168"/>
      <c r="CT106" s="166"/>
      <c r="CU106" s="166"/>
      <c r="CV106" s="166"/>
      <c r="CW106" s="166"/>
      <c r="CX106" s="169"/>
      <c r="CY106" s="168"/>
      <c r="CZ106" s="166"/>
      <c r="DA106" s="166"/>
      <c r="DB106" s="166"/>
      <c r="DC106" s="166"/>
      <c r="DD106" s="166"/>
      <c r="DE106" s="169"/>
      <c r="DF106" s="182"/>
      <c r="DG106" s="166"/>
      <c r="DH106" s="166"/>
      <c r="DI106" s="166"/>
      <c r="DJ106" s="166"/>
      <c r="DK106" s="166"/>
      <c r="DL106" s="169"/>
      <c r="DM106" s="178"/>
      <c r="DN106" s="166"/>
      <c r="DO106" s="166"/>
      <c r="DP106" s="166"/>
      <c r="DQ106" s="166"/>
      <c r="DR106" s="166"/>
      <c r="DS106" s="183"/>
    </row>
    <row r="107" spans="1:123" ht="14" outlineLevel="1" x14ac:dyDescent="0.3">
      <c r="A107" s="337" t="s">
        <v>274</v>
      </c>
      <c r="B107" s="330" t="s">
        <v>21</v>
      </c>
      <c r="C107" s="323" t="s">
        <v>191</v>
      </c>
      <c r="D107" s="126"/>
      <c r="E107" s="108"/>
      <c r="F107" s="108"/>
      <c r="G107" s="108"/>
      <c r="H107" s="108"/>
      <c r="I107" s="108"/>
      <c r="J107" s="108"/>
      <c r="K107" s="108"/>
      <c r="L107" s="109"/>
      <c r="M107" s="110"/>
      <c r="N107" s="108"/>
      <c r="O107" s="108"/>
      <c r="P107" s="108"/>
      <c r="Q107" s="108"/>
      <c r="R107" s="108"/>
      <c r="S107" s="111"/>
      <c r="T107" s="110"/>
      <c r="U107" s="108"/>
      <c r="V107" s="108"/>
      <c r="W107" s="108"/>
      <c r="X107" s="108"/>
      <c r="Y107" s="170"/>
      <c r="Z107" s="171"/>
      <c r="AA107" s="172"/>
      <c r="AB107" s="170"/>
      <c r="AC107" s="170"/>
      <c r="AD107" s="170"/>
      <c r="AE107" s="170"/>
      <c r="AF107" s="170"/>
      <c r="AG107" s="171"/>
      <c r="AH107" s="173"/>
      <c r="AI107" s="174"/>
      <c r="AJ107" s="170"/>
      <c r="AK107" s="170"/>
      <c r="AL107" s="112"/>
      <c r="AM107" s="112"/>
      <c r="AN107" s="117"/>
      <c r="AO107" s="283"/>
      <c r="AP107" s="281"/>
      <c r="AQ107" s="281"/>
      <c r="AR107" s="281"/>
      <c r="AS107" s="281"/>
      <c r="AT107" s="281"/>
      <c r="AU107" s="284"/>
      <c r="AV107" s="283"/>
      <c r="AW107" s="281"/>
      <c r="AX107" s="281"/>
      <c r="AY107" s="281"/>
      <c r="AZ107" s="281"/>
      <c r="BA107" s="281"/>
      <c r="BB107" s="284"/>
      <c r="BC107" s="283"/>
      <c r="BD107" s="281"/>
      <c r="BE107" s="281"/>
      <c r="BF107" s="281"/>
      <c r="BG107" s="281"/>
      <c r="BH107" s="281"/>
      <c r="BI107" s="284"/>
      <c r="BJ107" s="283"/>
      <c r="BK107" s="281"/>
      <c r="BL107" s="281"/>
      <c r="BM107" s="167"/>
      <c r="BN107" s="176"/>
      <c r="BO107" s="281"/>
      <c r="BP107" s="284"/>
      <c r="BQ107" s="110"/>
      <c r="BR107" s="125"/>
      <c r="BS107" s="108"/>
      <c r="BT107" s="108"/>
      <c r="BU107" s="108"/>
      <c r="BV107" s="108"/>
      <c r="BW107" s="111"/>
      <c r="BX107" s="126"/>
      <c r="BY107" s="108"/>
      <c r="BZ107" s="108"/>
      <c r="CA107" s="108"/>
      <c r="CB107" s="108"/>
      <c r="CC107" s="240"/>
      <c r="CD107" s="241"/>
      <c r="CE107" s="239"/>
      <c r="CF107" s="240"/>
      <c r="CG107" s="240"/>
      <c r="CH107" s="240"/>
      <c r="CI107" s="240"/>
      <c r="CJ107" s="240"/>
      <c r="CK107" s="241"/>
      <c r="CL107" s="168"/>
      <c r="CM107" s="166"/>
      <c r="CN107" s="166"/>
      <c r="CO107" s="242"/>
      <c r="CP107" s="178"/>
      <c r="CQ107" s="166"/>
      <c r="CR107" s="169"/>
      <c r="CS107" s="168"/>
      <c r="CT107" s="166"/>
      <c r="CU107" s="166"/>
      <c r="CV107" s="166"/>
      <c r="CW107" s="166"/>
      <c r="CX107" s="169"/>
      <c r="CY107" s="168"/>
      <c r="CZ107" s="166"/>
      <c r="DA107" s="166"/>
      <c r="DB107" s="166"/>
      <c r="DC107" s="166"/>
      <c r="DD107" s="166"/>
      <c r="DE107" s="169"/>
      <c r="DF107" s="182"/>
      <c r="DG107" s="166"/>
      <c r="DH107" s="166"/>
      <c r="DI107" s="166"/>
      <c r="DJ107" s="166"/>
      <c r="DK107" s="166"/>
      <c r="DL107" s="169"/>
      <c r="DM107" s="178"/>
      <c r="DN107" s="166"/>
      <c r="DO107" s="166"/>
      <c r="DP107" s="166"/>
      <c r="DQ107" s="166"/>
      <c r="DR107" s="166"/>
      <c r="DS107" s="183"/>
    </row>
    <row r="108" spans="1:123" ht="14" outlineLevel="1" x14ac:dyDescent="0.3">
      <c r="A108" s="338" t="s">
        <v>322</v>
      </c>
      <c r="B108" s="330" t="s">
        <v>5</v>
      </c>
      <c r="C108" s="323" t="s">
        <v>191</v>
      </c>
      <c r="D108" s="126"/>
      <c r="E108" s="108"/>
      <c r="F108" s="108"/>
      <c r="G108" s="108"/>
      <c r="H108" s="108"/>
      <c r="I108" s="108"/>
      <c r="J108" s="108"/>
      <c r="K108" s="108"/>
      <c r="L108" s="109"/>
      <c r="M108" s="110"/>
      <c r="N108" s="108"/>
      <c r="O108" s="108"/>
      <c r="P108" s="108"/>
      <c r="Q108" s="108"/>
      <c r="R108" s="108"/>
      <c r="S108" s="111"/>
      <c r="T108" s="110"/>
      <c r="U108" s="108"/>
      <c r="V108" s="108"/>
      <c r="W108" s="108"/>
      <c r="X108" s="108"/>
      <c r="Y108" s="170"/>
      <c r="Z108" s="171"/>
      <c r="AA108" s="172"/>
      <c r="AB108" s="170"/>
      <c r="AC108" s="170"/>
      <c r="AD108" s="170"/>
      <c r="AE108" s="170"/>
      <c r="AF108" s="170"/>
      <c r="AG108" s="171"/>
      <c r="AH108" s="173"/>
      <c r="AI108" s="174"/>
      <c r="AJ108" s="170"/>
      <c r="AK108" s="170"/>
      <c r="AL108" s="112"/>
      <c r="AM108" s="112"/>
      <c r="AN108" s="117"/>
      <c r="AO108" s="283"/>
      <c r="AP108" s="281"/>
      <c r="AQ108" s="281"/>
      <c r="AR108" s="281"/>
      <c r="AS108" s="281"/>
      <c r="AT108" s="281"/>
      <c r="AU108" s="284"/>
      <c r="AV108" s="283"/>
      <c r="AW108" s="281"/>
      <c r="AX108" s="281"/>
      <c r="AY108" s="281"/>
      <c r="AZ108" s="281"/>
      <c r="BA108" s="281"/>
      <c r="BB108" s="284"/>
      <c r="BC108" s="283"/>
      <c r="BD108" s="281"/>
      <c r="BE108" s="281"/>
      <c r="BF108" s="281"/>
      <c r="BG108" s="281"/>
      <c r="BH108" s="281"/>
      <c r="BI108" s="284"/>
      <c r="BJ108" s="283"/>
      <c r="BK108" s="281"/>
      <c r="BL108" s="281"/>
      <c r="BM108" s="167"/>
      <c r="BN108" s="176"/>
      <c r="BO108" s="281"/>
      <c r="BP108" s="284"/>
      <c r="BQ108" s="110"/>
      <c r="BR108" s="125"/>
      <c r="BS108" s="108"/>
      <c r="BT108" s="108"/>
      <c r="BU108" s="108"/>
      <c r="BV108" s="108"/>
      <c r="BW108" s="111"/>
      <c r="BX108" s="126"/>
      <c r="BY108" s="108"/>
      <c r="BZ108" s="108"/>
      <c r="CA108" s="108"/>
      <c r="CB108" s="108"/>
      <c r="CC108" s="240"/>
      <c r="CD108" s="241"/>
      <c r="CE108" s="239"/>
      <c r="CF108" s="240"/>
      <c r="CG108" s="240"/>
      <c r="CH108" s="240"/>
      <c r="CI108" s="240"/>
      <c r="CJ108" s="240"/>
      <c r="CK108" s="241"/>
      <c r="CL108" s="168"/>
      <c r="CM108" s="166"/>
      <c r="CN108" s="166"/>
      <c r="CO108" s="242"/>
      <c r="CP108" s="178"/>
      <c r="CQ108" s="166"/>
      <c r="CR108" s="169"/>
      <c r="CS108" s="168"/>
      <c r="CT108" s="166"/>
      <c r="CU108" s="166"/>
      <c r="CV108" s="166"/>
      <c r="CW108" s="166"/>
      <c r="CX108" s="169"/>
      <c r="CY108" s="168"/>
      <c r="CZ108" s="166"/>
      <c r="DA108" s="166"/>
      <c r="DB108" s="166"/>
      <c r="DC108" s="166"/>
      <c r="DD108" s="166"/>
      <c r="DE108" s="169"/>
      <c r="DF108" s="182"/>
      <c r="DG108" s="166"/>
      <c r="DH108" s="166"/>
      <c r="DI108" s="166"/>
      <c r="DJ108" s="166"/>
      <c r="DK108" s="166"/>
      <c r="DL108" s="169"/>
      <c r="DM108" s="178"/>
      <c r="DN108" s="166"/>
      <c r="DO108" s="166"/>
      <c r="DP108" s="166"/>
      <c r="DQ108" s="166"/>
      <c r="DR108" s="166"/>
      <c r="DS108" s="183"/>
    </row>
    <row r="109" spans="1:123" ht="14" outlineLevel="1" x14ac:dyDescent="0.3">
      <c r="A109" s="338" t="s">
        <v>321</v>
      </c>
      <c r="B109" s="330" t="s">
        <v>33</v>
      </c>
      <c r="C109" s="323" t="s">
        <v>191</v>
      </c>
      <c r="D109" s="126"/>
      <c r="E109" s="108"/>
      <c r="F109" s="108"/>
      <c r="G109" s="108"/>
      <c r="H109" s="108"/>
      <c r="I109" s="108"/>
      <c r="J109" s="108"/>
      <c r="K109" s="108"/>
      <c r="L109" s="109"/>
      <c r="M109" s="110"/>
      <c r="N109" s="108"/>
      <c r="O109" s="108"/>
      <c r="P109" s="108"/>
      <c r="Q109" s="108"/>
      <c r="R109" s="108"/>
      <c r="S109" s="111"/>
      <c r="T109" s="110"/>
      <c r="U109" s="108"/>
      <c r="V109" s="108"/>
      <c r="W109" s="108"/>
      <c r="X109" s="108"/>
      <c r="Y109" s="170"/>
      <c r="Z109" s="171"/>
      <c r="AA109" s="172"/>
      <c r="AB109" s="170"/>
      <c r="AC109" s="170"/>
      <c r="AD109" s="170"/>
      <c r="AE109" s="170"/>
      <c r="AF109" s="170"/>
      <c r="AG109" s="171"/>
      <c r="AH109" s="173"/>
      <c r="AI109" s="174"/>
      <c r="AJ109" s="170"/>
      <c r="AK109" s="170"/>
      <c r="AL109" s="112"/>
      <c r="AM109" s="112"/>
      <c r="AN109" s="117"/>
      <c r="AO109" s="283"/>
      <c r="AP109" s="281"/>
      <c r="AQ109" s="281"/>
      <c r="AR109" s="281"/>
      <c r="AS109" s="281"/>
      <c r="AT109" s="281"/>
      <c r="AU109" s="284"/>
      <c r="AV109" s="283"/>
      <c r="AW109" s="281"/>
      <c r="AX109" s="281"/>
      <c r="AY109" s="281"/>
      <c r="AZ109" s="281"/>
      <c r="BA109" s="281"/>
      <c r="BB109" s="284"/>
      <c r="BC109" s="283"/>
      <c r="BD109" s="281"/>
      <c r="BE109" s="281"/>
      <c r="BF109" s="281"/>
      <c r="BG109" s="281"/>
      <c r="BH109" s="281"/>
      <c r="BI109" s="284"/>
      <c r="BJ109" s="283"/>
      <c r="BK109" s="281"/>
      <c r="BL109" s="281"/>
      <c r="BM109" s="167"/>
      <c r="BN109" s="176"/>
      <c r="BO109" s="281"/>
      <c r="BP109" s="284"/>
      <c r="BQ109" s="110"/>
      <c r="BR109" s="125"/>
      <c r="BS109" s="108"/>
      <c r="BT109" s="108"/>
      <c r="BU109" s="108"/>
      <c r="BV109" s="108"/>
      <c r="BW109" s="111"/>
      <c r="BX109" s="126"/>
      <c r="BY109" s="108"/>
      <c r="BZ109" s="108"/>
      <c r="CA109" s="108"/>
      <c r="CB109" s="108"/>
      <c r="CC109" s="240"/>
      <c r="CD109" s="241"/>
      <c r="CE109" s="239"/>
      <c r="CF109" s="240"/>
      <c r="CG109" s="240"/>
      <c r="CH109" s="240"/>
      <c r="CI109" s="240"/>
      <c r="CJ109" s="240"/>
      <c r="CK109" s="241"/>
      <c r="CL109" s="168"/>
      <c r="CM109" s="166"/>
      <c r="CN109" s="166"/>
      <c r="CO109" s="242"/>
      <c r="CP109" s="178"/>
      <c r="CQ109" s="166"/>
      <c r="CR109" s="169"/>
      <c r="CS109" s="168"/>
      <c r="CT109" s="166"/>
      <c r="CU109" s="166"/>
      <c r="CV109" s="166"/>
      <c r="CW109" s="166"/>
      <c r="CX109" s="169"/>
      <c r="CY109" s="168"/>
      <c r="CZ109" s="166"/>
      <c r="DA109" s="166"/>
      <c r="DB109" s="166"/>
      <c r="DC109" s="166"/>
      <c r="DD109" s="166"/>
      <c r="DE109" s="169"/>
      <c r="DF109" s="182"/>
      <c r="DG109" s="166"/>
      <c r="DH109" s="166"/>
      <c r="DI109" s="166"/>
      <c r="DJ109" s="166"/>
      <c r="DK109" s="166"/>
      <c r="DL109" s="169"/>
      <c r="DM109" s="178"/>
      <c r="DN109" s="166"/>
      <c r="DO109" s="166"/>
      <c r="DP109" s="166"/>
      <c r="DQ109" s="166"/>
      <c r="DR109" s="166"/>
      <c r="DS109" s="183"/>
    </row>
    <row r="110" spans="1:123" ht="14" outlineLevel="1" x14ac:dyDescent="0.3">
      <c r="A110" s="339" t="s">
        <v>267</v>
      </c>
      <c r="B110" s="330" t="s">
        <v>15</v>
      </c>
      <c r="C110" s="324" t="s">
        <v>182</v>
      </c>
      <c r="D110" s="126"/>
      <c r="E110" s="108"/>
      <c r="F110" s="108"/>
      <c r="G110" s="108"/>
      <c r="H110" s="108"/>
      <c r="I110" s="108"/>
      <c r="J110" s="108"/>
      <c r="K110" s="108"/>
      <c r="L110" s="109"/>
      <c r="M110" s="110"/>
      <c r="N110" s="108"/>
      <c r="O110" s="108"/>
      <c r="P110" s="108"/>
      <c r="Q110" s="108"/>
      <c r="R110" s="108"/>
      <c r="S110" s="111"/>
      <c r="T110" s="110"/>
      <c r="U110" s="108"/>
      <c r="V110" s="108"/>
      <c r="W110" s="108"/>
      <c r="X110" s="108"/>
      <c r="Y110" s="170"/>
      <c r="Z110" s="171"/>
      <c r="AA110" s="172"/>
      <c r="AB110" s="170"/>
      <c r="AC110" s="170"/>
      <c r="AD110" s="170"/>
      <c r="AE110" s="170"/>
      <c r="AF110" s="170"/>
      <c r="AG110" s="171"/>
      <c r="AH110" s="173"/>
      <c r="AI110" s="174"/>
      <c r="AJ110" s="170"/>
      <c r="AK110" s="170"/>
      <c r="AL110" s="112"/>
      <c r="AM110" s="112"/>
      <c r="AN110" s="117"/>
      <c r="AO110" s="283"/>
      <c r="AP110" s="281"/>
      <c r="AQ110" s="281"/>
      <c r="AR110" s="281"/>
      <c r="AS110" s="281"/>
      <c r="AT110" s="281"/>
      <c r="AU110" s="284"/>
      <c r="AV110" s="283"/>
      <c r="AW110" s="281"/>
      <c r="AX110" s="281"/>
      <c r="AY110" s="281"/>
      <c r="AZ110" s="281"/>
      <c r="BA110" s="281"/>
      <c r="BB110" s="284"/>
      <c r="BC110" s="283"/>
      <c r="BD110" s="281"/>
      <c r="BE110" s="281"/>
      <c r="BF110" s="281"/>
      <c r="BG110" s="281"/>
      <c r="BH110" s="281"/>
      <c r="BI110" s="284"/>
      <c r="BJ110" s="283"/>
      <c r="BK110" s="281"/>
      <c r="BL110" s="281"/>
      <c r="BM110" s="167"/>
      <c r="BN110" s="176"/>
      <c r="BO110" s="281"/>
      <c r="BP110" s="284"/>
      <c r="BQ110" s="110"/>
      <c r="BR110" s="125"/>
      <c r="BS110" s="108"/>
      <c r="BT110" s="108"/>
      <c r="BU110" s="108"/>
      <c r="BV110" s="108"/>
      <c r="BW110" s="111"/>
      <c r="BX110" s="126"/>
      <c r="BY110" s="108"/>
      <c r="BZ110" s="108"/>
      <c r="CA110" s="108"/>
      <c r="CB110" s="108"/>
      <c r="CC110" s="240"/>
      <c r="CD110" s="241"/>
      <c r="CE110" s="239"/>
      <c r="CF110" s="240"/>
      <c r="CG110" s="240"/>
      <c r="CH110" s="240"/>
      <c r="CI110" s="240"/>
      <c r="CJ110" s="240"/>
      <c r="CK110" s="241"/>
      <c r="CL110" s="168"/>
      <c r="CM110" s="166"/>
      <c r="CN110" s="166"/>
      <c r="CO110" s="242"/>
      <c r="CP110" s="178"/>
      <c r="CQ110" s="166"/>
      <c r="CR110" s="169"/>
      <c r="CS110" s="168"/>
      <c r="CT110" s="166"/>
      <c r="CU110" s="166"/>
      <c r="CV110" s="166"/>
      <c r="CW110" s="166"/>
      <c r="CX110" s="169"/>
      <c r="CY110" s="168"/>
      <c r="CZ110" s="166"/>
      <c r="DA110" s="166"/>
      <c r="DB110" s="166"/>
      <c r="DC110" s="166"/>
      <c r="DD110" s="166"/>
      <c r="DE110" s="169"/>
      <c r="DF110" s="182"/>
      <c r="DG110" s="166"/>
      <c r="DH110" s="166"/>
      <c r="DI110" s="166"/>
      <c r="DJ110" s="166"/>
      <c r="DK110" s="166"/>
      <c r="DL110" s="169"/>
      <c r="DM110" s="178"/>
      <c r="DN110" s="166"/>
      <c r="DO110" s="166"/>
      <c r="DP110" s="166"/>
      <c r="DQ110" s="166"/>
      <c r="DR110" s="166"/>
      <c r="DS110" s="183"/>
    </row>
    <row r="111" spans="1:123" ht="14" outlineLevel="1" x14ac:dyDescent="0.3">
      <c r="A111" s="339" t="s">
        <v>268</v>
      </c>
      <c r="B111" s="330" t="s">
        <v>15</v>
      </c>
      <c r="C111" s="325" t="s">
        <v>182</v>
      </c>
      <c r="D111" s="126"/>
      <c r="E111" s="108"/>
      <c r="F111" s="108"/>
      <c r="G111" s="108"/>
      <c r="H111" s="108"/>
      <c r="I111" s="108"/>
      <c r="J111" s="108"/>
      <c r="K111" s="108"/>
      <c r="L111" s="109"/>
      <c r="M111" s="110"/>
      <c r="N111" s="108"/>
      <c r="O111" s="108"/>
      <c r="P111" s="108"/>
      <c r="Q111" s="108"/>
      <c r="R111" s="108"/>
      <c r="S111" s="111"/>
      <c r="T111" s="110"/>
      <c r="U111" s="108"/>
      <c r="V111" s="108"/>
      <c r="W111" s="108"/>
      <c r="X111" s="108"/>
      <c r="Y111" s="170"/>
      <c r="Z111" s="171"/>
      <c r="AA111" s="172"/>
      <c r="AB111" s="170"/>
      <c r="AC111" s="170"/>
      <c r="AD111" s="170"/>
      <c r="AE111" s="170"/>
      <c r="AF111" s="170"/>
      <c r="AG111" s="171"/>
      <c r="AH111" s="173"/>
      <c r="AI111" s="174"/>
      <c r="AJ111" s="170"/>
      <c r="AK111" s="170"/>
      <c r="AL111" s="112"/>
      <c r="AM111" s="112"/>
      <c r="AN111" s="117"/>
      <c r="AO111" s="283"/>
      <c r="AP111" s="281"/>
      <c r="AQ111" s="281"/>
      <c r="AR111" s="281"/>
      <c r="AS111" s="281"/>
      <c r="AT111" s="281"/>
      <c r="AU111" s="284"/>
      <c r="AV111" s="283"/>
      <c r="AW111" s="281"/>
      <c r="AX111" s="281"/>
      <c r="AY111" s="281"/>
      <c r="AZ111" s="281"/>
      <c r="BA111" s="281"/>
      <c r="BB111" s="284"/>
      <c r="BC111" s="283"/>
      <c r="BD111" s="281"/>
      <c r="BE111" s="281"/>
      <c r="BF111" s="281"/>
      <c r="BG111" s="281"/>
      <c r="BH111" s="281"/>
      <c r="BI111" s="284"/>
      <c r="BJ111" s="283"/>
      <c r="BK111" s="281"/>
      <c r="BL111" s="281"/>
      <c r="BM111" s="167"/>
      <c r="BN111" s="176"/>
      <c r="BO111" s="281"/>
      <c r="BP111" s="284"/>
      <c r="BQ111" s="110"/>
      <c r="BR111" s="125"/>
      <c r="BS111" s="108"/>
      <c r="BT111" s="108"/>
      <c r="BU111" s="108"/>
      <c r="BV111" s="108"/>
      <c r="BW111" s="111"/>
      <c r="BX111" s="126"/>
      <c r="BY111" s="108"/>
      <c r="BZ111" s="108"/>
      <c r="CA111" s="108"/>
      <c r="CB111" s="108"/>
      <c r="CC111" s="240"/>
      <c r="CD111" s="241"/>
      <c r="CE111" s="239"/>
      <c r="CF111" s="240"/>
      <c r="CG111" s="240"/>
      <c r="CH111" s="240"/>
      <c r="CI111" s="240"/>
      <c r="CJ111" s="240"/>
      <c r="CK111" s="241"/>
      <c r="CL111" s="59"/>
      <c r="CM111" s="57"/>
      <c r="CN111" s="57"/>
      <c r="CO111" s="73"/>
      <c r="CP111" s="178"/>
      <c r="CQ111" s="166"/>
      <c r="CR111" s="169"/>
      <c r="CS111" s="168"/>
      <c r="CT111" s="166"/>
      <c r="CU111" s="166"/>
      <c r="CV111" s="166"/>
      <c r="CW111" s="166"/>
      <c r="CX111" s="169"/>
      <c r="CY111" s="168"/>
      <c r="CZ111" s="166"/>
      <c r="DA111" s="166"/>
      <c r="DB111" s="166"/>
      <c r="DC111" s="166"/>
      <c r="DD111" s="166"/>
      <c r="DE111" s="169"/>
      <c r="DF111" s="182"/>
      <c r="DG111" s="166"/>
      <c r="DH111" s="166"/>
      <c r="DI111" s="166"/>
      <c r="DJ111" s="166"/>
      <c r="DK111" s="166"/>
      <c r="DL111" s="169"/>
      <c r="DM111" s="178"/>
      <c r="DN111" s="166"/>
      <c r="DO111" s="166"/>
      <c r="DP111" s="166"/>
      <c r="DQ111" s="166"/>
      <c r="DR111" s="166"/>
      <c r="DS111" s="183"/>
    </row>
    <row r="112" spans="1:123" ht="14" outlineLevel="1" x14ac:dyDescent="0.3">
      <c r="A112" s="340" t="s">
        <v>269</v>
      </c>
      <c r="B112" s="330" t="s">
        <v>15</v>
      </c>
      <c r="C112" s="326" t="s">
        <v>182</v>
      </c>
      <c r="D112" s="126"/>
      <c r="E112" s="108"/>
      <c r="F112" s="108"/>
      <c r="G112" s="108"/>
      <c r="H112" s="108"/>
      <c r="I112" s="108"/>
      <c r="J112" s="108"/>
      <c r="K112" s="108"/>
      <c r="L112" s="109"/>
      <c r="M112" s="110"/>
      <c r="N112" s="108"/>
      <c r="O112" s="108"/>
      <c r="P112" s="108"/>
      <c r="Q112" s="108"/>
      <c r="R112" s="108"/>
      <c r="S112" s="111"/>
      <c r="T112" s="110"/>
      <c r="U112" s="108"/>
      <c r="V112" s="108"/>
      <c r="W112" s="108"/>
      <c r="X112" s="108"/>
      <c r="Y112" s="170"/>
      <c r="Z112" s="171"/>
      <c r="AA112" s="172"/>
      <c r="AB112" s="170"/>
      <c r="AC112" s="170"/>
      <c r="AD112" s="170"/>
      <c r="AE112" s="170"/>
      <c r="AF112" s="170"/>
      <c r="AG112" s="171"/>
      <c r="AH112" s="173"/>
      <c r="AI112" s="174"/>
      <c r="AJ112" s="170"/>
      <c r="AK112" s="170"/>
      <c r="AL112" s="112"/>
      <c r="AM112" s="112"/>
      <c r="AN112" s="117"/>
      <c r="AO112" s="283"/>
      <c r="AP112" s="281"/>
      <c r="AQ112" s="281"/>
      <c r="AR112" s="281"/>
      <c r="AS112" s="281"/>
      <c r="AT112" s="281"/>
      <c r="AU112" s="284"/>
      <c r="AV112" s="283"/>
      <c r="AW112" s="281"/>
      <c r="AX112" s="281"/>
      <c r="AY112" s="281"/>
      <c r="AZ112" s="281"/>
      <c r="BA112" s="281"/>
      <c r="BB112" s="284"/>
      <c r="BC112" s="283"/>
      <c r="BD112" s="281"/>
      <c r="BE112" s="281"/>
      <c r="BF112" s="281"/>
      <c r="BG112" s="281"/>
      <c r="BH112" s="281"/>
      <c r="BI112" s="284"/>
      <c r="BJ112" s="283"/>
      <c r="BK112" s="281"/>
      <c r="BL112" s="281"/>
      <c r="BM112" s="167"/>
      <c r="BN112" s="176"/>
      <c r="BO112" s="281"/>
      <c r="BP112" s="284"/>
      <c r="BQ112" s="110"/>
      <c r="BR112" s="125"/>
      <c r="BS112" s="108"/>
      <c r="BT112" s="108"/>
      <c r="BU112" s="108"/>
      <c r="BV112" s="108"/>
      <c r="BW112" s="111"/>
      <c r="BX112" s="126"/>
      <c r="BY112" s="108"/>
      <c r="BZ112" s="108"/>
      <c r="CA112" s="108"/>
      <c r="CB112" s="108"/>
      <c r="CC112" s="240"/>
      <c r="CD112" s="241"/>
      <c r="CE112" s="239"/>
      <c r="CF112" s="240"/>
      <c r="CG112" s="240"/>
      <c r="CH112" s="240"/>
      <c r="CI112" s="240"/>
      <c r="CJ112" s="240"/>
      <c r="CK112" s="241"/>
      <c r="CL112" s="168"/>
      <c r="CM112" s="166"/>
      <c r="CN112" s="166"/>
      <c r="CO112" s="242"/>
      <c r="CP112" s="178"/>
      <c r="CQ112" s="166"/>
      <c r="CR112" s="169"/>
      <c r="CS112" s="168"/>
      <c r="CT112" s="166"/>
      <c r="CU112" s="166"/>
      <c r="CV112" s="166"/>
      <c r="CW112" s="166"/>
      <c r="CX112" s="169"/>
      <c r="CY112" s="168"/>
      <c r="CZ112" s="166"/>
      <c r="DA112" s="166"/>
      <c r="DB112" s="166"/>
      <c r="DC112" s="166"/>
      <c r="DD112" s="166"/>
      <c r="DE112" s="169"/>
      <c r="DF112" s="182"/>
      <c r="DG112" s="166"/>
      <c r="DH112" s="166"/>
      <c r="DI112" s="166"/>
      <c r="DJ112" s="166"/>
      <c r="DK112" s="166"/>
      <c r="DL112" s="169"/>
      <c r="DM112" s="178"/>
      <c r="DN112" s="166"/>
      <c r="DO112" s="166"/>
      <c r="DP112" s="166"/>
      <c r="DQ112" s="166"/>
      <c r="DR112" s="166"/>
      <c r="DS112" s="183"/>
    </row>
    <row r="113" spans="1:123" ht="14" outlineLevel="1" x14ac:dyDescent="0.3">
      <c r="A113" s="432" t="s">
        <v>346</v>
      </c>
      <c r="B113" s="330" t="s">
        <v>5</v>
      </c>
      <c r="C113" s="326" t="s">
        <v>182</v>
      </c>
      <c r="D113" s="126"/>
      <c r="E113" s="108"/>
      <c r="F113" s="108"/>
      <c r="G113" s="108"/>
      <c r="H113" s="108"/>
      <c r="I113" s="108"/>
      <c r="J113" s="108"/>
      <c r="K113" s="108"/>
      <c r="L113" s="109"/>
      <c r="M113" s="110"/>
      <c r="N113" s="108"/>
      <c r="O113" s="108"/>
      <c r="P113" s="108"/>
      <c r="Q113" s="108"/>
      <c r="R113" s="108"/>
      <c r="S113" s="111"/>
      <c r="T113" s="110"/>
      <c r="U113" s="108"/>
      <c r="V113" s="108"/>
      <c r="W113" s="108"/>
      <c r="X113" s="108"/>
      <c r="Y113" s="170"/>
      <c r="Z113" s="171"/>
      <c r="AA113" s="172"/>
      <c r="AB113" s="170"/>
      <c r="AC113" s="170"/>
      <c r="AD113" s="170"/>
      <c r="AE113" s="170"/>
      <c r="AF113" s="170"/>
      <c r="AG113" s="171"/>
      <c r="AH113" s="173"/>
      <c r="AI113" s="174"/>
      <c r="AJ113" s="170"/>
      <c r="AK113" s="170"/>
      <c r="AL113" s="112"/>
      <c r="AM113" s="112"/>
      <c r="AN113" s="117"/>
      <c r="AO113" s="283"/>
      <c r="AP113" s="281"/>
      <c r="AQ113" s="281"/>
      <c r="AR113" s="281"/>
      <c r="AS113" s="281"/>
      <c r="AT113" s="281"/>
      <c r="AU113" s="284"/>
      <c r="AV113" s="283"/>
      <c r="AW113" s="281"/>
      <c r="AX113" s="281"/>
      <c r="AY113" s="281"/>
      <c r="AZ113" s="281"/>
      <c r="BA113" s="281"/>
      <c r="BB113" s="284"/>
      <c r="BC113" s="283"/>
      <c r="BD113" s="281"/>
      <c r="BE113" s="281"/>
      <c r="BF113" s="281"/>
      <c r="BG113" s="281"/>
      <c r="BH113" s="281"/>
      <c r="BI113" s="284"/>
      <c r="BJ113" s="283"/>
      <c r="BK113" s="281"/>
      <c r="BL113" s="281"/>
      <c r="BM113" s="167"/>
      <c r="BN113" s="176"/>
      <c r="BO113" s="281"/>
      <c r="BP113" s="284"/>
      <c r="BQ113" s="110"/>
      <c r="BR113" s="125"/>
      <c r="BS113" s="108"/>
      <c r="BT113" s="108"/>
      <c r="BU113" s="108"/>
      <c r="BV113" s="108"/>
      <c r="BW113" s="111"/>
      <c r="BX113" s="126"/>
      <c r="BY113" s="108"/>
      <c r="BZ113" s="108"/>
      <c r="CA113" s="108"/>
      <c r="CB113" s="108"/>
      <c r="CC113" s="240"/>
      <c r="CD113" s="241"/>
      <c r="CE113" s="239"/>
      <c r="CF113" s="240"/>
      <c r="CG113" s="240"/>
      <c r="CH113" s="240"/>
      <c r="CI113" s="240"/>
      <c r="CJ113" s="240"/>
      <c r="CK113" s="241"/>
      <c r="CL113" s="168"/>
      <c r="CM113" s="166"/>
      <c r="CN113" s="166"/>
      <c r="CO113" s="242"/>
      <c r="CP113" s="178"/>
      <c r="CQ113" s="166"/>
      <c r="CR113" s="169"/>
      <c r="CS113" s="168"/>
      <c r="CT113" s="166"/>
      <c r="CU113" s="166"/>
      <c r="CV113" s="166"/>
      <c r="CW113" s="166"/>
      <c r="CX113" s="169"/>
      <c r="CY113" s="168"/>
      <c r="CZ113" s="166"/>
      <c r="DA113" s="166"/>
      <c r="DB113" s="166"/>
      <c r="DC113" s="166"/>
      <c r="DD113" s="166"/>
      <c r="DE113" s="169"/>
      <c r="DF113" s="182"/>
      <c r="DG113" s="166"/>
      <c r="DH113" s="166"/>
      <c r="DI113" s="166"/>
      <c r="DJ113" s="166"/>
      <c r="DK113" s="166"/>
      <c r="DL113" s="169"/>
      <c r="DM113" s="178"/>
      <c r="DN113" s="166"/>
      <c r="DO113" s="166"/>
      <c r="DP113" s="166"/>
      <c r="DQ113" s="166"/>
      <c r="DR113" s="166"/>
      <c r="DS113" s="183"/>
    </row>
    <row r="114" spans="1:123" ht="14" outlineLevel="1" x14ac:dyDescent="0.3">
      <c r="A114" s="317" t="s">
        <v>275</v>
      </c>
      <c r="B114" s="331"/>
      <c r="C114" s="321"/>
      <c r="D114" s="126"/>
      <c r="E114" s="108"/>
      <c r="F114" s="108"/>
      <c r="G114" s="108"/>
      <c r="H114" s="108"/>
      <c r="I114" s="108"/>
      <c r="J114" s="108"/>
      <c r="K114" s="108"/>
      <c r="L114" s="109"/>
      <c r="M114" s="110"/>
      <c r="N114" s="108"/>
      <c r="O114" s="108"/>
      <c r="P114" s="108"/>
      <c r="Q114" s="108"/>
      <c r="R114" s="108"/>
      <c r="S114" s="111"/>
      <c r="T114" s="110"/>
      <c r="U114" s="108"/>
      <c r="V114" s="108"/>
      <c r="W114" s="108"/>
      <c r="X114" s="108"/>
      <c r="Y114" s="170"/>
      <c r="Z114" s="171"/>
      <c r="AA114" s="172"/>
      <c r="AB114" s="170"/>
      <c r="AC114" s="170"/>
      <c r="AD114" s="170"/>
      <c r="AE114" s="170"/>
      <c r="AF114" s="170"/>
      <c r="AG114" s="171"/>
      <c r="AH114" s="173"/>
      <c r="AI114" s="174"/>
      <c r="AJ114" s="170"/>
      <c r="AK114" s="170"/>
      <c r="AL114" s="112"/>
      <c r="AM114" s="112"/>
      <c r="AN114" s="117"/>
      <c r="AO114" s="283"/>
      <c r="AP114" s="281"/>
      <c r="AQ114" s="281"/>
      <c r="AR114" s="281"/>
      <c r="AS114" s="281"/>
      <c r="AT114" s="281"/>
      <c r="AU114" s="284"/>
      <c r="AV114" s="283"/>
      <c r="AW114" s="281"/>
      <c r="AX114" s="281"/>
      <c r="AY114" s="281"/>
      <c r="AZ114" s="281"/>
      <c r="BA114" s="281"/>
      <c r="BB114" s="284"/>
      <c r="BC114" s="283"/>
      <c r="BD114" s="281"/>
      <c r="BE114" s="281"/>
      <c r="BF114" s="281"/>
      <c r="BG114" s="281"/>
      <c r="BH114" s="281"/>
      <c r="BI114" s="284"/>
      <c r="BJ114" s="283"/>
      <c r="BK114" s="281"/>
      <c r="BL114" s="281"/>
      <c r="BM114" s="167"/>
      <c r="BN114" s="176"/>
      <c r="BO114" s="281"/>
      <c r="BP114" s="284"/>
      <c r="BQ114" s="110"/>
      <c r="BR114" s="125"/>
      <c r="BS114" s="108"/>
      <c r="BT114" s="108"/>
      <c r="BU114" s="108"/>
      <c r="BV114" s="108"/>
      <c r="BW114" s="111"/>
      <c r="BX114" s="238"/>
      <c r="BY114" s="122"/>
      <c r="BZ114" s="122"/>
      <c r="CA114" s="122"/>
      <c r="CB114" s="122"/>
      <c r="CC114" s="240"/>
      <c r="CD114" s="241"/>
      <c r="CE114" s="239"/>
      <c r="CF114" s="240"/>
      <c r="CG114" s="240"/>
      <c r="CH114" s="240"/>
      <c r="CI114" s="240"/>
      <c r="CJ114" s="240"/>
      <c r="CK114" s="241"/>
      <c r="CL114" s="168"/>
      <c r="CM114" s="166"/>
      <c r="CN114" s="166"/>
      <c r="CO114" s="242"/>
      <c r="CP114" s="178"/>
      <c r="CQ114" s="166"/>
      <c r="CR114" s="169"/>
      <c r="CS114" s="168"/>
      <c r="CT114" s="166"/>
      <c r="CU114" s="166"/>
      <c r="CV114" s="166"/>
      <c r="CW114" s="166"/>
      <c r="CX114" s="169"/>
      <c r="CY114" s="168"/>
      <c r="CZ114" s="166"/>
      <c r="DA114" s="166"/>
      <c r="DB114" s="166"/>
      <c r="DC114" s="166"/>
      <c r="DD114" s="166"/>
      <c r="DE114" s="169"/>
      <c r="DF114" s="182"/>
      <c r="DG114" s="166"/>
      <c r="DH114" s="166"/>
      <c r="DI114" s="166"/>
      <c r="DJ114" s="166"/>
      <c r="DK114" s="166"/>
      <c r="DL114" s="169"/>
      <c r="DM114" s="178"/>
      <c r="DN114" s="166"/>
      <c r="DO114" s="166"/>
      <c r="DP114" s="166"/>
      <c r="DQ114" s="166"/>
      <c r="DR114" s="166"/>
      <c r="DS114" s="183"/>
    </row>
    <row r="115" spans="1:123" ht="14" outlineLevel="1" x14ac:dyDescent="0.3">
      <c r="A115" s="318" t="s">
        <v>276</v>
      </c>
      <c r="B115" s="330" t="s">
        <v>5</v>
      </c>
      <c r="C115" s="322" t="s">
        <v>179</v>
      </c>
      <c r="D115" s="126"/>
      <c r="E115" s="108"/>
      <c r="F115" s="108"/>
      <c r="G115" s="108"/>
      <c r="H115" s="108"/>
      <c r="I115" s="108"/>
      <c r="J115" s="108"/>
      <c r="K115" s="108"/>
      <c r="L115" s="109"/>
      <c r="M115" s="110"/>
      <c r="N115" s="108"/>
      <c r="O115" s="108"/>
      <c r="P115" s="108"/>
      <c r="Q115" s="108"/>
      <c r="R115" s="108"/>
      <c r="S115" s="111"/>
      <c r="T115" s="110"/>
      <c r="U115" s="108"/>
      <c r="V115" s="108"/>
      <c r="W115" s="108"/>
      <c r="X115" s="108"/>
      <c r="Y115" s="170"/>
      <c r="Z115" s="171"/>
      <c r="AA115" s="172"/>
      <c r="AB115" s="170"/>
      <c r="AC115" s="170"/>
      <c r="AD115" s="170"/>
      <c r="AE115" s="170"/>
      <c r="AF115" s="170"/>
      <c r="AG115" s="171"/>
      <c r="AH115" s="173"/>
      <c r="AI115" s="174"/>
      <c r="AJ115" s="170"/>
      <c r="AK115" s="170"/>
      <c r="AL115" s="112"/>
      <c r="AM115" s="112"/>
      <c r="AN115" s="117"/>
      <c r="AO115" s="283"/>
      <c r="AP115" s="281"/>
      <c r="AQ115" s="281"/>
      <c r="AR115" s="281"/>
      <c r="AS115" s="281"/>
      <c r="AT115" s="281"/>
      <c r="AU115" s="284"/>
      <c r="AV115" s="283"/>
      <c r="AW115" s="281"/>
      <c r="AX115" s="281"/>
      <c r="AY115" s="281"/>
      <c r="AZ115" s="281"/>
      <c r="BA115" s="281"/>
      <c r="BB115" s="284"/>
      <c r="BC115" s="283"/>
      <c r="BD115" s="281"/>
      <c r="BE115" s="281"/>
      <c r="BF115" s="281"/>
      <c r="BG115" s="281"/>
      <c r="BH115" s="281"/>
      <c r="BI115" s="284"/>
      <c r="BJ115" s="283"/>
      <c r="BK115" s="281"/>
      <c r="BL115" s="281"/>
      <c r="BM115" s="167"/>
      <c r="BN115" s="176"/>
      <c r="BO115" s="281"/>
      <c r="BP115" s="284"/>
      <c r="BQ115" s="110"/>
      <c r="BR115" s="125"/>
      <c r="BS115" s="108"/>
      <c r="BT115" s="108"/>
      <c r="BU115" s="108"/>
      <c r="BV115" s="108"/>
      <c r="BW115" s="111"/>
      <c r="BX115" s="126"/>
      <c r="BY115" s="108"/>
      <c r="BZ115" s="108"/>
      <c r="CA115" s="108"/>
      <c r="CB115" s="108"/>
      <c r="CC115" s="240"/>
      <c r="CD115" s="241"/>
      <c r="CE115" s="239"/>
      <c r="CF115" s="240"/>
      <c r="CG115" s="240"/>
      <c r="CH115" s="240"/>
      <c r="CI115" s="240"/>
      <c r="CJ115" s="240"/>
      <c r="CK115" s="241"/>
      <c r="CL115" s="168"/>
      <c r="CM115" s="166"/>
      <c r="CN115" s="166"/>
      <c r="CO115" s="242"/>
      <c r="CP115" s="178"/>
      <c r="CQ115" s="166"/>
      <c r="CR115" s="169"/>
      <c r="CS115" s="168"/>
      <c r="CT115" s="166"/>
      <c r="CU115" s="166"/>
      <c r="CV115" s="166"/>
      <c r="CW115" s="166"/>
      <c r="CX115" s="169"/>
      <c r="CY115" s="168"/>
      <c r="CZ115" s="166"/>
      <c r="DA115" s="166"/>
      <c r="DB115" s="166"/>
      <c r="DC115" s="166"/>
      <c r="DD115" s="166"/>
      <c r="DE115" s="169"/>
      <c r="DF115" s="182"/>
      <c r="DG115" s="166"/>
      <c r="DH115" s="166"/>
      <c r="DI115" s="166"/>
      <c r="DJ115" s="166"/>
      <c r="DK115" s="166"/>
      <c r="DL115" s="169"/>
      <c r="DM115" s="178"/>
      <c r="DN115" s="166"/>
      <c r="DO115" s="166"/>
      <c r="DP115" s="166"/>
      <c r="DQ115" s="166"/>
      <c r="DR115" s="166"/>
      <c r="DS115" s="183"/>
    </row>
    <row r="116" spans="1:123" ht="14" outlineLevel="1" x14ac:dyDescent="0.3">
      <c r="A116" s="319" t="s">
        <v>277</v>
      </c>
      <c r="B116" s="330" t="s">
        <v>33</v>
      </c>
      <c r="C116" s="408" t="s">
        <v>191</v>
      </c>
      <c r="D116" s="126"/>
      <c r="E116" s="108"/>
      <c r="F116" s="108"/>
      <c r="G116" s="108"/>
      <c r="H116" s="108"/>
      <c r="I116" s="108"/>
      <c r="J116" s="108"/>
      <c r="K116" s="108"/>
      <c r="L116" s="109"/>
      <c r="M116" s="110"/>
      <c r="N116" s="108"/>
      <c r="O116" s="108"/>
      <c r="P116" s="108"/>
      <c r="Q116" s="108"/>
      <c r="R116" s="108"/>
      <c r="S116" s="111"/>
      <c r="T116" s="110"/>
      <c r="U116" s="108"/>
      <c r="V116" s="108"/>
      <c r="W116" s="108"/>
      <c r="X116" s="108"/>
      <c r="Y116" s="170"/>
      <c r="Z116" s="171"/>
      <c r="AA116" s="172"/>
      <c r="AB116" s="170"/>
      <c r="AC116" s="170"/>
      <c r="AD116" s="170"/>
      <c r="AE116" s="170"/>
      <c r="AF116" s="170"/>
      <c r="AG116" s="171"/>
      <c r="AH116" s="173"/>
      <c r="AI116" s="174"/>
      <c r="AJ116" s="170"/>
      <c r="AK116" s="170"/>
      <c r="AL116" s="112"/>
      <c r="AM116" s="112"/>
      <c r="AN116" s="117"/>
      <c r="AO116" s="283"/>
      <c r="AP116" s="281"/>
      <c r="AQ116" s="281"/>
      <c r="AR116" s="281"/>
      <c r="AS116" s="281"/>
      <c r="AT116" s="281"/>
      <c r="AU116" s="284"/>
      <c r="AV116" s="283"/>
      <c r="AW116" s="281"/>
      <c r="AX116" s="281"/>
      <c r="AY116" s="281"/>
      <c r="AZ116" s="281"/>
      <c r="BA116" s="281"/>
      <c r="BB116" s="284"/>
      <c r="BC116" s="283"/>
      <c r="BD116" s="281"/>
      <c r="BE116" s="281"/>
      <c r="BF116" s="281"/>
      <c r="BG116" s="281"/>
      <c r="BH116" s="281"/>
      <c r="BI116" s="284"/>
      <c r="BJ116" s="283"/>
      <c r="BK116" s="281"/>
      <c r="BL116" s="281"/>
      <c r="BM116" s="167"/>
      <c r="BN116" s="176"/>
      <c r="BO116" s="281"/>
      <c r="BP116" s="284"/>
      <c r="BQ116" s="110"/>
      <c r="BR116" s="125"/>
      <c r="BS116" s="108"/>
      <c r="BT116" s="108"/>
      <c r="BU116" s="108"/>
      <c r="BV116" s="108"/>
      <c r="BW116" s="111"/>
      <c r="BX116" s="126"/>
      <c r="BY116" s="108"/>
      <c r="BZ116" s="108"/>
      <c r="CA116" s="108"/>
      <c r="CB116" s="108"/>
      <c r="CC116" s="240"/>
      <c r="CD116" s="241"/>
      <c r="CE116" s="239"/>
      <c r="CF116" s="240"/>
      <c r="CG116" s="240"/>
      <c r="CH116" s="240"/>
      <c r="CI116" s="240"/>
      <c r="CJ116" s="240"/>
      <c r="CK116" s="241"/>
      <c r="CL116" s="168"/>
      <c r="CM116" s="166"/>
      <c r="CN116" s="166"/>
      <c r="CO116" s="242"/>
      <c r="CP116" s="178"/>
      <c r="CQ116" s="166"/>
      <c r="CR116" s="169"/>
      <c r="CS116" s="168"/>
      <c r="CT116" s="166"/>
      <c r="CU116" s="166"/>
      <c r="CV116" s="166"/>
      <c r="CW116" s="166"/>
      <c r="CX116" s="169"/>
      <c r="CY116" s="168"/>
      <c r="CZ116" s="166"/>
      <c r="DA116" s="166"/>
      <c r="DB116" s="166"/>
      <c r="DC116" s="166"/>
      <c r="DD116" s="166"/>
      <c r="DE116" s="169"/>
      <c r="DF116" s="182"/>
      <c r="DG116" s="166"/>
      <c r="DH116" s="166"/>
      <c r="DI116" s="166"/>
      <c r="DJ116" s="166"/>
      <c r="DK116" s="166"/>
      <c r="DL116" s="169"/>
      <c r="DM116" s="178"/>
      <c r="DN116" s="166"/>
      <c r="DO116" s="166"/>
      <c r="DP116" s="166"/>
      <c r="DQ116" s="166"/>
      <c r="DR116" s="166"/>
      <c r="DS116" s="183"/>
    </row>
    <row r="117" spans="1:123" ht="14" outlineLevel="1" x14ac:dyDescent="0.3">
      <c r="A117" s="320" t="s">
        <v>278</v>
      </c>
      <c r="B117" s="330" t="s">
        <v>15</v>
      </c>
      <c r="C117" s="408" t="s">
        <v>191</v>
      </c>
      <c r="D117" s="126"/>
      <c r="E117" s="108"/>
      <c r="F117" s="108"/>
      <c r="G117" s="108"/>
      <c r="H117" s="108"/>
      <c r="I117" s="108"/>
      <c r="J117" s="108"/>
      <c r="K117" s="108"/>
      <c r="L117" s="109"/>
      <c r="M117" s="110"/>
      <c r="N117" s="108"/>
      <c r="O117" s="108"/>
      <c r="P117" s="108"/>
      <c r="Q117" s="108"/>
      <c r="R117" s="108"/>
      <c r="S117" s="111"/>
      <c r="T117" s="110"/>
      <c r="U117" s="108"/>
      <c r="V117" s="108"/>
      <c r="W117" s="108"/>
      <c r="X117" s="108"/>
      <c r="Y117" s="170"/>
      <c r="Z117" s="171"/>
      <c r="AA117" s="172"/>
      <c r="AB117" s="170"/>
      <c r="AC117" s="170"/>
      <c r="AD117" s="170"/>
      <c r="AE117" s="170"/>
      <c r="AF117" s="170"/>
      <c r="AG117" s="171"/>
      <c r="AH117" s="173"/>
      <c r="AI117" s="174"/>
      <c r="AJ117" s="170"/>
      <c r="AK117" s="170"/>
      <c r="AL117" s="112"/>
      <c r="AM117" s="112"/>
      <c r="AN117" s="117"/>
      <c r="AO117" s="283"/>
      <c r="AP117" s="281"/>
      <c r="AQ117" s="281"/>
      <c r="AR117" s="281"/>
      <c r="AS117" s="281"/>
      <c r="AT117" s="281"/>
      <c r="AU117" s="284"/>
      <c r="AV117" s="283"/>
      <c r="AW117" s="281"/>
      <c r="AX117" s="281"/>
      <c r="AY117" s="281"/>
      <c r="AZ117" s="281"/>
      <c r="BA117" s="281"/>
      <c r="BB117" s="284"/>
      <c r="BC117" s="283"/>
      <c r="BD117" s="281"/>
      <c r="BE117" s="281"/>
      <c r="BF117" s="281"/>
      <c r="BG117" s="281"/>
      <c r="BH117" s="281"/>
      <c r="BI117" s="284"/>
      <c r="BJ117" s="283"/>
      <c r="BK117" s="281"/>
      <c r="BL117" s="281"/>
      <c r="BM117" s="167"/>
      <c r="BN117" s="176"/>
      <c r="BO117" s="281"/>
      <c r="BP117" s="284"/>
      <c r="BQ117" s="110"/>
      <c r="BR117" s="125"/>
      <c r="BS117" s="108"/>
      <c r="BT117" s="108"/>
      <c r="BU117" s="108"/>
      <c r="BV117" s="108"/>
      <c r="BW117" s="111"/>
      <c r="BX117" s="126"/>
      <c r="BY117" s="108"/>
      <c r="BZ117" s="108"/>
      <c r="CA117" s="108"/>
      <c r="CB117" s="108"/>
      <c r="CC117" s="240"/>
      <c r="CD117" s="241"/>
      <c r="CE117" s="239"/>
      <c r="CF117" s="240"/>
      <c r="CG117" s="240"/>
      <c r="CH117" s="240"/>
      <c r="CI117" s="240"/>
      <c r="CJ117" s="240"/>
      <c r="CK117" s="241"/>
      <c r="CL117" s="168"/>
      <c r="CM117" s="166"/>
      <c r="CN117" s="166"/>
      <c r="CO117" s="242"/>
      <c r="CP117" s="178"/>
      <c r="CQ117" s="166"/>
      <c r="CR117" s="169"/>
      <c r="CS117" s="168"/>
      <c r="CT117" s="166"/>
      <c r="CU117" s="166"/>
      <c r="CV117" s="166"/>
      <c r="CW117" s="166"/>
      <c r="CX117" s="169"/>
      <c r="CY117" s="168"/>
      <c r="CZ117" s="166"/>
      <c r="DA117" s="166"/>
      <c r="DB117" s="166"/>
      <c r="DC117" s="166"/>
      <c r="DD117" s="166"/>
      <c r="DE117" s="169"/>
      <c r="DF117" s="182"/>
      <c r="DG117" s="166"/>
      <c r="DH117" s="166"/>
      <c r="DI117" s="166"/>
      <c r="DJ117" s="166"/>
      <c r="DK117" s="166"/>
      <c r="DL117" s="169"/>
      <c r="DM117" s="178"/>
      <c r="DN117" s="166"/>
      <c r="DO117" s="166"/>
      <c r="DP117" s="166"/>
      <c r="DQ117" s="166"/>
      <c r="DR117" s="166"/>
      <c r="DS117" s="183"/>
    </row>
    <row r="118" spans="1:123" ht="14" outlineLevel="1" x14ac:dyDescent="0.3">
      <c r="A118" s="317" t="s">
        <v>328</v>
      </c>
      <c r="B118" s="332"/>
      <c r="C118" s="327"/>
      <c r="D118" s="126"/>
      <c r="E118" s="108"/>
      <c r="F118" s="108"/>
      <c r="G118" s="108"/>
      <c r="H118" s="108"/>
      <c r="I118" s="108"/>
      <c r="J118" s="108"/>
      <c r="K118" s="108"/>
      <c r="L118" s="109"/>
      <c r="M118" s="110"/>
      <c r="N118" s="108"/>
      <c r="O118" s="108"/>
      <c r="P118" s="108"/>
      <c r="Q118" s="108"/>
      <c r="R118" s="108"/>
      <c r="S118" s="111"/>
      <c r="T118" s="110"/>
      <c r="U118" s="108"/>
      <c r="V118" s="108"/>
      <c r="W118" s="108"/>
      <c r="X118" s="108"/>
      <c r="Y118" s="170"/>
      <c r="Z118" s="171"/>
      <c r="AA118" s="172"/>
      <c r="AB118" s="170"/>
      <c r="AC118" s="170"/>
      <c r="AD118" s="170"/>
      <c r="AE118" s="170"/>
      <c r="AF118" s="170"/>
      <c r="AG118" s="171"/>
      <c r="AH118" s="173"/>
      <c r="AI118" s="174"/>
      <c r="AJ118" s="170"/>
      <c r="AK118" s="170"/>
      <c r="AL118" s="112"/>
      <c r="AM118" s="112"/>
      <c r="AN118" s="117"/>
      <c r="AO118" s="283"/>
      <c r="AP118" s="281"/>
      <c r="AQ118" s="281"/>
      <c r="AR118" s="281"/>
      <c r="AS118" s="281"/>
      <c r="AT118" s="281"/>
      <c r="AU118" s="284"/>
      <c r="AV118" s="283"/>
      <c r="AW118" s="281"/>
      <c r="AX118" s="281"/>
      <c r="AY118" s="281"/>
      <c r="AZ118" s="281"/>
      <c r="BA118" s="281"/>
      <c r="BB118" s="284"/>
      <c r="BC118" s="283"/>
      <c r="BD118" s="281"/>
      <c r="BE118" s="281"/>
      <c r="BF118" s="281"/>
      <c r="BG118" s="281"/>
      <c r="BH118" s="281"/>
      <c r="BI118" s="284"/>
      <c r="BJ118" s="283"/>
      <c r="BK118" s="281"/>
      <c r="BL118" s="281"/>
      <c r="BM118" s="167"/>
      <c r="BN118" s="176"/>
      <c r="BO118" s="281"/>
      <c r="BP118" s="284"/>
      <c r="BQ118" s="110"/>
      <c r="BR118" s="125"/>
      <c r="BS118" s="108"/>
      <c r="BT118" s="108"/>
      <c r="BU118" s="108"/>
      <c r="BV118" s="108"/>
      <c r="BW118" s="111"/>
      <c r="BX118" s="126"/>
      <c r="BY118" s="108"/>
      <c r="BZ118" s="108"/>
      <c r="CA118" s="108"/>
      <c r="CB118" s="108"/>
      <c r="CC118" s="240"/>
      <c r="CD118" s="241"/>
      <c r="CE118" s="239"/>
      <c r="CF118" s="240"/>
      <c r="CG118" s="240"/>
      <c r="CH118" s="240"/>
      <c r="CI118" s="240"/>
      <c r="CJ118" s="240"/>
      <c r="CK118" s="241"/>
      <c r="CL118" s="168"/>
      <c r="CM118" s="166"/>
      <c r="CN118" s="166"/>
      <c r="CO118" s="242"/>
      <c r="CP118" s="178"/>
      <c r="CQ118" s="166"/>
      <c r="CR118" s="169"/>
      <c r="CS118" s="168"/>
      <c r="CT118" s="166"/>
      <c r="CU118" s="166"/>
      <c r="CV118" s="166"/>
      <c r="CW118" s="166"/>
      <c r="CX118" s="169"/>
      <c r="CY118" s="168"/>
      <c r="CZ118" s="166"/>
      <c r="DA118" s="166"/>
      <c r="DB118" s="166"/>
      <c r="DC118" s="166"/>
      <c r="DD118" s="166"/>
      <c r="DE118" s="169"/>
      <c r="DF118" s="182"/>
      <c r="DG118" s="166"/>
      <c r="DH118" s="166"/>
      <c r="DI118" s="166"/>
      <c r="DJ118" s="166"/>
      <c r="DK118" s="166"/>
      <c r="DL118" s="169"/>
      <c r="DM118" s="178"/>
      <c r="DN118" s="166"/>
      <c r="DO118" s="166"/>
      <c r="DP118" s="166"/>
      <c r="DQ118" s="166"/>
      <c r="DR118" s="166"/>
      <c r="DS118" s="183"/>
    </row>
    <row r="119" spans="1:123" ht="14" outlineLevel="1" x14ac:dyDescent="0.3">
      <c r="A119" s="301" t="s">
        <v>329</v>
      </c>
      <c r="B119" s="330" t="s">
        <v>27</v>
      </c>
      <c r="C119" s="314" t="s">
        <v>191</v>
      </c>
      <c r="D119" s="126"/>
      <c r="E119" s="108"/>
      <c r="F119" s="108"/>
      <c r="G119" s="108"/>
      <c r="H119" s="108"/>
      <c r="I119" s="108"/>
      <c r="J119" s="108"/>
      <c r="K119" s="108"/>
      <c r="L119" s="109"/>
      <c r="M119" s="110"/>
      <c r="N119" s="108"/>
      <c r="O119" s="108"/>
      <c r="P119" s="108"/>
      <c r="Q119" s="108"/>
      <c r="R119" s="108"/>
      <c r="S119" s="111"/>
      <c r="T119" s="110"/>
      <c r="U119" s="108"/>
      <c r="V119" s="108"/>
      <c r="W119" s="108"/>
      <c r="X119" s="108"/>
      <c r="Y119" s="170"/>
      <c r="Z119" s="171"/>
      <c r="AA119" s="172"/>
      <c r="AB119" s="170"/>
      <c r="AC119" s="170"/>
      <c r="AD119" s="170"/>
      <c r="AE119" s="170"/>
      <c r="AF119" s="170"/>
      <c r="AG119" s="171"/>
      <c r="AH119" s="173"/>
      <c r="AI119" s="174"/>
      <c r="AJ119" s="170"/>
      <c r="AK119" s="170"/>
      <c r="AL119" s="112"/>
      <c r="AM119" s="112"/>
      <c r="AN119" s="117"/>
      <c r="AO119" s="283"/>
      <c r="AP119" s="281"/>
      <c r="AQ119" s="281"/>
      <c r="AR119" s="281"/>
      <c r="AS119" s="281"/>
      <c r="AT119" s="281"/>
      <c r="AU119" s="284"/>
      <c r="AV119" s="283"/>
      <c r="AW119" s="281"/>
      <c r="AX119" s="281"/>
      <c r="AY119" s="281"/>
      <c r="AZ119" s="281"/>
      <c r="BA119" s="281"/>
      <c r="BB119" s="284"/>
      <c r="BC119" s="283"/>
      <c r="BD119" s="281"/>
      <c r="BE119" s="281"/>
      <c r="BF119" s="281"/>
      <c r="BG119" s="281"/>
      <c r="BH119" s="281"/>
      <c r="BI119" s="284"/>
      <c r="BJ119" s="121"/>
      <c r="BK119" s="122"/>
      <c r="BL119" s="122"/>
      <c r="BM119" s="407"/>
      <c r="BN119" s="406"/>
      <c r="BO119" s="122"/>
      <c r="BP119" s="143"/>
      <c r="BQ119" s="121"/>
      <c r="BR119" s="122"/>
      <c r="BS119" s="122"/>
      <c r="BT119" s="122"/>
      <c r="BU119" s="122"/>
      <c r="BV119" s="122"/>
      <c r="BW119" s="143"/>
      <c r="BX119" s="238"/>
      <c r="BY119" s="122"/>
      <c r="BZ119" s="108"/>
      <c r="CA119" s="108"/>
      <c r="CB119" s="108"/>
      <c r="CC119" s="240"/>
      <c r="CD119" s="241"/>
      <c r="CE119" s="239"/>
      <c r="CF119" s="240"/>
      <c r="CG119" s="240"/>
      <c r="CH119" s="240"/>
      <c r="CI119" s="240"/>
      <c r="CJ119" s="240"/>
      <c r="CK119" s="241"/>
      <c r="CL119" s="168"/>
      <c r="CM119" s="166"/>
      <c r="CN119" s="166"/>
      <c r="CO119" s="242"/>
      <c r="CP119" s="178"/>
      <c r="CQ119" s="166"/>
      <c r="CR119" s="169"/>
      <c r="CS119" s="168"/>
      <c r="CT119" s="166"/>
      <c r="CU119" s="166"/>
      <c r="CV119" s="166"/>
      <c r="CW119" s="166"/>
      <c r="CX119" s="169"/>
      <c r="CY119" s="168"/>
      <c r="CZ119" s="166"/>
      <c r="DA119" s="166"/>
      <c r="DB119" s="166"/>
      <c r="DC119" s="166"/>
      <c r="DD119" s="166"/>
      <c r="DE119" s="169"/>
      <c r="DF119" s="182"/>
      <c r="DG119" s="166"/>
      <c r="DH119" s="166"/>
      <c r="DI119" s="166"/>
      <c r="DJ119" s="166"/>
      <c r="DK119" s="166"/>
      <c r="DL119" s="169"/>
      <c r="DM119" s="178"/>
      <c r="DN119" s="166"/>
      <c r="DO119" s="166"/>
      <c r="DP119" s="166"/>
      <c r="DQ119" s="166"/>
      <c r="DR119" s="166"/>
      <c r="DS119" s="183"/>
    </row>
    <row r="120" spans="1:123" ht="14" outlineLevel="1" x14ac:dyDescent="0.3">
      <c r="A120" s="301" t="s">
        <v>330</v>
      </c>
      <c r="B120" s="330" t="s">
        <v>27</v>
      </c>
      <c r="C120" s="313" t="s">
        <v>179</v>
      </c>
      <c r="D120" s="126"/>
      <c r="E120" s="108"/>
      <c r="F120" s="108"/>
      <c r="G120" s="108"/>
      <c r="H120" s="108"/>
      <c r="I120" s="108"/>
      <c r="J120" s="108"/>
      <c r="K120" s="108"/>
      <c r="L120" s="109"/>
      <c r="M120" s="110"/>
      <c r="N120" s="108"/>
      <c r="O120" s="108"/>
      <c r="P120" s="108"/>
      <c r="Q120" s="108"/>
      <c r="R120" s="108"/>
      <c r="S120" s="111"/>
      <c r="T120" s="110"/>
      <c r="U120" s="108"/>
      <c r="V120" s="108"/>
      <c r="W120" s="108"/>
      <c r="X120" s="108"/>
      <c r="Y120" s="170"/>
      <c r="Z120" s="171"/>
      <c r="AA120" s="172"/>
      <c r="AB120" s="170"/>
      <c r="AC120" s="170"/>
      <c r="AD120" s="170"/>
      <c r="AE120" s="170"/>
      <c r="AF120" s="170"/>
      <c r="AG120" s="171"/>
      <c r="AH120" s="173"/>
      <c r="AI120" s="174"/>
      <c r="AJ120" s="170"/>
      <c r="AK120" s="170"/>
      <c r="AL120" s="112"/>
      <c r="AM120" s="112"/>
      <c r="AN120" s="117"/>
      <c r="AO120" s="283"/>
      <c r="AP120" s="281"/>
      <c r="AQ120" s="281"/>
      <c r="AR120" s="281"/>
      <c r="AS120" s="281"/>
      <c r="AT120" s="281"/>
      <c r="AU120" s="284"/>
      <c r="AV120" s="283"/>
      <c r="AW120" s="281"/>
      <c r="AX120" s="281"/>
      <c r="AY120" s="281"/>
      <c r="AZ120" s="281"/>
      <c r="BA120" s="281"/>
      <c r="BB120" s="284"/>
      <c r="BC120" s="121"/>
      <c r="BD120" s="122"/>
      <c r="BE120" s="122"/>
      <c r="BF120" s="122"/>
      <c r="BG120" s="122"/>
      <c r="BH120" s="122"/>
      <c r="BI120" s="143"/>
      <c r="BJ120" s="121"/>
      <c r="BK120" s="122"/>
      <c r="BL120" s="122"/>
      <c r="BM120" s="407"/>
      <c r="BN120" s="406"/>
      <c r="BO120" s="122"/>
      <c r="BP120" s="143"/>
      <c r="BQ120" s="121"/>
      <c r="BR120" s="122"/>
      <c r="BS120" s="122"/>
      <c r="BT120" s="108"/>
      <c r="BU120" s="108"/>
      <c r="BV120" s="108"/>
      <c r="BW120" s="111"/>
      <c r="BX120" s="126"/>
      <c r="BY120" s="108"/>
      <c r="BZ120" s="108"/>
      <c r="CA120" s="108"/>
      <c r="CB120" s="108"/>
      <c r="CC120" s="240"/>
      <c r="CD120" s="241"/>
      <c r="CE120" s="239"/>
      <c r="CF120" s="240"/>
      <c r="CG120" s="240"/>
      <c r="CH120" s="240"/>
      <c r="CI120" s="240"/>
      <c r="CJ120" s="240"/>
      <c r="CK120" s="241"/>
      <c r="CL120" s="168"/>
      <c r="CM120" s="166"/>
      <c r="CN120" s="166"/>
      <c r="CO120" s="242"/>
      <c r="CP120" s="178"/>
      <c r="CQ120" s="166"/>
      <c r="CR120" s="169"/>
      <c r="CS120" s="168"/>
      <c r="CT120" s="166"/>
      <c r="CU120" s="166"/>
      <c r="CV120" s="166"/>
      <c r="CW120" s="166"/>
      <c r="CX120" s="169"/>
      <c r="CY120" s="168"/>
      <c r="CZ120" s="166"/>
      <c r="DA120" s="166"/>
      <c r="DB120" s="166"/>
      <c r="DC120" s="166"/>
      <c r="DD120" s="166"/>
      <c r="DE120" s="169"/>
      <c r="DF120" s="182"/>
      <c r="DG120" s="166"/>
      <c r="DH120" s="166"/>
      <c r="DI120" s="166"/>
      <c r="DJ120" s="166"/>
      <c r="DK120" s="166"/>
      <c r="DL120" s="169"/>
      <c r="DM120" s="178"/>
      <c r="DN120" s="166"/>
      <c r="DO120" s="166"/>
      <c r="DP120" s="166"/>
      <c r="DQ120" s="166"/>
      <c r="DR120" s="166"/>
      <c r="DS120" s="183"/>
    </row>
    <row r="121" spans="1:123" ht="14" outlineLevel="1" x14ac:dyDescent="0.3">
      <c r="A121" s="301" t="s">
        <v>331</v>
      </c>
      <c r="B121" s="330" t="s">
        <v>27</v>
      </c>
      <c r="C121" s="314" t="s">
        <v>191</v>
      </c>
      <c r="D121" s="126"/>
      <c r="E121" s="108"/>
      <c r="F121" s="108"/>
      <c r="G121" s="108"/>
      <c r="H121" s="108"/>
      <c r="I121" s="108"/>
      <c r="J121" s="108"/>
      <c r="K121" s="108"/>
      <c r="L121" s="109"/>
      <c r="M121" s="110"/>
      <c r="N121" s="108"/>
      <c r="O121" s="108"/>
      <c r="P121" s="108"/>
      <c r="Q121" s="108"/>
      <c r="R121" s="108"/>
      <c r="S121" s="111"/>
      <c r="T121" s="110"/>
      <c r="U121" s="108"/>
      <c r="V121" s="108"/>
      <c r="W121" s="108"/>
      <c r="X121" s="108"/>
      <c r="Y121" s="170"/>
      <c r="Z121" s="171"/>
      <c r="AA121" s="172"/>
      <c r="AB121" s="170"/>
      <c r="AC121" s="170"/>
      <c r="AD121" s="170"/>
      <c r="AE121" s="170"/>
      <c r="AF121" s="170"/>
      <c r="AG121" s="171"/>
      <c r="AH121" s="173"/>
      <c r="AI121" s="174"/>
      <c r="AJ121" s="170"/>
      <c r="AK121" s="170"/>
      <c r="AL121" s="112"/>
      <c r="AM121" s="112"/>
      <c r="AN121" s="117"/>
      <c r="AO121" s="283"/>
      <c r="AP121" s="281"/>
      <c r="AQ121" s="281"/>
      <c r="AR121" s="281"/>
      <c r="AS121" s="281"/>
      <c r="AT121" s="281"/>
      <c r="AU121" s="284"/>
      <c r="AV121" s="283"/>
      <c r="AW121" s="281"/>
      <c r="AX121" s="281"/>
      <c r="AY121" s="281"/>
      <c r="AZ121" s="281"/>
      <c r="BA121" s="281"/>
      <c r="BB121" s="284"/>
      <c r="BC121" s="283"/>
      <c r="BD121" s="281"/>
      <c r="BE121" s="281"/>
      <c r="BF121" s="281"/>
      <c r="BG121" s="281"/>
      <c r="BH121" s="281"/>
      <c r="BI121" s="284"/>
      <c r="BJ121" s="283"/>
      <c r="BK121" s="281"/>
      <c r="BL121" s="281"/>
      <c r="BM121" s="167"/>
      <c r="BN121" s="176"/>
      <c r="BO121" s="281"/>
      <c r="BP121" s="284"/>
      <c r="BQ121" s="110"/>
      <c r="BR121" s="125"/>
      <c r="BS121" s="108"/>
      <c r="BT121" s="122"/>
      <c r="BU121" s="122"/>
      <c r="BV121" s="122"/>
      <c r="BW121" s="143"/>
      <c r="BX121" s="238"/>
      <c r="BY121" s="122"/>
      <c r="BZ121" s="122"/>
      <c r="CA121" s="122"/>
      <c r="CB121" s="122"/>
      <c r="CC121" s="240"/>
      <c r="CD121" s="241"/>
      <c r="CE121" s="239"/>
      <c r="CF121" s="240"/>
      <c r="CG121" s="240"/>
      <c r="CH121" s="240"/>
      <c r="CI121" s="240"/>
      <c r="CJ121" s="240"/>
      <c r="CK121" s="241"/>
      <c r="CL121" s="168"/>
      <c r="CM121" s="166"/>
      <c r="CN121" s="166"/>
      <c r="CO121" s="242"/>
      <c r="CP121" s="178"/>
      <c r="CQ121" s="166"/>
      <c r="CR121" s="169"/>
      <c r="CS121" s="168"/>
      <c r="CT121" s="166"/>
      <c r="CU121" s="166"/>
      <c r="CV121" s="166"/>
      <c r="CW121" s="166"/>
      <c r="CX121" s="169"/>
      <c r="CY121" s="168"/>
      <c r="CZ121" s="166"/>
      <c r="DA121" s="166"/>
      <c r="DB121" s="166"/>
      <c r="DC121" s="166"/>
      <c r="DD121" s="166"/>
      <c r="DE121" s="169"/>
      <c r="DF121" s="182"/>
      <c r="DG121" s="166"/>
      <c r="DH121" s="166"/>
      <c r="DI121" s="166"/>
      <c r="DJ121" s="166"/>
      <c r="DK121" s="166"/>
      <c r="DL121" s="169"/>
      <c r="DM121" s="178"/>
      <c r="DN121" s="166"/>
      <c r="DO121" s="166"/>
      <c r="DP121" s="166"/>
      <c r="DQ121" s="166"/>
      <c r="DR121" s="166"/>
      <c r="DS121" s="183"/>
    </row>
    <row r="122" spans="1:123" ht="14" outlineLevel="1" x14ac:dyDescent="0.3">
      <c r="A122" s="301" t="s">
        <v>332</v>
      </c>
      <c r="B122" s="330" t="s">
        <v>27</v>
      </c>
      <c r="C122" s="313" t="s">
        <v>179</v>
      </c>
      <c r="D122" s="126"/>
      <c r="E122" s="108"/>
      <c r="F122" s="108"/>
      <c r="G122" s="108"/>
      <c r="H122" s="108"/>
      <c r="I122" s="108"/>
      <c r="J122" s="108"/>
      <c r="K122" s="108"/>
      <c r="L122" s="109"/>
      <c r="M122" s="110"/>
      <c r="N122" s="108"/>
      <c r="O122" s="108"/>
      <c r="P122" s="108"/>
      <c r="Q122" s="108"/>
      <c r="R122" s="108"/>
      <c r="S122" s="111"/>
      <c r="T122" s="110"/>
      <c r="U122" s="108"/>
      <c r="V122" s="108"/>
      <c r="W122" s="108"/>
      <c r="X122" s="108"/>
      <c r="Y122" s="170"/>
      <c r="Z122" s="171"/>
      <c r="AA122" s="172"/>
      <c r="AB122" s="170"/>
      <c r="AC122" s="170"/>
      <c r="AD122" s="170"/>
      <c r="AE122" s="170"/>
      <c r="AF122" s="170"/>
      <c r="AG122" s="171"/>
      <c r="AH122" s="173"/>
      <c r="AI122" s="174"/>
      <c r="AJ122" s="170"/>
      <c r="AK122" s="170"/>
      <c r="AL122" s="112"/>
      <c r="AM122" s="112"/>
      <c r="AN122" s="117"/>
      <c r="AO122" s="283"/>
      <c r="AP122" s="281"/>
      <c r="AQ122" s="281"/>
      <c r="AR122" s="281"/>
      <c r="AS122" s="281"/>
      <c r="AT122" s="281"/>
      <c r="AU122" s="284"/>
      <c r="AV122" s="283"/>
      <c r="AW122" s="281"/>
      <c r="AX122" s="281"/>
      <c r="AY122" s="281"/>
      <c r="AZ122" s="281"/>
      <c r="BA122" s="281"/>
      <c r="BB122" s="284"/>
      <c r="BC122" s="283"/>
      <c r="BD122" s="281"/>
      <c r="BE122" s="281"/>
      <c r="BF122" s="281"/>
      <c r="BG122" s="281"/>
      <c r="BH122" s="281"/>
      <c r="BI122" s="284"/>
      <c r="BJ122" s="283"/>
      <c r="BK122" s="281"/>
      <c r="BL122" s="281"/>
      <c r="BM122" s="167"/>
      <c r="BN122" s="176"/>
      <c r="BO122" s="281"/>
      <c r="BP122" s="284"/>
      <c r="BQ122" s="121"/>
      <c r="BR122" s="122"/>
      <c r="BS122" s="122"/>
      <c r="BT122" s="108"/>
      <c r="BU122" s="108"/>
      <c r="BV122" s="108"/>
      <c r="BW122" s="111"/>
      <c r="BX122" s="126"/>
      <c r="BY122" s="108"/>
      <c r="BZ122" s="108"/>
      <c r="CA122" s="108"/>
      <c r="CB122" s="108"/>
      <c r="CC122" s="240"/>
      <c r="CD122" s="241"/>
      <c r="CE122" s="239"/>
      <c r="CF122" s="240"/>
      <c r="CG122" s="240"/>
      <c r="CH122" s="240"/>
      <c r="CI122" s="240"/>
      <c r="CJ122" s="240"/>
      <c r="CK122" s="241"/>
      <c r="CL122" s="168"/>
      <c r="CM122" s="166"/>
      <c r="CN122" s="166"/>
      <c r="CO122" s="242"/>
      <c r="CP122" s="178"/>
      <c r="CQ122" s="166"/>
      <c r="CR122" s="169"/>
      <c r="CS122" s="168"/>
      <c r="CT122" s="166"/>
      <c r="CU122" s="166"/>
      <c r="CV122" s="166"/>
      <c r="CW122" s="166"/>
      <c r="CX122" s="169"/>
      <c r="CY122" s="168"/>
      <c r="CZ122" s="166"/>
      <c r="DA122" s="166"/>
      <c r="DB122" s="166"/>
      <c r="DC122" s="166"/>
      <c r="DD122" s="166"/>
      <c r="DE122" s="169"/>
      <c r="DF122" s="182"/>
      <c r="DG122" s="166"/>
      <c r="DH122" s="166"/>
      <c r="DI122" s="166"/>
      <c r="DJ122" s="166"/>
      <c r="DK122" s="166"/>
      <c r="DL122" s="169"/>
      <c r="DM122" s="178"/>
      <c r="DN122" s="166"/>
      <c r="DO122" s="166"/>
      <c r="DP122" s="166"/>
      <c r="DQ122" s="166"/>
      <c r="DR122" s="166"/>
      <c r="DS122" s="183"/>
    </row>
    <row r="123" spans="1:123" ht="14" outlineLevel="1" x14ac:dyDescent="0.3">
      <c r="A123" s="301" t="s">
        <v>335</v>
      </c>
      <c r="B123" s="330" t="s">
        <v>27</v>
      </c>
      <c r="C123" s="314" t="s">
        <v>191</v>
      </c>
      <c r="D123" s="126"/>
      <c r="E123" s="108"/>
      <c r="F123" s="108"/>
      <c r="G123" s="108"/>
      <c r="H123" s="108"/>
      <c r="I123" s="108"/>
      <c r="J123" s="108"/>
      <c r="K123" s="108"/>
      <c r="L123" s="109"/>
      <c r="M123" s="110"/>
      <c r="N123" s="108"/>
      <c r="O123" s="108"/>
      <c r="P123" s="108"/>
      <c r="Q123" s="108"/>
      <c r="R123" s="108"/>
      <c r="S123" s="111"/>
      <c r="T123" s="110"/>
      <c r="U123" s="108"/>
      <c r="V123" s="108"/>
      <c r="W123" s="108"/>
      <c r="X123" s="108"/>
      <c r="Y123" s="170"/>
      <c r="Z123" s="171"/>
      <c r="AA123" s="172"/>
      <c r="AB123" s="170"/>
      <c r="AC123" s="170"/>
      <c r="AD123" s="170"/>
      <c r="AE123" s="170"/>
      <c r="AF123" s="170"/>
      <c r="AG123" s="171"/>
      <c r="AH123" s="173"/>
      <c r="AI123" s="174"/>
      <c r="AJ123" s="170"/>
      <c r="AK123" s="170"/>
      <c r="AL123" s="112"/>
      <c r="AM123" s="112"/>
      <c r="AN123" s="117"/>
      <c r="AO123" s="283"/>
      <c r="AP123" s="281"/>
      <c r="AQ123" s="281"/>
      <c r="AR123" s="281"/>
      <c r="AS123" s="281"/>
      <c r="AT123" s="281"/>
      <c r="AU123" s="284"/>
      <c r="AV123" s="283"/>
      <c r="AW123" s="281"/>
      <c r="AX123" s="281"/>
      <c r="AY123" s="281"/>
      <c r="AZ123" s="281"/>
      <c r="BA123" s="281"/>
      <c r="BB123" s="284"/>
      <c r="BC123" s="283"/>
      <c r="BD123" s="281"/>
      <c r="BE123" s="281"/>
      <c r="BF123" s="281"/>
      <c r="BG123" s="281"/>
      <c r="BH123" s="281"/>
      <c r="BI123" s="284"/>
      <c r="BJ123" s="283"/>
      <c r="BK123" s="281"/>
      <c r="BL123" s="281"/>
      <c r="BM123" s="167"/>
      <c r="BN123" s="176"/>
      <c r="BO123" s="281"/>
      <c r="BP123" s="284"/>
      <c r="BQ123" s="110"/>
      <c r="BR123" s="125"/>
      <c r="BS123" s="122"/>
      <c r="BT123" s="122"/>
      <c r="BU123" s="122"/>
      <c r="BV123" s="108"/>
      <c r="BW123" s="111"/>
      <c r="BX123" s="126"/>
      <c r="BY123" s="108"/>
      <c r="BZ123" s="108"/>
      <c r="CA123" s="108"/>
      <c r="CB123" s="108"/>
      <c r="CC123" s="240"/>
      <c r="CD123" s="241"/>
      <c r="CE123" s="239"/>
      <c r="CF123" s="240"/>
      <c r="CG123" s="240"/>
      <c r="CH123" s="240"/>
      <c r="CI123" s="240"/>
      <c r="CJ123" s="240"/>
      <c r="CK123" s="241"/>
      <c r="CL123" s="168"/>
      <c r="CM123" s="166"/>
      <c r="CN123" s="166"/>
      <c r="CO123" s="242"/>
      <c r="CP123" s="178"/>
      <c r="CQ123" s="166"/>
      <c r="CR123" s="169"/>
      <c r="CS123" s="168"/>
      <c r="CT123" s="166"/>
      <c r="CU123" s="166"/>
      <c r="CV123" s="166"/>
      <c r="CW123" s="166"/>
      <c r="CX123" s="169"/>
      <c r="CY123" s="168"/>
      <c r="CZ123" s="166"/>
      <c r="DA123" s="166"/>
      <c r="DB123" s="166"/>
      <c r="DC123" s="166"/>
      <c r="DD123" s="166"/>
      <c r="DE123" s="169"/>
      <c r="DF123" s="182"/>
      <c r="DG123" s="166"/>
      <c r="DH123" s="166"/>
      <c r="DI123" s="166"/>
      <c r="DJ123" s="166"/>
      <c r="DK123" s="166"/>
      <c r="DL123" s="169"/>
      <c r="DM123" s="178"/>
      <c r="DN123" s="166"/>
      <c r="DO123" s="166"/>
      <c r="DP123" s="166"/>
      <c r="DQ123" s="166"/>
      <c r="DR123" s="166"/>
      <c r="DS123" s="183"/>
    </row>
    <row r="124" spans="1:123" ht="14" outlineLevel="1" x14ac:dyDescent="0.3">
      <c r="A124" s="301" t="s">
        <v>344</v>
      </c>
      <c r="B124" s="330" t="s">
        <v>27</v>
      </c>
      <c r="C124" s="314" t="s">
        <v>191</v>
      </c>
      <c r="D124" s="126"/>
      <c r="E124" s="108"/>
      <c r="F124" s="108"/>
      <c r="G124" s="108"/>
      <c r="H124" s="108"/>
      <c r="I124" s="108"/>
      <c r="J124" s="108"/>
      <c r="K124" s="108"/>
      <c r="L124" s="109"/>
      <c r="M124" s="110"/>
      <c r="N124" s="108"/>
      <c r="O124" s="108"/>
      <c r="P124" s="108"/>
      <c r="Q124" s="108"/>
      <c r="R124" s="108"/>
      <c r="S124" s="111"/>
      <c r="T124" s="110"/>
      <c r="U124" s="108"/>
      <c r="V124" s="108"/>
      <c r="W124" s="108"/>
      <c r="X124" s="108"/>
      <c r="Y124" s="170"/>
      <c r="Z124" s="171"/>
      <c r="AA124" s="172"/>
      <c r="AB124" s="170"/>
      <c r="AC124" s="170"/>
      <c r="AD124" s="170"/>
      <c r="AE124" s="170"/>
      <c r="AF124" s="170"/>
      <c r="AG124" s="171"/>
      <c r="AH124" s="173"/>
      <c r="AI124" s="174"/>
      <c r="AJ124" s="170"/>
      <c r="AK124" s="170"/>
      <c r="AL124" s="112"/>
      <c r="AM124" s="112"/>
      <c r="AN124" s="117"/>
      <c r="AO124" s="283"/>
      <c r="AP124" s="281"/>
      <c r="AQ124" s="281"/>
      <c r="AR124" s="281"/>
      <c r="AS124" s="281"/>
      <c r="AT124" s="281"/>
      <c r="AU124" s="284"/>
      <c r="AV124" s="283"/>
      <c r="AW124" s="281"/>
      <c r="AX124" s="281"/>
      <c r="AY124" s="281"/>
      <c r="AZ124" s="281"/>
      <c r="BA124" s="281"/>
      <c r="BB124" s="284"/>
      <c r="BC124" s="283"/>
      <c r="BD124" s="281"/>
      <c r="BE124" s="281"/>
      <c r="BF124" s="281"/>
      <c r="BG124" s="281"/>
      <c r="BH124" s="281"/>
      <c r="BI124" s="284"/>
      <c r="BJ124" s="283"/>
      <c r="BK124" s="281"/>
      <c r="BL124" s="281"/>
      <c r="BM124" s="167"/>
      <c r="BN124" s="176"/>
      <c r="BO124" s="281"/>
      <c r="BP124" s="284"/>
      <c r="BQ124" s="110"/>
      <c r="BR124" s="125"/>
      <c r="BS124" s="122"/>
      <c r="BT124" s="122"/>
      <c r="BU124" s="122"/>
      <c r="BV124" s="122"/>
      <c r="BW124" s="143"/>
      <c r="BX124" s="238"/>
      <c r="BY124" s="122"/>
      <c r="BZ124" s="122"/>
      <c r="CA124" s="122"/>
      <c r="CB124" s="122"/>
      <c r="CC124" s="240"/>
      <c r="CD124" s="241"/>
      <c r="CE124" s="239"/>
      <c r="CF124" s="240"/>
      <c r="CG124" s="240"/>
      <c r="CH124" s="240"/>
      <c r="CI124" s="240"/>
      <c r="CJ124" s="240"/>
      <c r="CK124" s="241"/>
      <c r="CL124" s="168"/>
      <c r="CM124" s="166"/>
      <c r="CN124" s="166"/>
      <c r="CO124" s="242"/>
      <c r="CP124" s="178"/>
      <c r="CQ124" s="166"/>
      <c r="CR124" s="169"/>
      <c r="CS124" s="168"/>
      <c r="CT124" s="166"/>
      <c r="CU124" s="166"/>
      <c r="CV124" s="166"/>
      <c r="CW124" s="166"/>
      <c r="CX124" s="169"/>
      <c r="CY124" s="168"/>
      <c r="CZ124" s="166"/>
      <c r="DA124" s="166"/>
      <c r="DB124" s="166"/>
      <c r="DC124" s="166"/>
      <c r="DD124" s="166"/>
      <c r="DE124" s="169"/>
      <c r="DF124" s="182"/>
      <c r="DG124" s="166"/>
      <c r="DH124" s="166"/>
      <c r="DI124" s="166"/>
      <c r="DJ124" s="166"/>
      <c r="DK124" s="166"/>
      <c r="DL124" s="169"/>
      <c r="DM124" s="178"/>
      <c r="DN124" s="166"/>
      <c r="DO124" s="166"/>
      <c r="DP124" s="166"/>
      <c r="DQ124" s="166"/>
      <c r="DR124" s="166"/>
      <c r="DS124" s="183"/>
    </row>
    <row r="125" spans="1:123" ht="14" outlineLevel="1" x14ac:dyDescent="0.3">
      <c r="A125" s="301" t="s">
        <v>345</v>
      </c>
      <c r="B125" s="330" t="s">
        <v>27</v>
      </c>
      <c r="C125" s="314" t="s">
        <v>191</v>
      </c>
      <c r="D125" s="126"/>
      <c r="E125" s="108"/>
      <c r="F125" s="108"/>
      <c r="G125" s="108"/>
      <c r="H125" s="108"/>
      <c r="I125" s="108"/>
      <c r="J125" s="108"/>
      <c r="K125" s="108"/>
      <c r="L125" s="109"/>
      <c r="M125" s="110"/>
      <c r="N125" s="108"/>
      <c r="O125" s="108"/>
      <c r="P125" s="108"/>
      <c r="Q125" s="108"/>
      <c r="R125" s="108"/>
      <c r="S125" s="111"/>
      <c r="T125" s="110"/>
      <c r="U125" s="108"/>
      <c r="V125" s="108"/>
      <c r="W125" s="108"/>
      <c r="X125" s="108"/>
      <c r="Y125" s="170"/>
      <c r="Z125" s="171"/>
      <c r="AA125" s="172"/>
      <c r="AB125" s="170"/>
      <c r="AC125" s="170"/>
      <c r="AD125" s="170"/>
      <c r="AE125" s="170"/>
      <c r="AF125" s="170"/>
      <c r="AG125" s="171"/>
      <c r="AH125" s="173"/>
      <c r="AI125" s="174"/>
      <c r="AJ125" s="170"/>
      <c r="AK125" s="170"/>
      <c r="AL125" s="112"/>
      <c r="AM125" s="112"/>
      <c r="AN125" s="117"/>
      <c r="AO125" s="283"/>
      <c r="AP125" s="281"/>
      <c r="AQ125" s="281"/>
      <c r="AR125" s="281"/>
      <c r="AS125" s="281"/>
      <c r="AT125" s="281"/>
      <c r="AU125" s="284"/>
      <c r="AV125" s="283"/>
      <c r="AW125" s="281"/>
      <c r="AX125" s="281"/>
      <c r="AY125" s="281"/>
      <c r="AZ125" s="281"/>
      <c r="BA125" s="281"/>
      <c r="BB125" s="284"/>
      <c r="BC125" s="283"/>
      <c r="BD125" s="281"/>
      <c r="BE125" s="281"/>
      <c r="BF125" s="281"/>
      <c r="BG125" s="281"/>
      <c r="BH125" s="281"/>
      <c r="BI125" s="284"/>
      <c r="BJ125" s="283"/>
      <c r="BK125" s="281"/>
      <c r="BL125" s="281"/>
      <c r="BM125" s="167"/>
      <c r="BN125" s="176"/>
      <c r="BO125" s="281"/>
      <c r="BP125" s="284"/>
      <c r="BQ125" s="110"/>
      <c r="BR125" s="125"/>
      <c r="BS125" s="122"/>
      <c r="BT125" s="122"/>
      <c r="BU125" s="122"/>
      <c r="BV125" s="122"/>
      <c r="BW125" s="143"/>
      <c r="BX125" s="238"/>
      <c r="BY125" s="122"/>
      <c r="BZ125" s="122"/>
      <c r="CA125" s="122"/>
      <c r="CB125" s="122"/>
      <c r="CC125" s="240"/>
      <c r="CD125" s="241"/>
      <c r="CE125" s="239"/>
      <c r="CF125" s="240"/>
      <c r="CG125" s="240"/>
      <c r="CH125" s="240"/>
      <c r="CI125" s="240"/>
      <c r="CJ125" s="240"/>
      <c r="CK125" s="241"/>
      <c r="CL125" s="168"/>
      <c r="CM125" s="166"/>
      <c r="CN125" s="166"/>
      <c r="CO125" s="242"/>
      <c r="CP125" s="178"/>
      <c r="CQ125" s="166"/>
      <c r="CR125" s="169"/>
      <c r="CS125" s="168"/>
      <c r="CT125" s="166"/>
      <c r="CU125" s="166"/>
      <c r="CV125" s="166"/>
      <c r="CW125" s="166"/>
      <c r="CX125" s="169"/>
      <c r="CY125" s="168"/>
      <c r="CZ125" s="166"/>
      <c r="DA125" s="166"/>
      <c r="DB125" s="166"/>
      <c r="DC125" s="166"/>
      <c r="DD125" s="166"/>
      <c r="DE125" s="169"/>
      <c r="DF125" s="182"/>
      <c r="DG125" s="166"/>
      <c r="DH125" s="166"/>
      <c r="DI125" s="166"/>
      <c r="DJ125" s="166"/>
      <c r="DK125" s="166"/>
      <c r="DL125" s="169"/>
      <c r="DM125" s="178"/>
      <c r="DN125" s="166"/>
      <c r="DO125" s="166"/>
      <c r="DP125" s="166"/>
      <c r="DQ125" s="166"/>
      <c r="DR125" s="166"/>
      <c r="DS125" s="183"/>
    </row>
    <row r="126" spans="1:123" ht="14" outlineLevel="1" x14ac:dyDescent="0.3">
      <c r="A126" s="301" t="s">
        <v>333</v>
      </c>
      <c r="B126" s="330" t="s">
        <v>27</v>
      </c>
      <c r="C126" s="326" t="s">
        <v>182</v>
      </c>
      <c r="D126" s="126"/>
      <c r="E126" s="108"/>
      <c r="F126" s="108"/>
      <c r="G126" s="108"/>
      <c r="H126" s="108"/>
      <c r="I126" s="108"/>
      <c r="J126" s="108"/>
      <c r="K126" s="108"/>
      <c r="L126" s="109"/>
      <c r="M126" s="110"/>
      <c r="N126" s="108"/>
      <c r="O126" s="108"/>
      <c r="P126" s="108"/>
      <c r="Q126" s="108"/>
      <c r="R126" s="108"/>
      <c r="S126" s="111"/>
      <c r="T126" s="110"/>
      <c r="U126" s="108"/>
      <c r="V126" s="108"/>
      <c r="W126" s="108"/>
      <c r="X126" s="108"/>
      <c r="Y126" s="170"/>
      <c r="Z126" s="171"/>
      <c r="AA126" s="172"/>
      <c r="AB126" s="170"/>
      <c r="AC126" s="170"/>
      <c r="AD126" s="170"/>
      <c r="AE126" s="170"/>
      <c r="AF126" s="170"/>
      <c r="AG126" s="171"/>
      <c r="AH126" s="173"/>
      <c r="AI126" s="174"/>
      <c r="AJ126" s="170"/>
      <c r="AK126" s="170"/>
      <c r="AL126" s="112"/>
      <c r="AM126" s="112"/>
      <c r="AN126" s="117"/>
      <c r="AO126" s="283"/>
      <c r="AP126" s="281"/>
      <c r="AQ126" s="281"/>
      <c r="AR126" s="281"/>
      <c r="AS126" s="281"/>
      <c r="AT126" s="281"/>
      <c r="AU126" s="284"/>
      <c r="AV126" s="283"/>
      <c r="AW126" s="281"/>
      <c r="AX126" s="281"/>
      <c r="AY126" s="281"/>
      <c r="AZ126" s="281"/>
      <c r="BA126" s="281"/>
      <c r="BB126" s="284"/>
      <c r="BC126" s="283"/>
      <c r="BD126" s="281"/>
      <c r="BE126" s="281"/>
      <c r="BF126" s="281"/>
      <c r="BG126" s="281"/>
      <c r="BH126" s="281"/>
      <c r="BI126" s="284"/>
      <c r="BJ126" s="283"/>
      <c r="BK126" s="281"/>
      <c r="BL126" s="281"/>
      <c r="BM126" s="167"/>
      <c r="BN126" s="176"/>
      <c r="BO126" s="281"/>
      <c r="BP126" s="284"/>
      <c r="BQ126" s="110"/>
      <c r="BR126" s="125"/>
      <c r="BS126" s="108"/>
      <c r="BT126" s="108"/>
      <c r="BU126" s="108"/>
      <c r="BV126" s="108"/>
      <c r="BW126" s="111"/>
      <c r="BX126" s="238"/>
      <c r="BY126" s="122"/>
      <c r="BZ126" s="122"/>
      <c r="CA126" s="108"/>
      <c r="CB126" s="108"/>
      <c r="CC126" s="240"/>
      <c r="CD126" s="241"/>
      <c r="CE126" s="239"/>
      <c r="CF126" s="240"/>
      <c r="CG126" s="240"/>
      <c r="CH126" s="240"/>
      <c r="CI126" s="240"/>
      <c r="CJ126" s="240"/>
      <c r="CK126" s="241"/>
      <c r="CL126" s="168"/>
      <c r="CM126" s="166"/>
      <c r="CN126" s="166"/>
      <c r="CO126" s="242"/>
      <c r="CP126" s="178"/>
      <c r="CQ126" s="166"/>
      <c r="CR126" s="169"/>
      <c r="CS126" s="168"/>
      <c r="CT126" s="166"/>
      <c r="CU126" s="166"/>
      <c r="CV126" s="166"/>
      <c r="CW126" s="166"/>
      <c r="CX126" s="169"/>
      <c r="CY126" s="168"/>
      <c r="CZ126" s="166"/>
      <c r="DA126" s="166"/>
      <c r="DB126" s="166"/>
      <c r="DC126" s="166"/>
      <c r="DD126" s="166"/>
      <c r="DE126" s="169"/>
      <c r="DF126" s="182"/>
      <c r="DG126" s="166"/>
      <c r="DH126" s="166"/>
      <c r="DI126" s="166"/>
      <c r="DJ126" s="166"/>
      <c r="DK126" s="166"/>
      <c r="DL126" s="169"/>
      <c r="DM126" s="178"/>
      <c r="DN126" s="166"/>
      <c r="DO126" s="166"/>
      <c r="DP126" s="166"/>
      <c r="DQ126" s="166"/>
      <c r="DR126" s="166"/>
      <c r="DS126" s="183"/>
    </row>
    <row r="127" spans="1:123" ht="14.5" outlineLevel="1" thickBot="1" x14ac:dyDescent="0.35">
      <c r="A127" s="301" t="s">
        <v>334</v>
      </c>
      <c r="B127" s="330" t="s">
        <v>27</v>
      </c>
      <c r="C127" s="326" t="s">
        <v>182</v>
      </c>
      <c r="D127" s="126"/>
      <c r="E127" s="108"/>
      <c r="F127" s="108"/>
      <c r="G127" s="108"/>
      <c r="H127" s="108"/>
      <c r="I127" s="108"/>
      <c r="J127" s="108"/>
      <c r="K127" s="108"/>
      <c r="L127" s="109"/>
      <c r="M127" s="110"/>
      <c r="N127" s="108"/>
      <c r="O127" s="108"/>
      <c r="P127" s="108"/>
      <c r="Q127" s="108"/>
      <c r="R127" s="108"/>
      <c r="S127" s="111"/>
      <c r="T127" s="110"/>
      <c r="U127" s="108"/>
      <c r="V127" s="108"/>
      <c r="W127" s="108"/>
      <c r="X127" s="108"/>
      <c r="Y127" s="170"/>
      <c r="Z127" s="171"/>
      <c r="AA127" s="172"/>
      <c r="AB127" s="170"/>
      <c r="AC127" s="170"/>
      <c r="AD127" s="170"/>
      <c r="AE127" s="170"/>
      <c r="AF127" s="170"/>
      <c r="AG127" s="171"/>
      <c r="AH127" s="173"/>
      <c r="AI127" s="174"/>
      <c r="AJ127" s="170"/>
      <c r="AK127" s="170"/>
      <c r="AL127" s="112"/>
      <c r="AM127" s="112"/>
      <c r="AN127" s="117"/>
      <c r="AO127" s="283"/>
      <c r="AP127" s="281"/>
      <c r="AQ127" s="281"/>
      <c r="AR127" s="281"/>
      <c r="AS127" s="281"/>
      <c r="AT127" s="281"/>
      <c r="AU127" s="284"/>
      <c r="AV127" s="283"/>
      <c r="AW127" s="281"/>
      <c r="AX127" s="281"/>
      <c r="AY127" s="281"/>
      <c r="AZ127" s="281"/>
      <c r="BA127" s="281"/>
      <c r="BB127" s="284"/>
      <c r="BC127" s="283"/>
      <c r="BD127" s="281"/>
      <c r="BE127" s="281"/>
      <c r="BF127" s="281"/>
      <c r="BG127" s="281"/>
      <c r="BH127" s="281"/>
      <c r="BI127" s="284"/>
      <c r="BJ127" s="283"/>
      <c r="BK127" s="281"/>
      <c r="BL127" s="281"/>
      <c r="BM127" s="167"/>
      <c r="BN127" s="176"/>
      <c r="BO127" s="281"/>
      <c r="BP127" s="284"/>
      <c r="BQ127" s="110"/>
      <c r="BR127" s="125"/>
      <c r="BS127" s="108"/>
      <c r="BT127" s="108"/>
      <c r="BU127" s="108"/>
      <c r="BV127" s="108"/>
      <c r="BW127" s="111"/>
      <c r="BX127" s="126"/>
      <c r="BY127" s="108"/>
      <c r="BZ127" s="122"/>
      <c r="CA127" s="122"/>
      <c r="CB127" s="122"/>
      <c r="CC127" s="240"/>
      <c r="CD127" s="241"/>
      <c r="CE127" s="239"/>
      <c r="CF127" s="240"/>
      <c r="CG127" s="240"/>
      <c r="CH127" s="240"/>
      <c r="CI127" s="240"/>
      <c r="CJ127" s="240"/>
      <c r="CK127" s="241"/>
      <c r="CL127" s="168"/>
      <c r="CM127" s="166"/>
      <c r="CN127" s="166"/>
      <c r="CO127" s="242"/>
      <c r="CP127" s="178"/>
      <c r="CQ127" s="166"/>
      <c r="CR127" s="169"/>
      <c r="CS127" s="168"/>
      <c r="CT127" s="166"/>
      <c r="CU127" s="166"/>
      <c r="CV127" s="166"/>
      <c r="CW127" s="166"/>
      <c r="CX127" s="169"/>
      <c r="CY127" s="168"/>
      <c r="CZ127" s="166"/>
      <c r="DA127" s="166"/>
      <c r="DB127" s="166"/>
      <c r="DC127" s="166"/>
      <c r="DD127" s="166"/>
      <c r="DE127" s="169"/>
      <c r="DF127" s="182"/>
      <c r="DG127" s="166"/>
      <c r="DH127" s="166"/>
      <c r="DI127" s="166"/>
      <c r="DJ127" s="166"/>
      <c r="DK127" s="166"/>
      <c r="DL127" s="169"/>
      <c r="DM127" s="178"/>
      <c r="DN127" s="166"/>
      <c r="DO127" s="166"/>
      <c r="DP127" s="166"/>
      <c r="DQ127" s="166"/>
      <c r="DR127" s="166"/>
      <c r="DS127" s="183"/>
    </row>
    <row r="128" spans="1:123" ht="14" outlineLevel="1" x14ac:dyDescent="0.3">
      <c r="A128" s="317" t="s">
        <v>347</v>
      </c>
      <c r="B128" s="332"/>
      <c r="C128" s="327"/>
      <c r="D128" s="280"/>
      <c r="E128" s="281"/>
      <c r="F128" s="281"/>
      <c r="G128" s="281"/>
      <c r="H128" s="281"/>
      <c r="I128" s="281"/>
      <c r="J128" s="281"/>
      <c r="K128" s="281"/>
      <c r="L128" s="282"/>
      <c r="M128" s="283"/>
      <c r="N128" s="281"/>
      <c r="O128" s="281"/>
      <c r="P128" s="281"/>
      <c r="Q128" s="281"/>
      <c r="R128" s="281"/>
      <c r="S128" s="284"/>
      <c r="T128" s="283"/>
      <c r="U128" s="281"/>
      <c r="V128" s="281"/>
      <c r="W128" s="281"/>
      <c r="X128" s="281"/>
      <c r="Y128" s="133"/>
      <c r="Z128" s="134"/>
      <c r="AA128" s="135"/>
      <c r="AB128" s="133"/>
      <c r="AC128" s="133"/>
      <c r="AD128" s="133"/>
      <c r="AE128" s="133"/>
      <c r="AF128" s="133"/>
      <c r="AG128" s="134"/>
      <c r="AH128" s="136"/>
      <c r="AI128" s="137"/>
      <c r="AJ128" s="133"/>
      <c r="AK128" s="133"/>
      <c r="AL128" s="133"/>
      <c r="AM128" s="133"/>
      <c r="AN128" s="138"/>
      <c r="AO128" s="283"/>
      <c r="AP128" s="281"/>
      <c r="AQ128" s="281"/>
      <c r="AR128" s="281"/>
      <c r="AS128" s="281"/>
      <c r="AT128" s="281"/>
      <c r="AU128" s="284"/>
      <c r="AV128" s="283"/>
      <c r="AW128" s="281"/>
      <c r="AX128" s="281"/>
      <c r="AY128" s="281"/>
      <c r="AZ128" s="281"/>
      <c r="BA128" s="281"/>
      <c r="BB128" s="284"/>
      <c r="BC128" s="283"/>
      <c r="BD128" s="281"/>
      <c r="BE128" s="281"/>
      <c r="BF128" s="281"/>
      <c r="BG128" s="281"/>
      <c r="BH128" s="281"/>
      <c r="BI128" s="284"/>
      <c r="BJ128" s="283"/>
      <c r="BK128" s="281"/>
      <c r="BL128" s="281"/>
      <c r="BM128" s="167"/>
      <c r="BN128" s="176"/>
      <c r="BO128" s="281"/>
      <c r="BP128" s="284"/>
      <c r="BQ128" s="168"/>
      <c r="BR128" s="177"/>
      <c r="BS128" s="166"/>
      <c r="BT128" s="166"/>
      <c r="BU128" s="166"/>
      <c r="BV128" s="166"/>
      <c r="BW128" s="169"/>
      <c r="BX128" s="178"/>
      <c r="BY128" s="166"/>
      <c r="BZ128" s="166"/>
      <c r="CA128" s="166"/>
      <c r="CB128" s="166"/>
      <c r="CC128" s="179"/>
      <c r="CD128" s="180"/>
      <c r="CE128" s="181"/>
      <c r="CF128" s="179"/>
      <c r="CG128" s="179"/>
      <c r="CH128" s="179"/>
      <c r="CI128" s="179"/>
      <c r="CJ128" s="179"/>
      <c r="CK128" s="180"/>
      <c r="CL128" s="168"/>
      <c r="CM128" s="166"/>
      <c r="CN128" s="166"/>
      <c r="CO128" s="242"/>
      <c r="CP128" s="178"/>
      <c r="CQ128" s="166"/>
      <c r="CR128" s="169"/>
      <c r="CS128" s="168"/>
      <c r="CT128" s="166"/>
      <c r="CU128" s="166"/>
      <c r="CV128" s="166"/>
      <c r="CW128" s="166"/>
      <c r="CX128" s="169"/>
      <c r="CY128" s="168"/>
      <c r="CZ128" s="166"/>
      <c r="DA128" s="166"/>
      <c r="DB128" s="166"/>
      <c r="DC128" s="166"/>
      <c r="DD128" s="166"/>
      <c r="DE128" s="169"/>
      <c r="DF128" s="182"/>
      <c r="DG128" s="166"/>
      <c r="DH128" s="166"/>
      <c r="DI128" s="166"/>
      <c r="DJ128" s="166"/>
      <c r="DK128" s="166"/>
      <c r="DL128" s="169"/>
      <c r="DM128" s="178"/>
      <c r="DN128" s="166"/>
      <c r="DO128" s="166"/>
      <c r="DP128" s="166"/>
      <c r="DQ128" s="166"/>
      <c r="DR128" s="166"/>
      <c r="DS128" s="183"/>
    </row>
    <row r="129" spans="1:123" ht="14" outlineLevel="1" x14ac:dyDescent="0.3">
      <c r="A129" s="318" t="s">
        <v>348</v>
      </c>
      <c r="B129" s="333" t="s">
        <v>5</v>
      </c>
      <c r="C129" s="316" t="s">
        <v>179</v>
      </c>
      <c r="D129" s="280"/>
      <c r="E129" s="281"/>
      <c r="F129" s="281"/>
      <c r="G129" s="281"/>
      <c r="H129" s="281"/>
      <c r="I129" s="281"/>
      <c r="J129" s="281"/>
      <c r="K129" s="281"/>
      <c r="L129" s="282"/>
      <c r="M129" s="283"/>
      <c r="N129" s="281"/>
      <c r="O129" s="281"/>
      <c r="P129" s="281"/>
      <c r="Q129" s="281"/>
      <c r="R129" s="281"/>
      <c r="S129" s="284"/>
      <c r="T129" s="283"/>
      <c r="U129" s="281"/>
      <c r="V129" s="281"/>
      <c r="W129" s="281"/>
      <c r="X129" s="281"/>
      <c r="Y129" s="112"/>
      <c r="Z129" s="113"/>
      <c r="AA129" s="114"/>
      <c r="AB129" s="112"/>
      <c r="AC129" s="112"/>
      <c r="AD129" s="112"/>
      <c r="AE129" s="112"/>
      <c r="AF129" s="112"/>
      <c r="AG129" s="113"/>
      <c r="AH129" s="115"/>
      <c r="AI129" s="116"/>
      <c r="AJ129" s="112"/>
      <c r="AK129" s="112"/>
      <c r="AL129" s="112"/>
      <c r="AM129" s="112"/>
      <c r="AN129" s="117"/>
      <c r="AO129" s="283"/>
      <c r="AP129" s="281"/>
      <c r="AQ129" s="281"/>
      <c r="AR129" s="281"/>
      <c r="AS129" s="281"/>
      <c r="AT129" s="281"/>
      <c r="AU129" s="284"/>
      <c r="AV129" s="283"/>
      <c r="AW129" s="281"/>
      <c r="AX129" s="281"/>
      <c r="AY129" s="281"/>
      <c r="AZ129" s="281"/>
      <c r="BA129" s="281"/>
      <c r="BB129" s="284"/>
      <c r="BC129" s="283"/>
      <c r="BD129" s="281"/>
      <c r="BE129" s="281"/>
      <c r="BF129" s="281"/>
      <c r="BG129" s="281"/>
      <c r="BH129" s="281"/>
      <c r="BI129" s="284"/>
      <c r="BJ129" s="283"/>
      <c r="BK129" s="281"/>
      <c r="BL129" s="281"/>
      <c r="BM129" s="167"/>
      <c r="BN129" s="176"/>
      <c r="BO129" s="281"/>
      <c r="BP129" s="284"/>
      <c r="BQ129" s="168"/>
      <c r="BR129" s="177"/>
      <c r="BS129" s="166"/>
      <c r="BT129" s="166"/>
      <c r="BU129" s="166"/>
      <c r="BV129" s="166"/>
      <c r="BW129" s="169"/>
      <c r="BX129" s="230"/>
      <c r="BY129" s="166"/>
      <c r="BZ129" s="166"/>
      <c r="CA129" s="166"/>
      <c r="CB129" s="166"/>
      <c r="CC129" s="240"/>
      <c r="CD129" s="241"/>
      <c r="CE129" s="239"/>
      <c r="CF129" s="240"/>
      <c r="CG129" s="240"/>
      <c r="CH129" s="240"/>
      <c r="CI129" s="240"/>
      <c r="CJ129" s="240"/>
      <c r="CK129" s="241"/>
      <c r="CL129" s="168"/>
      <c r="CM129" s="166"/>
      <c r="CN129" s="166"/>
      <c r="CO129" s="242"/>
      <c r="CP129" s="178"/>
      <c r="CQ129" s="166"/>
      <c r="CR129" s="169"/>
      <c r="CS129" s="168"/>
      <c r="CT129" s="166"/>
      <c r="CU129" s="166"/>
      <c r="CV129" s="166"/>
      <c r="CW129" s="166"/>
      <c r="CX129" s="169"/>
      <c r="CY129" s="168"/>
      <c r="CZ129" s="166"/>
      <c r="DA129" s="166"/>
      <c r="DB129" s="166"/>
      <c r="DC129" s="166"/>
      <c r="DD129" s="166"/>
      <c r="DE129" s="169"/>
      <c r="DF129" s="182"/>
      <c r="DG129" s="166"/>
      <c r="DH129" s="166"/>
      <c r="DI129" s="166"/>
      <c r="DJ129" s="166"/>
      <c r="DK129" s="166"/>
      <c r="DL129" s="169"/>
      <c r="DM129" s="178"/>
      <c r="DN129" s="166"/>
      <c r="DO129" s="166"/>
      <c r="DP129" s="166"/>
      <c r="DQ129" s="166"/>
      <c r="DR129" s="166"/>
      <c r="DS129" s="183"/>
    </row>
    <row r="130" spans="1:123" ht="14" outlineLevel="1" x14ac:dyDescent="0.3">
      <c r="A130" s="301" t="s">
        <v>349</v>
      </c>
      <c r="B130" s="442" t="s">
        <v>61</v>
      </c>
      <c r="C130" s="313" t="s">
        <v>179</v>
      </c>
      <c r="D130" s="280"/>
      <c r="E130" s="281"/>
      <c r="F130" s="281"/>
      <c r="G130" s="281"/>
      <c r="H130" s="281"/>
      <c r="I130" s="281"/>
      <c r="J130" s="281"/>
      <c r="K130" s="281"/>
      <c r="L130" s="282"/>
      <c r="M130" s="283"/>
      <c r="N130" s="281"/>
      <c r="O130" s="281"/>
      <c r="P130" s="281"/>
      <c r="Q130" s="281"/>
      <c r="R130" s="281"/>
      <c r="S130" s="284"/>
      <c r="T130" s="283"/>
      <c r="U130" s="281"/>
      <c r="V130" s="281"/>
      <c r="W130" s="281"/>
      <c r="X130" s="281"/>
      <c r="Y130" s="112"/>
      <c r="Z130" s="113"/>
      <c r="AA130" s="114"/>
      <c r="AB130" s="112"/>
      <c r="AC130" s="112"/>
      <c r="AD130" s="112"/>
      <c r="AE130" s="112"/>
      <c r="AF130" s="112"/>
      <c r="AG130" s="113"/>
      <c r="AH130" s="115"/>
      <c r="AI130" s="116"/>
      <c r="AJ130" s="112"/>
      <c r="AK130" s="112"/>
      <c r="AL130" s="112"/>
      <c r="AM130" s="112"/>
      <c r="AN130" s="117"/>
      <c r="AO130" s="283"/>
      <c r="AP130" s="281"/>
      <c r="AQ130" s="281"/>
      <c r="AR130" s="281"/>
      <c r="AS130" s="281"/>
      <c r="AT130" s="281"/>
      <c r="AU130" s="284"/>
      <c r="AV130" s="283"/>
      <c r="AW130" s="281"/>
      <c r="AX130" s="281"/>
      <c r="AY130" s="281"/>
      <c r="AZ130" s="281"/>
      <c r="BA130" s="281"/>
      <c r="BB130" s="284"/>
      <c r="BC130" s="283"/>
      <c r="BD130" s="281"/>
      <c r="BE130" s="281"/>
      <c r="BF130" s="281"/>
      <c r="BG130" s="281"/>
      <c r="BH130" s="281"/>
      <c r="BI130" s="284"/>
      <c r="BJ130" s="283"/>
      <c r="BK130" s="281"/>
      <c r="BL130" s="281"/>
      <c r="BM130" s="167"/>
      <c r="BN130" s="176"/>
      <c r="BO130" s="281"/>
      <c r="BP130" s="284"/>
      <c r="BQ130" s="168"/>
      <c r="BR130" s="177"/>
      <c r="BS130" s="166"/>
      <c r="BT130" s="166"/>
      <c r="BU130" s="166"/>
      <c r="BV130" s="166"/>
      <c r="BW130" s="169"/>
      <c r="BX130" s="230"/>
      <c r="BY130" s="166"/>
      <c r="BZ130" s="166"/>
      <c r="CA130" s="166"/>
      <c r="CB130" s="166"/>
      <c r="CC130" s="240"/>
      <c r="CD130" s="241"/>
      <c r="CE130" s="239"/>
      <c r="CF130" s="240"/>
      <c r="CG130" s="240"/>
      <c r="CH130" s="240"/>
      <c r="CI130" s="240"/>
      <c r="CJ130" s="240"/>
      <c r="CK130" s="241"/>
      <c r="CL130" s="168"/>
      <c r="CM130" s="166"/>
      <c r="CN130" s="166"/>
      <c r="CO130" s="242"/>
      <c r="CP130" s="178"/>
      <c r="CQ130" s="166"/>
      <c r="CR130" s="169"/>
      <c r="CS130" s="168"/>
      <c r="CT130" s="166"/>
      <c r="CU130" s="166"/>
      <c r="CV130" s="166"/>
      <c r="CW130" s="166"/>
      <c r="CX130" s="169"/>
      <c r="CY130" s="168"/>
      <c r="CZ130" s="166"/>
      <c r="DA130" s="166"/>
      <c r="DB130" s="166"/>
      <c r="DC130" s="166"/>
      <c r="DD130" s="166"/>
      <c r="DE130" s="169"/>
      <c r="DF130" s="182"/>
      <c r="DG130" s="166"/>
      <c r="DH130" s="166"/>
      <c r="DI130" s="166"/>
      <c r="DJ130" s="166"/>
      <c r="DK130" s="166"/>
      <c r="DL130" s="169"/>
      <c r="DM130" s="178"/>
      <c r="DN130" s="166"/>
      <c r="DO130" s="166"/>
      <c r="DP130" s="166"/>
      <c r="DQ130" s="166"/>
      <c r="DR130" s="166"/>
      <c r="DS130" s="183"/>
    </row>
    <row r="131" spans="1:123" ht="14" outlineLevel="1" x14ac:dyDescent="0.3">
      <c r="A131" s="301" t="s">
        <v>351</v>
      </c>
      <c r="B131" s="330" t="s">
        <v>9</v>
      </c>
      <c r="C131" s="314" t="s">
        <v>191</v>
      </c>
      <c r="D131" s="280"/>
      <c r="E131" s="281"/>
      <c r="F131" s="281"/>
      <c r="G131" s="281"/>
      <c r="H131" s="281"/>
      <c r="I131" s="281"/>
      <c r="J131" s="281"/>
      <c r="K131" s="281"/>
      <c r="L131" s="282"/>
      <c r="M131" s="283"/>
      <c r="N131" s="281"/>
      <c r="O131" s="281"/>
      <c r="P131" s="281"/>
      <c r="Q131" s="281"/>
      <c r="R131" s="281"/>
      <c r="S131" s="284"/>
      <c r="T131" s="283"/>
      <c r="U131" s="281"/>
      <c r="V131" s="281"/>
      <c r="W131" s="281"/>
      <c r="X131" s="281"/>
      <c r="Y131" s="112"/>
      <c r="Z131" s="113"/>
      <c r="AA131" s="114"/>
      <c r="AB131" s="112"/>
      <c r="AC131" s="112"/>
      <c r="AD131" s="112"/>
      <c r="AE131" s="112"/>
      <c r="AF131" s="112"/>
      <c r="AG131" s="113"/>
      <c r="AH131" s="115"/>
      <c r="AI131" s="116"/>
      <c r="AJ131" s="112"/>
      <c r="AK131" s="112"/>
      <c r="AL131" s="112"/>
      <c r="AM131" s="112"/>
      <c r="AN131" s="117"/>
      <c r="AO131" s="283"/>
      <c r="AP131" s="281"/>
      <c r="AQ131" s="281"/>
      <c r="AR131" s="281"/>
      <c r="AS131" s="281"/>
      <c r="AT131" s="281"/>
      <c r="AU131" s="284"/>
      <c r="AV131" s="283"/>
      <c r="AW131" s="281"/>
      <c r="AX131" s="281"/>
      <c r="AY131" s="281"/>
      <c r="AZ131" s="281"/>
      <c r="BA131" s="281"/>
      <c r="BB131" s="284"/>
      <c r="BC131" s="283"/>
      <c r="BD131" s="281"/>
      <c r="BE131" s="281"/>
      <c r="BF131" s="281"/>
      <c r="BG131" s="281"/>
      <c r="BH131" s="281"/>
      <c r="BI131" s="284"/>
      <c r="BJ131" s="283"/>
      <c r="BK131" s="281"/>
      <c r="BL131" s="281"/>
      <c r="BM131" s="167"/>
      <c r="BN131" s="176"/>
      <c r="BO131" s="281"/>
      <c r="BP131" s="284"/>
      <c r="BQ131" s="168"/>
      <c r="BR131" s="177"/>
      <c r="BS131" s="166"/>
      <c r="BT131" s="166"/>
      <c r="BU131" s="166"/>
      <c r="BV131" s="166"/>
      <c r="BW131" s="169"/>
      <c r="BX131" s="230"/>
      <c r="BY131" s="166"/>
      <c r="BZ131" s="166"/>
      <c r="CA131" s="166"/>
      <c r="CB131" s="166"/>
      <c r="CC131" s="240"/>
      <c r="CD131" s="241"/>
      <c r="CE131" s="239"/>
      <c r="CF131" s="240"/>
      <c r="CG131" s="240"/>
      <c r="CH131" s="240"/>
      <c r="CI131" s="240"/>
      <c r="CJ131" s="240"/>
      <c r="CK131" s="241"/>
      <c r="CL131" s="168"/>
      <c r="CM131" s="166"/>
      <c r="CN131" s="166"/>
      <c r="CO131" s="242"/>
      <c r="CP131" s="178"/>
      <c r="CQ131" s="166"/>
      <c r="CR131" s="169"/>
      <c r="CS131" s="168"/>
      <c r="CT131" s="166"/>
      <c r="CU131" s="166"/>
      <c r="CV131" s="166"/>
      <c r="CW131" s="166"/>
      <c r="CX131" s="169"/>
      <c r="CY131" s="168"/>
      <c r="CZ131" s="166"/>
      <c r="DA131" s="166"/>
      <c r="DB131" s="166"/>
      <c r="DC131" s="166"/>
      <c r="DD131" s="166"/>
      <c r="DE131" s="169"/>
      <c r="DF131" s="182"/>
      <c r="DG131" s="166"/>
      <c r="DH131" s="166"/>
      <c r="DI131" s="166"/>
      <c r="DJ131" s="166"/>
      <c r="DK131" s="166"/>
      <c r="DL131" s="169"/>
      <c r="DM131" s="178"/>
      <c r="DN131" s="166"/>
      <c r="DO131" s="166"/>
      <c r="DP131" s="166"/>
      <c r="DQ131" s="166"/>
      <c r="DR131" s="166"/>
      <c r="DS131" s="183"/>
    </row>
    <row r="132" spans="1:123" ht="14" outlineLevel="1" x14ac:dyDescent="0.3">
      <c r="A132" s="301" t="s">
        <v>352</v>
      </c>
      <c r="B132" s="330" t="s">
        <v>5</v>
      </c>
      <c r="C132" s="314" t="s">
        <v>191</v>
      </c>
      <c r="D132" s="280"/>
      <c r="E132" s="281"/>
      <c r="F132" s="281"/>
      <c r="G132" s="281"/>
      <c r="H132" s="281"/>
      <c r="I132" s="281"/>
      <c r="J132" s="281"/>
      <c r="K132" s="281"/>
      <c r="L132" s="282"/>
      <c r="M132" s="283"/>
      <c r="N132" s="281"/>
      <c r="O132" s="281"/>
      <c r="P132" s="281"/>
      <c r="Q132" s="281"/>
      <c r="R132" s="281"/>
      <c r="S132" s="284"/>
      <c r="T132" s="283"/>
      <c r="U132" s="281"/>
      <c r="V132" s="281"/>
      <c r="W132" s="281"/>
      <c r="X132" s="281"/>
      <c r="Y132" s="112"/>
      <c r="Z132" s="113"/>
      <c r="AA132" s="114"/>
      <c r="AB132" s="112"/>
      <c r="AC132" s="112"/>
      <c r="AD132" s="112"/>
      <c r="AE132" s="112"/>
      <c r="AF132" s="112"/>
      <c r="AG132" s="113"/>
      <c r="AH132" s="115"/>
      <c r="AI132" s="116"/>
      <c r="AJ132" s="112"/>
      <c r="AK132" s="112"/>
      <c r="AL132" s="112"/>
      <c r="AM132" s="112"/>
      <c r="AN132" s="117"/>
      <c r="AO132" s="283"/>
      <c r="AP132" s="281"/>
      <c r="AQ132" s="281"/>
      <c r="AR132" s="281"/>
      <c r="AS132" s="281"/>
      <c r="AT132" s="281"/>
      <c r="AU132" s="284"/>
      <c r="AV132" s="283"/>
      <c r="AW132" s="281"/>
      <c r="AX132" s="281"/>
      <c r="AY132" s="281"/>
      <c r="AZ132" s="281"/>
      <c r="BA132" s="281"/>
      <c r="BB132" s="284"/>
      <c r="BC132" s="283"/>
      <c r="BD132" s="281"/>
      <c r="BE132" s="281"/>
      <c r="BF132" s="281"/>
      <c r="BG132" s="281"/>
      <c r="BH132" s="281"/>
      <c r="BI132" s="284"/>
      <c r="BJ132" s="283"/>
      <c r="BK132" s="281"/>
      <c r="BL132" s="281"/>
      <c r="BM132" s="167"/>
      <c r="BN132" s="176"/>
      <c r="BO132" s="281"/>
      <c r="BP132" s="284"/>
      <c r="BQ132" s="168"/>
      <c r="BR132" s="177"/>
      <c r="BS132" s="166"/>
      <c r="BT132" s="166"/>
      <c r="BU132" s="166"/>
      <c r="BV132" s="166"/>
      <c r="BW132" s="169"/>
      <c r="BX132" s="230"/>
      <c r="BY132" s="166"/>
      <c r="BZ132" s="166"/>
      <c r="CA132" s="166"/>
      <c r="CB132" s="166"/>
      <c r="CC132" s="240"/>
      <c r="CD132" s="241"/>
      <c r="CE132" s="239"/>
      <c r="CF132" s="240"/>
      <c r="CG132" s="240"/>
      <c r="CH132" s="240"/>
      <c r="CI132" s="240"/>
      <c r="CJ132" s="240"/>
      <c r="CK132" s="241"/>
      <c r="CL132" s="168"/>
      <c r="CM132" s="166"/>
      <c r="CN132" s="166"/>
      <c r="CO132" s="242"/>
      <c r="CP132" s="178"/>
      <c r="CQ132" s="166"/>
      <c r="CR132" s="169"/>
      <c r="CS132" s="168"/>
      <c r="CT132" s="166"/>
      <c r="CU132" s="166"/>
      <c r="CV132" s="166"/>
      <c r="CW132" s="166"/>
      <c r="CX132" s="169"/>
      <c r="CY132" s="168"/>
      <c r="CZ132" s="166"/>
      <c r="DA132" s="166"/>
      <c r="DB132" s="166"/>
      <c r="DC132" s="166"/>
      <c r="DD132" s="166"/>
      <c r="DE132" s="169"/>
      <c r="DF132" s="182"/>
      <c r="DG132" s="166"/>
      <c r="DH132" s="166"/>
      <c r="DI132" s="166"/>
      <c r="DJ132" s="166"/>
      <c r="DK132" s="166"/>
      <c r="DL132" s="169"/>
      <c r="DM132" s="178"/>
      <c r="DN132" s="166"/>
      <c r="DO132" s="166"/>
      <c r="DP132" s="166"/>
      <c r="DQ132" s="166"/>
      <c r="DR132" s="166"/>
      <c r="DS132" s="183"/>
    </row>
    <row r="133" spans="1:123" ht="14" outlineLevel="1" x14ac:dyDescent="0.3">
      <c r="A133" s="301" t="s">
        <v>353</v>
      </c>
      <c r="B133" s="330" t="s">
        <v>140</v>
      </c>
      <c r="C133" s="314" t="s">
        <v>191</v>
      </c>
      <c r="D133" s="280"/>
      <c r="E133" s="281"/>
      <c r="F133" s="281"/>
      <c r="G133" s="281"/>
      <c r="H133" s="281"/>
      <c r="I133" s="281"/>
      <c r="J133" s="281"/>
      <c r="K133" s="281"/>
      <c r="L133" s="282"/>
      <c r="M133" s="283"/>
      <c r="N133" s="281"/>
      <c r="O133" s="281"/>
      <c r="P133" s="281"/>
      <c r="Q133" s="281"/>
      <c r="R133" s="281"/>
      <c r="S133" s="284"/>
      <c r="T133" s="283"/>
      <c r="U133" s="281"/>
      <c r="V133" s="281"/>
      <c r="W133" s="281"/>
      <c r="X133" s="281"/>
      <c r="Y133" s="112"/>
      <c r="Z133" s="113"/>
      <c r="AA133" s="114"/>
      <c r="AB133" s="112"/>
      <c r="AC133" s="112"/>
      <c r="AD133" s="112"/>
      <c r="AE133" s="112"/>
      <c r="AF133" s="112"/>
      <c r="AG133" s="113"/>
      <c r="AH133" s="115"/>
      <c r="AI133" s="116"/>
      <c r="AJ133" s="112"/>
      <c r="AK133" s="112"/>
      <c r="AL133" s="112"/>
      <c r="AM133" s="112"/>
      <c r="AN133" s="117"/>
      <c r="AO133" s="283"/>
      <c r="AP133" s="281"/>
      <c r="AQ133" s="281"/>
      <c r="AR133" s="281"/>
      <c r="AS133" s="281"/>
      <c r="AT133" s="281"/>
      <c r="AU133" s="284"/>
      <c r="AV133" s="283"/>
      <c r="AW133" s="281"/>
      <c r="AX133" s="281"/>
      <c r="AY133" s="281"/>
      <c r="AZ133" s="281"/>
      <c r="BA133" s="281"/>
      <c r="BB133" s="284"/>
      <c r="BC133" s="283"/>
      <c r="BD133" s="281"/>
      <c r="BE133" s="281"/>
      <c r="BF133" s="281"/>
      <c r="BG133" s="281"/>
      <c r="BH133" s="281"/>
      <c r="BI133" s="284"/>
      <c r="BJ133" s="283"/>
      <c r="BK133" s="281"/>
      <c r="BL133" s="281"/>
      <c r="BM133" s="167"/>
      <c r="BN133" s="176"/>
      <c r="BO133" s="281"/>
      <c r="BP133" s="284"/>
      <c r="BQ133" s="168"/>
      <c r="BR133" s="177"/>
      <c r="BS133" s="166"/>
      <c r="BT133" s="166"/>
      <c r="BU133" s="166"/>
      <c r="BV133" s="166"/>
      <c r="BW133" s="169"/>
      <c r="BX133" s="230"/>
      <c r="BY133" s="166"/>
      <c r="BZ133" s="166"/>
      <c r="CA133" s="166"/>
      <c r="CB133" s="166"/>
      <c r="CC133" s="240"/>
      <c r="CD133" s="241"/>
      <c r="CE133" s="239"/>
      <c r="CF133" s="240"/>
      <c r="CG133" s="240"/>
      <c r="CH133" s="240"/>
      <c r="CI133" s="240"/>
      <c r="CJ133" s="240"/>
      <c r="CK133" s="241"/>
      <c r="CL133" s="168"/>
      <c r="CM133" s="166"/>
      <c r="CN133" s="166"/>
      <c r="CO133" s="242"/>
      <c r="CP133" s="178"/>
      <c r="CQ133" s="166"/>
      <c r="CR133" s="169"/>
      <c r="CS133" s="168"/>
      <c r="CT133" s="166"/>
      <c r="CU133" s="166"/>
      <c r="CV133" s="166"/>
      <c r="CW133" s="166"/>
      <c r="CX133" s="169"/>
      <c r="CY133" s="168"/>
      <c r="CZ133" s="166"/>
      <c r="DA133" s="166"/>
      <c r="DB133" s="166"/>
      <c r="DC133" s="166"/>
      <c r="DD133" s="166"/>
      <c r="DE133" s="169"/>
      <c r="DF133" s="182"/>
      <c r="DG133" s="166"/>
      <c r="DH133" s="166"/>
      <c r="DI133" s="166"/>
      <c r="DJ133" s="166"/>
      <c r="DK133" s="166"/>
      <c r="DL133" s="169"/>
      <c r="DM133" s="178"/>
      <c r="DN133" s="166"/>
      <c r="DO133" s="166"/>
      <c r="DP133" s="166"/>
      <c r="DQ133" s="166"/>
      <c r="DR133" s="166"/>
      <c r="DS133" s="183"/>
    </row>
    <row r="134" spans="1:123" ht="14" outlineLevel="1" x14ac:dyDescent="0.3">
      <c r="A134" s="301" t="s">
        <v>350</v>
      </c>
      <c r="B134" s="330" t="s">
        <v>5</v>
      </c>
      <c r="C134" s="314" t="s">
        <v>191</v>
      </c>
      <c r="D134" s="280"/>
      <c r="E134" s="281"/>
      <c r="F134" s="281"/>
      <c r="G134" s="281"/>
      <c r="H134" s="281"/>
      <c r="I134" s="281"/>
      <c r="J134" s="281"/>
      <c r="K134" s="281"/>
      <c r="L134" s="282"/>
      <c r="M134" s="283"/>
      <c r="N134" s="281"/>
      <c r="O134" s="281"/>
      <c r="P134" s="281"/>
      <c r="Q134" s="281"/>
      <c r="R134" s="281"/>
      <c r="S134" s="284"/>
      <c r="T134" s="283"/>
      <c r="U134" s="281"/>
      <c r="V134" s="281"/>
      <c r="W134" s="281"/>
      <c r="X134" s="281"/>
      <c r="Y134" s="112"/>
      <c r="Z134" s="113"/>
      <c r="AA134" s="114"/>
      <c r="AB134" s="112"/>
      <c r="AC134" s="112"/>
      <c r="AD134" s="112"/>
      <c r="AE134" s="112"/>
      <c r="AF134" s="112"/>
      <c r="AG134" s="113"/>
      <c r="AH134" s="115"/>
      <c r="AI134" s="116"/>
      <c r="AJ134" s="112"/>
      <c r="AK134" s="112"/>
      <c r="AL134" s="112"/>
      <c r="AM134" s="112"/>
      <c r="AN134" s="117"/>
      <c r="AO134" s="283"/>
      <c r="AP134" s="281"/>
      <c r="AQ134" s="281"/>
      <c r="AR134" s="281"/>
      <c r="AS134" s="281"/>
      <c r="AT134" s="281"/>
      <c r="AU134" s="284"/>
      <c r="AV134" s="283"/>
      <c r="AW134" s="281"/>
      <c r="AX134" s="281"/>
      <c r="AY134" s="281"/>
      <c r="AZ134" s="281"/>
      <c r="BA134" s="281"/>
      <c r="BB134" s="284"/>
      <c r="BC134" s="283"/>
      <c r="BD134" s="281"/>
      <c r="BE134" s="281"/>
      <c r="BF134" s="281"/>
      <c r="BG134" s="281"/>
      <c r="BH134" s="281"/>
      <c r="BI134" s="284"/>
      <c r="BJ134" s="283"/>
      <c r="BK134" s="281"/>
      <c r="BL134" s="281"/>
      <c r="BM134" s="167"/>
      <c r="BN134" s="176"/>
      <c r="BO134" s="281"/>
      <c r="BP134" s="284"/>
      <c r="BQ134" s="168"/>
      <c r="BR134" s="177"/>
      <c r="BS134" s="166"/>
      <c r="BT134" s="166"/>
      <c r="BU134" s="166"/>
      <c r="BV134" s="166"/>
      <c r="BW134" s="169"/>
      <c r="BX134" s="230"/>
      <c r="BY134" s="166"/>
      <c r="BZ134" s="166"/>
      <c r="CA134" s="166"/>
      <c r="CB134" s="166"/>
      <c r="CC134" s="240"/>
      <c r="CD134" s="241"/>
      <c r="CE134" s="239"/>
      <c r="CF134" s="240"/>
      <c r="CG134" s="240"/>
      <c r="CH134" s="240"/>
      <c r="CI134" s="240"/>
      <c r="CJ134" s="240"/>
      <c r="CK134" s="241"/>
      <c r="CL134" s="168"/>
      <c r="CM134" s="166"/>
      <c r="CN134" s="166"/>
      <c r="CO134" s="242"/>
      <c r="CP134" s="178"/>
      <c r="CQ134" s="166"/>
      <c r="CR134" s="169"/>
      <c r="CS134" s="168"/>
      <c r="CT134" s="166"/>
      <c r="CU134" s="166"/>
      <c r="CV134" s="166"/>
      <c r="CW134" s="166"/>
      <c r="CX134" s="169"/>
      <c r="CY134" s="168"/>
      <c r="CZ134" s="166"/>
      <c r="DA134" s="166"/>
      <c r="DB134" s="166"/>
      <c r="DC134" s="166"/>
      <c r="DD134" s="166"/>
      <c r="DE134" s="169"/>
      <c r="DF134" s="182"/>
      <c r="DG134" s="166"/>
      <c r="DH134" s="166"/>
      <c r="DI134" s="166"/>
      <c r="DJ134" s="166"/>
      <c r="DK134" s="166"/>
      <c r="DL134" s="169"/>
      <c r="DM134" s="178"/>
      <c r="DN134" s="166"/>
      <c r="DO134" s="166"/>
      <c r="DP134" s="166"/>
      <c r="DQ134" s="166"/>
      <c r="DR134" s="166"/>
      <c r="DS134" s="183"/>
    </row>
    <row r="135" spans="1:123" ht="14" outlineLevel="1" x14ac:dyDescent="0.3">
      <c r="A135" s="301" t="s">
        <v>354</v>
      </c>
      <c r="B135" s="330" t="s">
        <v>5</v>
      </c>
      <c r="C135" s="326" t="s">
        <v>182</v>
      </c>
      <c r="D135" s="280"/>
      <c r="E135" s="281"/>
      <c r="F135" s="281"/>
      <c r="G135" s="281"/>
      <c r="H135" s="281"/>
      <c r="I135" s="281"/>
      <c r="J135" s="281"/>
      <c r="K135" s="281"/>
      <c r="L135" s="282"/>
      <c r="M135" s="283"/>
      <c r="N135" s="281"/>
      <c r="O135" s="281"/>
      <c r="P135" s="281"/>
      <c r="Q135" s="281"/>
      <c r="R135" s="281"/>
      <c r="S135" s="284"/>
      <c r="T135" s="283"/>
      <c r="U135" s="281"/>
      <c r="V135" s="281"/>
      <c r="W135" s="281"/>
      <c r="X135" s="281"/>
      <c r="Y135" s="112"/>
      <c r="Z135" s="113"/>
      <c r="AA135" s="114"/>
      <c r="AB135" s="112"/>
      <c r="AC135" s="112"/>
      <c r="AD135" s="112"/>
      <c r="AE135" s="112"/>
      <c r="AF135" s="112"/>
      <c r="AG135" s="113"/>
      <c r="AH135" s="115"/>
      <c r="AI135" s="116"/>
      <c r="AJ135" s="112"/>
      <c r="AK135" s="112"/>
      <c r="AL135" s="112"/>
      <c r="AM135" s="112"/>
      <c r="AN135" s="117"/>
      <c r="AO135" s="283"/>
      <c r="AP135" s="281"/>
      <c r="AQ135" s="281"/>
      <c r="AR135" s="281"/>
      <c r="AS135" s="281"/>
      <c r="AT135" s="281"/>
      <c r="AU135" s="284"/>
      <c r="AV135" s="283"/>
      <c r="AW135" s="281"/>
      <c r="AX135" s="281"/>
      <c r="AY135" s="281"/>
      <c r="AZ135" s="281"/>
      <c r="BA135" s="281"/>
      <c r="BB135" s="284"/>
      <c r="BC135" s="283"/>
      <c r="BD135" s="281"/>
      <c r="BE135" s="281"/>
      <c r="BF135" s="281"/>
      <c r="BG135" s="281"/>
      <c r="BH135" s="281"/>
      <c r="BI135" s="284"/>
      <c r="BJ135" s="283"/>
      <c r="BK135" s="281"/>
      <c r="BL135" s="281"/>
      <c r="BM135" s="167"/>
      <c r="BN135" s="176"/>
      <c r="BO135" s="281"/>
      <c r="BP135" s="284"/>
      <c r="BQ135" s="168"/>
      <c r="BR135" s="177"/>
      <c r="BS135" s="166"/>
      <c r="BT135" s="166"/>
      <c r="BU135" s="166"/>
      <c r="BV135" s="166"/>
      <c r="BW135" s="169"/>
      <c r="BX135" s="230"/>
      <c r="BY135" s="185"/>
      <c r="BZ135" s="185"/>
      <c r="CA135" s="166"/>
      <c r="CB135" s="166"/>
      <c r="CC135" s="240"/>
      <c r="CD135" s="241"/>
      <c r="CE135" s="239"/>
      <c r="CF135" s="240"/>
      <c r="CG135" s="240"/>
      <c r="CH135" s="240"/>
      <c r="CI135" s="240"/>
      <c r="CJ135" s="240"/>
      <c r="CK135" s="241"/>
      <c r="CL135" s="168"/>
      <c r="CM135" s="166"/>
      <c r="CN135" s="166"/>
      <c r="CO135" s="242"/>
      <c r="CP135" s="178"/>
      <c r="CQ135" s="166"/>
      <c r="CR135" s="169"/>
      <c r="CS135" s="168"/>
      <c r="CT135" s="166"/>
      <c r="CU135" s="166"/>
      <c r="CV135" s="166"/>
      <c r="CW135" s="166"/>
      <c r="CX135" s="169"/>
      <c r="CY135" s="168"/>
      <c r="CZ135" s="166"/>
      <c r="DA135" s="166"/>
      <c r="DB135" s="166"/>
      <c r="DC135" s="166"/>
      <c r="DD135" s="166"/>
      <c r="DE135" s="169"/>
      <c r="DF135" s="182"/>
      <c r="DG135" s="166"/>
      <c r="DH135" s="166"/>
      <c r="DI135" s="166"/>
      <c r="DJ135" s="166"/>
      <c r="DK135" s="166"/>
      <c r="DL135" s="169"/>
      <c r="DM135" s="178"/>
      <c r="DN135" s="166"/>
      <c r="DO135" s="166"/>
      <c r="DP135" s="166"/>
      <c r="DQ135" s="166"/>
      <c r="DR135" s="166"/>
      <c r="DS135" s="183"/>
    </row>
    <row r="136" spans="1:123" ht="14" outlineLevel="1" x14ac:dyDescent="0.3">
      <c r="A136" s="317" t="s">
        <v>355</v>
      </c>
      <c r="B136" s="332"/>
      <c r="C136" s="390"/>
      <c r="D136" s="280"/>
      <c r="E136" s="281"/>
      <c r="F136" s="281"/>
      <c r="G136" s="281"/>
      <c r="H136" s="281"/>
      <c r="I136" s="281"/>
      <c r="J136" s="281"/>
      <c r="K136" s="281"/>
      <c r="L136" s="282"/>
      <c r="M136" s="283"/>
      <c r="N136" s="281"/>
      <c r="O136" s="281"/>
      <c r="P136" s="281"/>
      <c r="Q136" s="281"/>
      <c r="R136" s="281"/>
      <c r="S136" s="284"/>
      <c r="T136" s="283"/>
      <c r="U136" s="281"/>
      <c r="V136" s="281"/>
      <c r="W136" s="281"/>
      <c r="X136" s="281"/>
      <c r="Y136" s="112"/>
      <c r="Z136" s="113"/>
      <c r="AA136" s="114"/>
      <c r="AB136" s="112"/>
      <c r="AC136" s="112"/>
      <c r="AD136" s="112"/>
      <c r="AE136" s="112"/>
      <c r="AF136" s="112"/>
      <c r="AG136" s="113"/>
      <c r="AH136" s="115"/>
      <c r="AI136" s="116"/>
      <c r="AJ136" s="112"/>
      <c r="AK136" s="112"/>
      <c r="AL136" s="112"/>
      <c r="AM136" s="112"/>
      <c r="AN136" s="117"/>
      <c r="AO136" s="283"/>
      <c r="AP136" s="281"/>
      <c r="AQ136" s="281"/>
      <c r="AR136" s="281"/>
      <c r="AS136" s="281"/>
      <c r="AT136" s="281"/>
      <c r="AU136" s="284"/>
      <c r="AV136" s="283"/>
      <c r="AW136" s="281"/>
      <c r="AX136" s="281"/>
      <c r="AY136" s="281"/>
      <c r="AZ136" s="281"/>
      <c r="BA136" s="281"/>
      <c r="BB136" s="284"/>
      <c r="BC136" s="283"/>
      <c r="BD136" s="281"/>
      <c r="BE136" s="281"/>
      <c r="BF136" s="281"/>
      <c r="BG136" s="281"/>
      <c r="BH136" s="281"/>
      <c r="BI136" s="284"/>
      <c r="BJ136" s="283"/>
      <c r="BK136" s="281"/>
      <c r="BL136" s="281"/>
      <c r="BM136" s="167"/>
      <c r="BN136" s="176"/>
      <c r="BO136" s="281"/>
      <c r="BP136" s="284"/>
      <c r="BQ136" s="168"/>
      <c r="BR136" s="177"/>
      <c r="BS136" s="166"/>
      <c r="BT136" s="166"/>
      <c r="BU136" s="166"/>
      <c r="BV136" s="166"/>
      <c r="BW136" s="169"/>
      <c r="BX136" s="230"/>
      <c r="BY136" s="185"/>
      <c r="BZ136" s="185"/>
      <c r="CA136" s="166"/>
      <c r="CB136" s="166"/>
      <c r="CC136" s="240"/>
      <c r="CD136" s="241"/>
      <c r="CE136" s="239"/>
      <c r="CF136" s="240"/>
      <c r="CG136" s="240"/>
      <c r="CH136" s="240"/>
      <c r="CI136" s="240"/>
      <c r="CJ136" s="240"/>
      <c r="CK136" s="241"/>
      <c r="CL136" s="168"/>
      <c r="CM136" s="166"/>
      <c r="CN136" s="166"/>
      <c r="CO136" s="242"/>
      <c r="CP136" s="178"/>
      <c r="CQ136" s="166"/>
      <c r="CR136" s="169"/>
      <c r="CS136" s="168"/>
      <c r="CT136" s="166"/>
      <c r="CU136" s="166"/>
      <c r="CV136" s="166"/>
      <c r="CW136" s="166"/>
      <c r="CX136" s="169"/>
      <c r="CY136" s="168"/>
      <c r="CZ136" s="166"/>
      <c r="DA136" s="166"/>
      <c r="DB136" s="166"/>
      <c r="DC136" s="166"/>
      <c r="DD136" s="166"/>
      <c r="DE136" s="169"/>
      <c r="DF136" s="182"/>
      <c r="DG136" s="166"/>
      <c r="DH136" s="166"/>
      <c r="DI136" s="166"/>
      <c r="DJ136" s="166"/>
      <c r="DK136" s="166"/>
      <c r="DL136" s="169"/>
      <c r="DM136" s="178"/>
      <c r="DN136" s="166"/>
      <c r="DO136" s="166"/>
      <c r="DP136" s="166"/>
      <c r="DQ136" s="166"/>
      <c r="DR136" s="166"/>
      <c r="DS136" s="183"/>
    </row>
    <row r="137" spans="1:123" ht="14" outlineLevel="1" x14ac:dyDescent="0.3">
      <c r="A137" s="301" t="s">
        <v>356</v>
      </c>
      <c r="B137" s="330" t="s">
        <v>5</v>
      </c>
      <c r="C137" s="314" t="s">
        <v>191</v>
      </c>
      <c r="D137" s="280"/>
      <c r="E137" s="281"/>
      <c r="F137" s="281"/>
      <c r="G137" s="281"/>
      <c r="H137" s="281"/>
      <c r="I137" s="281"/>
      <c r="J137" s="281"/>
      <c r="K137" s="281"/>
      <c r="L137" s="282"/>
      <c r="M137" s="283"/>
      <c r="N137" s="281"/>
      <c r="O137" s="281"/>
      <c r="P137" s="281"/>
      <c r="Q137" s="281"/>
      <c r="R137" s="281"/>
      <c r="S137" s="284"/>
      <c r="T137" s="283"/>
      <c r="U137" s="281"/>
      <c r="V137" s="281"/>
      <c r="W137" s="281"/>
      <c r="X137" s="281"/>
      <c r="Y137" s="112"/>
      <c r="Z137" s="113"/>
      <c r="AA137" s="114"/>
      <c r="AB137" s="112"/>
      <c r="AC137" s="112"/>
      <c r="AD137" s="112"/>
      <c r="AE137" s="112"/>
      <c r="AF137" s="112"/>
      <c r="AG137" s="113"/>
      <c r="AH137" s="115"/>
      <c r="AI137" s="116"/>
      <c r="AJ137" s="112"/>
      <c r="AK137" s="112"/>
      <c r="AL137" s="112"/>
      <c r="AM137" s="112"/>
      <c r="AN137" s="117"/>
      <c r="AO137" s="283"/>
      <c r="AP137" s="281"/>
      <c r="AQ137" s="281"/>
      <c r="AR137" s="281"/>
      <c r="AS137" s="281"/>
      <c r="AT137" s="281"/>
      <c r="AU137" s="284"/>
      <c r="AV137" s="283"/>
      <c r="AW137" s="281"/>
      <c r="AX137" s="281"/>
      <c r="AY137" s="281"/>
      <c r="AZ137" s="281"/>
      <c r="BA137" s="281"/>
      <c r="BB137" s="284"/>
      <c r="BC137" s="283"/>
      <c r="BD137" s="281"/>
      <c r="BE137" s="281"/>
      <c r="BF137" s="281"/>
      <c r="BG137" s="281"/>
      <c r="BH137" s="281"/>
      <c r="BI137" s="284"/>
      <c r="BJ137" s="283"/>
      <c r="BK137" s="281"/>
      <c r="BL137" s="281"/>
      <c r="BM137" s="167"/>
      <c r="BN137" s="176"/>
      <c r="BO137" s="281"/>
      <c r="BP137" s="284"/>
      <c r="BQ137" s="168"/>
      <c r="BR137" s="177"/>
      <c r="BS137" s="166"/>
      <c r="BT137" s="166"/>
      <c r="BU137" s="166"/>
      <c r="BV137" s="166"/>
      <c r="BW137" s="166"/>
      <c r="BX137" s="166"/>
      <c r="BY137" s="185"/>
      <c r="BZ137" s="185"/>
      <c r="CA137" s="166"/>
      <c r="CB137" s="166"/>
      <c r="CC137" s="240"/>
      <c r="CD137" s="241"/>
      <c r="CE137" s="239"/>
      <c r="CF137" s="240"/>
      <c r="CG137" s="240"/>
      <c r="CH137" s="240"/>
      <c r="CI137" s="240"/>
      <c r="CJ137" s="240"/>
      <c r="CK137" s="241"/>
      <c r="CL137" s="168"/>
      <c r="CM137" s="166"/>
      <c r="CN137" s="166"/>
      <c r="CO137" s="242"/>
      <c r="CP137" s="178"/>
      <c r="CQ137" s="166"/>
      <c r="CR137" s="169"/>
      <c r="CS137" s="168"/>
      <c r="CT137" s="166"/>
      <c r="CU137" s="166"/>
      <c r="CV137" s="166"/>
      <c r="CW137" s="166"/>
      <c r="CX137" s="169"/>
      <c r="CY137" s="168"/>
      <c r="CZ137" s="166"/>
      <c r="DA137" s="166"/>
      <c r="DB137" s="166"/>
      <c r="DC137" s="166"/>
      <c r="DD137" s="166"/>
      <c r="DE137" s="169"/>
      <c r="DF137" s="182"/>
      <c r="DG137" s="166"/>
      <c r="DH137" s="166"/>
      <c r="DI137" s="166"/>
      <c r="DJ137" s="166"/>
      <c r="DK137" s="166"/>
      <c r="DL137" s="169"/>
      <c r="DM137" s="178"/>
      <c r="DN137" s="166"/>
      <c r="DO137" s="166"/>
      <c r="DP137" s="166"/>
      <c r="DQ137" s="166"/>
      <c r="DR137" s="166"/>
      <c r="DS137" s="183"/>
    </row>
    <row r="138" spans="1:123" ht="14" outlineLevel="1" x14ac:dyDescent="0.3">
      <c r="A138" s="301" t="s">
        <v>357</v>
      </c>
      <c r="B138" s="330" t="s">
        <v>28</v>
      </c>
      <c r="C138" s="326" t="s">
        <v>182</v>
      </c>
      <c r="D138" s="280"/>
      <c r="E138" s="281"/>
      <c r="F138" s="281"/>
      <c r="G138" s="281"/>
      <c r="H138" s="281"/>
      <c r="I138" s="281"/>
      <c r="J138" s="281"/>
      <c r="K138" s="281"/>
      <c r="L138" s="282"/>
      <c r="M138" s="283"/>
      <c r="N138" s="281"/>
      <c r="O138" s="281"/>
      <c r="P138" s="281"/>
      <c r="Q138" s="281"/>
      <c r="R138" s="281"/>
      <c r="S138" s="284"/>
      <c r="T138" s="283"/>
      <c r="U138" s="281"/>
      <c r="V138" s="281"/>
      <c r="W138" s="281"/>
      <c r="X138" s="281"/>
      <c r="Y138" s="112"/>
      <c r="Z138" s="113"/>
      <c r="AA138" s="114"/>
      <c r="AB138" s="112"/>
      <c r="AC138" s="112"/>
      <c r="AD138" s="112"/>
      <c r="AE138" s="112"/>
      <c r="AF138" s="112"/>
      <c r="AG138" s="113"/>
      <c r="AH138" s="115"/>
      <c r="AI138" s="116"/>
      <c r="AJ138" s="112"/>
      <c r="AK138" s="112"/>
      <c r="AL138" s="112"/>
      <c r="AM138" s="112"/>
      <c r="AN138" s="117"/>
      <c r="AO138" s="283"/>
      <c r="AP138" s="281"/>
      <c r="AQ138" s="281"/>
      <c r="AR138" s="281"/>
      <c r="AS138" s="281"/>
      <c r="AT138" s="281"/>
      <c r="AU138" s="284"/>
      <c r="AV138" s="283"/>
      <c r="AW138" s="281"/>
      <c r="AX138" s="281"/>
      <c r="AY138" s="281"/>
      <c r="AZ138" s="281"/>
      <c r="BA138" s="281"/>
      <c r="BB138" s="284"/>
      <c r="BC138" s="283"/>
      <c r="BD138" s="281"/>
      <c r="BE138" s="281"/>
      <c r="BF138" s="281"/>
      <c r="BG138" s="281"/>
      <c r="BH138" s="281"/>
      <c r="BI138" s="284"/>
      <c r="BJ138" s="283"/>
      <c r="BK138" s="281"/>
      <c r="BL138" s="281"/>
      <c r="BM138" s="167"/>
      <c r="BN138" s="176"/>
      <c r="BO138" s="281"/>
      <c r="BP138" s="284"/>
      <c r="BQ138" s="168"/>
      <c r="BR138" s="177"/>
      <c r="BS138" s="166"/>
      <c r="BT138" s="166"/>
      <c r="BU138" s="166"/>
      <c r="BV138" s="166"/>
      <c r="BW138" s="166"/>
      <c r="BX138" s="166"/>
      <c r="BY138" s="166"/>
      <c r="BZ138" s="166"/>
      <c r="CA138" s="166"/>
      <c r="CB138" s="166"/>
      <c r="CC138" s="122"/>
      <c r="CD138" s="143"/>
      <c r="CE138" s="121"/>
      <c r="CF138" s="122"/>
      <c r="CG138" s="122"/>
      <c r="CH138" s="122"/>
      <c r="CI138" s="122"/>
      <c r="CJ138" s="122"/>
      <c r="CK138" s="143"/>
      <c r="CL138" s="168"/>
      <c r="CM138" s="166"/>
      <c r="CN138" s="166"/>
      <c r="CO138" s="242"/>
      <c r="CP138" s="178"/>
      <c r="CQ138" s="166"/>
      <c r="CR138" s="169"/>
      <c r="CS138" s="168"/>
      <c r="CT138" s="166"/>
      <c r="CU138" s="166"/>
      <c r="CV138" s="166"/>
      <c r="CW138" s="166"/>
      <c r="CX138" s="169"/>
      <c r="CY138" s="168"/>
      <c r="CZ138" s="166"/>
      <c r="DA138" s="166"/>
      <c r="DB138" s="166"/>
      <c r="DC138" s="166"/>
      <c r="DD138" s="166"/>
      <c r="DE138" s="169"/>
      <c r="DF138" s="182"/>
      <c r="DG138" s="166"/>
      <c r="DH138" s="166"/>
      <c r="DI138" s="166"/>
      <c r="DJ138" s="166"/>
      <c r="DK138" s="166"/>
      <c r="DL138" s="169"/>
      <c r="DM138" s="178"/>
      <c r="DN138" s="166"/>
      <c r="DO138" s="166"/>
      <c r="DP138" s="166"/>
      <c r="DQ138" s="166"/>
      <c r="DR138" s="166"/>
      <c r="DS138" s="183"/>
    </row>
    <row r="139" spans="1:123" ht="14" outlineLevel="1" x14ac:dyDescent="0.3">
      <c r="A139" s="301" t="s">
        <v>358</v>
      </c>
      <c r="B139" s="330" t="s">
        <v>12</v>
      </c>
      <c r="C139" s="326" t="s">
        <v>182</v>
      </c>
      <c r="D139" s="280"/>
      <c r="E139" s="281"/>
      <c r="F139" s="281"/>
      <c r="G139" s="281"/>
      <c r="H139" s="281"/>
      <c r="I139" s="281"/>
      <c r="J139" s="281"/>
      <c r="K139" s="281"/>
      <c r="L139" s="282"/>
      <c r="M139" s="283"/>
      <c r="N139" s="281"/>
      <c r="O139" s="281"/>
      <c r="P139" s="281"/>
      <c r="Q139" s="281"/>
      <c r="R139" s="281"/>
      <c r="S139" s="284"/>
      <c r="T139" s="283"/>
      <c r="U139" s="281"/>
      <c r="V139" s="281"/>
      <c r="W139" s="281"/>
      <c r="X139" s="281"/>
      <c r="Y139" s="112"/>
      <c r="Z139" s="113"/>
      <c r="AA139" s="114"/>
      <c r="AB139" s="112"/>
      <c r="AC139" s="112"/>
      <c r="AD139" s="112"/>
      <c r="AE139" s="112"/>
      <c r="AF139" s="112"/>
      <c r="AG139" s="113"/>
      <c r="AH139" s="115"/>
      <c r="AI139" s="116"/>
      <c r="AJ139" s="112"/>
      <c r="AK139" s="112"/>
      <c r="AL139" s="112"/>
      <c r="AM139" s="112"/>
      <c r="AN139" s="117"/>
      <c r="AO139" s="283"/>
      <c r="AP139" s="281"/>
      <c r="AQ139" s="281"/>
      <c r="AR139" s="281"/>
      <c r="AS139" s="281"/>
      <c r="AT139" s="281"/>
      <c r="AU139" s="284"/>
      <c r="AV139" s="283"/>
      <c r="AW139" s="281"/>
      <c r="AX139" s="281"/>
      <c r="AY139" s="281"/>
      <c r="AZ139" s="281"/>
      <c r="BA139" s="281"/>
      <c r="BB139" s="284"/>
      <c r="BC139" s="283"/>
      <c r="BD139" s="281"/>
      <c r="BE139" s="281"/>
      <c r="BF139" s="281"/>
      <c r="BG139" s="281"/>
      <c r="BH139" s="281"/>
      <c r="BI139" s="284"/>
      <c r="BJ139" s="283"/>
      <c r="BK139" s="281"/>
      <c r="BL139" s="281"/>
      <c r="BM139" s="167"/>
      <c r="BN139" s="176"/>
      <c r="BO139" s="281"/>
      <c r="BP139" s="284"/>
      <c r="BQ139" s="168"/>
      <c r="BR139" s="177"/>
      <c r="BS139" s="166"/>
      <c r="BT139" s="166"/>
      <c r="BU139" s="166"/>
      <c r="BV139" s="166"/>
      <c r="BW139" s="166"/>
      <c r="BX139" s="166"/>
      <c r="BY139" s="166"/>
      <c r="BZ139" s="166"/>
      <c r="CA139" s="166"/>
      <c r="CB139" s="166"/>
      <c r="CC139" s="122"/>
      <c r="CD139" s="143"/>
      <c r="CE139" s="121"/>
      <c r="CF139" s="122"/>
      <c r="CG139" s="122"/>
      <c r="CH139" s="122"/>
      <c r="CI139" s="122"/>
      <c r="CJ139" s="122"/>
      <c r="CK139" s="143"/>
      <c r="CL139" s="168"/>
      <c r="CM139" s="166"/>
      <c r="CN139" s="166"/>
      <c r="CO139" s="242"/>
      <c r="CP139" s="178"/>
      <c r="CQ139" s="166"/>
      <c r="CR139" s="169"/>
      <c r="CS139" s="168"/>
      <c r="CT139" s="166"/>
      <c r="CU139" s="166"/>
      <c r="CV139" s="166"/>
      <c r="CW139" s="166"/>
      <c r="CX139" s="169"/>
      <c r="CY139" s="168"/>
      <c r="CZ139" s="166"/>
      <c r="DA139" s="166"/>
      <c r="DB139" s="166"/>
      <c r="DC139" s="166"/>
      <c r="DD139" s="166"/>
      <c r="DE139" s="169"/>
      <c r="DF139" s="182"/>
      <c r="DG139" s="166"/>
      <c r="DH139" s="166"/>
      <c r="DI139" s="166"/>
      <c r="DJ139" s="166"/>
      <c r="DK139" s="166"/>
      <c r="DL139" s="169"/>
      <c r="DM139" s="178"/>
      <c r="DN139" s="166"/>
      <c r="DO139" s="166"/>
      <c r="DP139" s="166"/>
      <c r="DQ139" s="166"/>
      <c r="DR139" s="166"/>
      <c r="DS139" s="183"/>
    </row>
    <row r="140" spans="1:123" ht="14" outlineLevel="1" x14ac:dyDescent="0.3">
      <c r="A140" s="301" t="s">
        <v>359</v>
      </c>
      <c r="B140" s="330" t="s">
        <v>27</v>
      </c>
      <c r="C140" s="326" t="s">
        <v>182</v>
      </c>
      <c r="D140" s="280"/>
      <c r="E140" s="281"/>
      <c r="F140" s="281"/>
      <c r="G140" s="281"/>
      <c r="H140" s="281"/>
      <c r="I140" s="281"/>
      <c r="J140" s="281"/>
      <c r="K140" s="281"/>
      <c r="L140" s="282"/>
      <c r="M140" s="283"/>
      <c r="N140" s="281"/>
      <c r="O140" s="281"/>
      <c r="P140" s="281"/>
      <c r="Q140" s="281"/>
      <c r="R140" s="281"/>
      <c r="S140" s="284"/>
      <c r="T140" s="283"/>
      <c r="U140" s="281"/>
      <c r="V140" s="281"/>
      <c r="W140" s="281"/>
      <c r="X140" s="281"/>
      <c r="Y140" s="112"/>
      <c r="Z140" s="113"/>
      <c r="AA140" s="114"/>
      <c r="AB140" s="112"/>
      <c r="AC140" s="112"/>
      <c r="AD140" s="112"/>
      <c r="AE140" s="112"/>
      <c r="AF140" s="112"/>
      <c r="AG140" s="113"/>
      <c r="AH140" s="115"/>
      <c r="AI140" s="116"/>
      <c r="AJ140" s="112"/>
      <c r="AK140" s="112"/>
      <c r="AL140" s="112"/>
      <c r="AM140" s="112"/>
      <c r="AN140" s="117"/>
      <c r="AO140" s="283"/>
      <c r="AP140" s="281"/>
      <c r="AQ140" s="281"/>
      <c r="AR140" s="281"/>
      <c r="AS140" s="281"/>
      <c r="AT140" s="281"/>
      <c r="AU140" s="284"/>
      <c r="AV140" s="283"/>
      <c r="AW140" s="281"/>
      <c r="AX140" s="281"/>
      <c r="AY140" s="281"/>
      <c r="AZ140" s="281"/>
      <c r="BA140" s="281"/>
      <c r="BB140" s="284"/>
      <c r="BC140" s="283"/>
      <c r="BD140" s="281"/>
      <c r="BE140" s="281"/>
      <c r="BF140" s="281"/>
      <c r="BG140" s="281"/>
      <c r="BH140" s="281"/>
      <c r="BI140" s="284"/>
      <c r="BJ140" s="283"/>
      <c r="BK140" s="281"/>
      <c r="BL140" s="281"/>
      <c r="BM140" s="167"/>
      <c r="BN140" s="176"/>
      <c r="BO140" s="281"/>
      <c r="BP140" s="284"/>
      <c r="BQ140" s="168"/>
      <c r="BR140" s="177"/>
      <c r="BS140" s="166"/>
      <c r="BT140" s="166"/>
      <c r="BU140" s="166"/>
      <c r="BV140" s="166"/>
      <c r="BW140" s="166"/>
      <c r="BX140" s="166"/>
      <c r="BY140" s="166"/>
      <c r="BZ140" s="166"/>
      <c r="CA140" s="166"/>
      <c r="CB140" s="166"/>
      <c r="CC140" s="122"/>
      <c r="CD140" s="143"/>
      <c r="CE140" s="121"/>
      <c r="CF140" s="122"/>
      <c r="CG140" s="122"/>
      <c r="CH140" s="122"/>
      <c r="CI140" s="122"/>
      <c r="CJ140" s="122"/>
      <c r="CK140" s="143"/>
      <c r="CL140" s="168"/>
      <c r="CM140" s="166"/>
      <c r="CN140" s="166"/>
      <c r="CO140" s="242"/>
      <c r="CP140" s="178"/>
      <c r="CQ140" s="166"/>
      <c r="CR140" s="169"/>
      <c r="CS140" s="168"/>
      <c r="CT140" s="166"/>
      <c r="CU140" s="166"/>
      <c r="CV140" s="166"/>
      <c r="CW140" s="166"/>
      <c r="CX140" s="169"/>
      <c r="CY140" s="168"/>
      <c r="CZ140" s="166"/>
      <c r="DA140" s="166"/>
      <c r="DB140" s="166"/>
      <c r="DC140" s="166"/>
      <c r="DD140" s="166"/>
      <c r="DE140" s="169"/>
      <c r="DF140" s="182"/>
      <c r="DG140" s="166"/>
      <c r="DH140" s="166"/>
      <c r="DI140" s="166"/>
      <c r="DJ140" s="166"/>
      <c r="DK140" s="166"/>
      <c r="DL140" s="169"/>
      <c r="DM140" s="178"/>
      <c r="DN140" s="166"/>
      <c r="DO140" s="166"/>
      <c r="DP140" s="166"/>
      <c r="DQ140" s="166"/>
      <c r="DR140" s="166"/>
      <c r="DS140" s="183"/>
    </row>
    <row r="141" spans="1:123" ht="14" outlineLevel="1" x14ac:dyDescent="0.3">
      <c r="A141" s="301" t="s">
        <v>361</v>
      </c>
      <c r="B141" s="330" t="s">
        <v>24</v>
      </c>
      <c r="C141" s="326" t="s">
        <v>182</v>
      </c>
      <c r="D141" s="280"/>
      <c r="E141" s="281"/>
      <c r="F141" s="281"/>
      <c r="G141" s="281"/>
      <c r="H141" s="281"/>
      <c r="I141" s="281"/>
      <c r="J141" s="281"/>
      <c r="K141" s="281"/>
      <c r="L141" s="282"/>
      <c r="M141" s="283"/>
      <c r="N141" s="281"/>
      <c r="O141" s="281"/>
      <c r="P141" s="281"/>
      <c r="Q141" s="281"/>
      <c r="R141" s="281"/>
      <c r="S141" s="284"/>
      <c r="T141" s="283"/>
      <c r="U141" s="281"/>
      <c r="V141" s="281"/>
      <c r="W141" s="281"/>
      <c r="X141" s="281"/>
      <c r="Y141" s="112"/>
      <c r="Z141" s="113"/>
      <c r="AA141" s="114"/>
      <c r="AB141" s="112"/>
      <c r="AC141" s="112"/>
      <c r="AD141" s="112"/>
      <c r="AE141" s="112"/>
      <c r="AF141" s="112"/>
      <c r="AG141" s="113"/>
      <c r="AH141" s="115"/>
      <c r="AI141" s="116"/>
      <c r="AJ141" s="112"/>
      <c r="AK141" s="112"/>
      <c r="AL141" s="112"/>
      <c r="AM141" s="112"/>
      <c r="AN141" s="117"/>
      <c r="AO141" s="283"/>
      <c r="AP141" s="281"/>
      <c r="AQ141" s="281"/>
      <c r="AR141" s="281"/>
      <c r="AS141" s="281"/>
      <c r="AT141" s="281"/>
      <c r="AU141" s="284"/>
      <c r="AV141" s="283"/>
      <c r="AW141" s="281"/>
      <c r="AX141" s="281"/>
      <c r="AY141" s="281"/>
      <c r="AZ141" s="281"/>
      <c r="BA141" s="281"/>
      <c r="BB141" s="284"/>
      <c r="BC141" s="283"/>
      <c r="BD141" s="281"/>
      <c r="BE141" s="281"/>
      <c r="BF141" s="281"/>
      <c r="BG141" s="281"/>
      <c r="BH141" s="281"/>
      <c r="BI141" s="284"/>
      <c r="BJ141" s="283"/>
      <c r="BK141" s="281"/>
      <c r="BL141" s="281"/>
      <c r="BM141" s="167"/>
      <c r="BN141" s="176"/>
      <c r="BO141" s="281"/>
      <c r="BP141" s="284"/>
      <c r="BQ141" s="168"/>
      <c r="BR141" s="177"/>
      <c r="BS141" s="166"/>
      <c r="BT141" s="166"/>
      <c r="BU141" s="166"/>
      <c r="BV141" s="166"/>
      <c r="BW141" s="166"/>
      <c r="BX141" s="166"/>
      <c r="BY141" s="166"/>
      <c r="BZ141" s="166"/>
      <c r="CA141" s="166"/>
      <c r="CB141" s="166"/>
      <c r="CC141" s="122"/>
      <c r="CD141" s="143"/>
      <c r="CE141" s="121"/>
      <c r="CF141" s="122"/>
      <c r="CG141" s="122"/>
      <c r="CH141" s="122"/>
      <c r="CI141" s="122"/>
      <c r="CJ141" s="122"/>
      <c r="CK141" s="143"/>
      <c r="CL141" s="168"/>
      <c r="CM141" s="166"/>
      <c r="CN141" s="166"/>
      <c r="CO141" s="242"/>
      <c r="CP141" s="178"/>
      <c r="CQ141" s="166"/>
      <c r="CR141" s="169"/>
      <c r="CS141" s="168"/>
      <c r="CT141" s="166"/>
      <c r="CU141" s="166"/>
      <c r="CV141" s="166"/>
      <c r="CW141" s="166"/>
      <c r="CX141" s="169"/>
      <c r="CY141" s="168"/>
      <c r="CZ141" s="166"/>
      <c r="DA141" s="166"/>
      <c r="DB141" s="166"/>
      <c r="DC141" s="166"/>
      <c r="DD141" s="166"/>
      <c r="DE141" s="169"/>
      <c r="DF141" s="182"/>
      <c r="DG141" s="166"/>
      <c r="DH141" s="166"/>
      <c r="DI141" s="166"/>
      <c r="DJ141" s="166"/>
      <c r="DK141" s="166"/>
      <c r="DL141" s="169"/>
      <c r="DM141" s="178"/>
      <c r="DN141" s="166"/>
      <c r="DO141" s="166"/>
      <c r="DP141" s="166"/>
      <c r="DQ141" s="166"/>
      <c r="DR141" s="166"/>
      <c r="DS141" s="183"/>
    </row>
    <row r="142" spans="1:123" ht="14" outlineLevel="1" x14ac:dyDescent="0.3">
      <c r="A142" s="301" t="s">
        <v>360</v>
      </c>
      <c r="B142" s="330" t="s">
        <v>9</v>
      </c>
      <c r="C142" s="326" t="s">
        <v>182</v>
      </c>
      <c r="D142" s="280"/>
      <c r="E142" s="281"/>
      <c r="F142" s="281"/>
      <c r="G142" s="281"/>
      <c r="H142" s="281"/>
      <c r="I142" s="281"/>
      <c r="J142" s="281"/>
      <c r="K142" s="281"/>
      <c r="L142" s="282"/>
      <c r="M142" s="283"/>
      <c r="N142" s="281"/>
      <c r="O142" s="281"/>
      <c r="P142" s="281"/>
      <c r="Q142" s="281"/>
      <c r="R142" s="281"/>
      <c r="S142" s="284"/>
      <c r="T142" s="283"/>
      <c r="U142" s="281"/>
      <c r="V142" s="281"/>
      <c r="W142" s="281"/>
      <c r="X142" s="281"/>
      <c r="Y142" s="112"/>
      <c r="Z142" s="113"/>
      <c r="AA142" s="114"/>
      <c r="AB142" s="112"/>
      <c r="AC142" s="112"/>
      <c r="AD142" s="112"/>
      <c r="AE142" s="112"/>
      <c r="AF142" s="112"/>
      <c r="AG142" s="113"/>
      <c r="AH142" s="115"/>
      <c r="AI142" s="116"/>
      <c r="AJ142" s="112"/>
      <c r="AK142" s="112"/>
      <c r="AL142" s="112"/>
      <c r="AM142" s="112"/>
      <c r="AN142" s="117"/>
      <c r="AO142" s="283"/>
      <c r="AP142" s="281"/>
      <c r="AQ142" s="281"/>
      <c r="AR142" s="281"/>
      <c r="AS142" s="281"/>
      <c r="AT142" s="281"/>
      <c r="AU142" s="284"/>
      <c r="AV142" s="283"/>
      <c r="AW142" s="281"/>
      <c r="AX142" s="281"/>
      <c r="AY142" s="281"/>
      <c r="AZ142" s="281"/>
      <c r="BA142" s="281"/>
      <c r="BB142" s="284"/>
      <c r="BC142" s="283"/>
      <c r="BD142" s="281"/>
      <c r="BE142" s="281"/>
      <c r="BF142" s="281"/>
      <c r="BG142" s="281"/>
      <c r="BH142" s="281"/>
      <c r="BI142" s="284"/>
      <c r="BJ142" s="283"/>
      <c r="BK142" s="281"/>
      <c r="BL142" s="281"/>
      <c r="BM142" s="167"/>
      <c r="BN142" s="176"/>
      <c r="BO142" s="281"/>
      <c r="BP142" s="284"/>
      <c r="BQ142" s="168"/>
      <c r="BR142" s="177"/>
      <c r="BS142" s="166"/>
      <c r="BT142" s="166"/>
      <c r="BU142" s="166"/>
      <c r="BV142" s="166"/>
      <c r="BW142" s="166"/>
      <c r="BX142" s="166"/>
      <c r="BY142" s="166"/>
      <c r="BZ142" s="166"/>
      <c r="CA142" s="166"/>
      <c r="CB142" s="166"/>
      <c r="CC142" s="122"/>
      <c r="CD142" s="143"/>
      <c r="CE142" s="121"/>
      <c r="CF142" s="122"/>
      <c r="CG142" s="122"/>
      <c r="CH142" s="122"/>
      <c r="CI142" s="122"/>
      <c r="CJ142" s="122"/>
      <c r="CK142" s="143"/>
      <c r="CL142" s="168"/>
      <c r="CM142" s="166"/>
      <c r="CN142" s="166"/>
      <c r="CO142" s="242"/>
      <c r="CP142" s="178"/>
      <c r="CQ142" s="166"/>
      <c r="CR142" s="169"/>
      <c r="CS142" s="168"/>
      <c r="CT142" s="166"/>
      <c r="CU142" s="166"/>
      <c r="CV142" s="166"/>
      <c r="CW142" s="166"/>
      <c r="CX142" s="169"/>
      <c r="CY142" s="168"/>
      <c r="CZ142" s="166"/>
      <c r="DA142" s="166"/>
      <c r="DB142" s="166"/>
      <c r="DC142" s="166"/>
      <c r="DD142" s="166"/>
      <c r="DE142" s="169"/>
      <c r="DF142" s="182"/>
      <c r="DG142" s="166"/>
      <c r="DH142" s="166"/>
      <c r="DI142" s="166"/>
      <c r="DJ142" s="166"/>
      <c r="DK142" s="166"/>
      <c r="DL142" s="169"/>
      <c r="DM142" s="178"/>
      <c r="DN142" s="166"/>
      <c r="DO142" s="166"/>
      <c r="DP142" s="166"/>
      <c r="DQ142" s="166"/>
      <c r="DR142" s="166"/>
      <c r="DS142" s="183"/>
    </row>
    <row r="143" spans="1:123" ht="14" outlineLevel="1" x14ac:dyDescent="0.3">
      <c r="A143" s="301" t="s">
        <v>362</v>
      </c>
      <c r="B143" s="330" t="s">
        <v>5</v>
      </c>
      <c r="C143" s="326" t="s">
        <v>182</v>
      </c>
      <c r="D143" s="280"/>
      <c r="E143" s="281"/>
      <c r="F143" s="281"/>
      <c r="G143" s="281"/>
      <c r="H143" s="281"/>
      <c r="I143" s="281"/>
      <c r="J143" s="281"/>
      <c r="K143" s="281"/>
      <c r="L143" s="282"/>
      <c r="M143" s="283"/>
      <c r="N143" s="281"/>
      <c r="O143" s="281"/>
      <c r="P143" s="281"/>
      <c r="Q143" s="281"/>
      <c r="R143" s="281"/>
      <c r="S143" s="284"/>
      <c r="T143" s="283"/>
      <c r="U143" s="281"/>
      <c r="V143" s="281"/>
      <c r="W143" s="281"/>
      <c r="X143" s="281"/>
      <c r="Y143" s="112"/>
      <c r="Z143" s="113"/>
      <c r="AA143" s="114"/>
      <c r="AB143" s="112"/>
      <c r="AC143" s="112"/>
      <c r="AD143" s="112"/>
      <c r="AE143" s="112"/>
      <c r="AF143" s="112"/>
      <c r="AG143" s="113"/>
      <c r="AH143" s="115"/>
      <c r="AI143" s="116"/>
      <c r="AJ143" s="112"/>
      <c r="AK143" s="112"/>
      <c r="AL143" s="112"/>
      <c r="AM143" s="112"/>
      <c r="AN143" s="117"/>
      <c r="AO143" s="283"/>
      <c r="AP143" s="281"/>
      <c r="AQ143" s="281"/>
      <c r="AR143" s="281"/>
      <c r="AS143" s="281"/>
      <c r="AT143" s="281"/>
      <c r="AU143" s="284"/>
      <c r="AV143" s="283"/>
      <c r="AW143" s="281"/>
      <c r="AX143" s="281"/>
      <c r="AY143" s="281"/>
      <c r="AZ143" s="281"/>
      <c r="BA143" s="281"/>
      <c r="BB143" s="284"/>
      <c r="BC143" s="283"/>
      <c r="BD143" s="281"/>
      <c r="BE143" s="281"/>
      <c r="BF143" s="281"/>
      <c r="BG143" s="281"/>
      <c r="BH143" s="281"/>
      <c r="BI143" s="284"/>
      <c r="BJ143" s="283"/>
      <c r="BK143" s="281"/>
      <c r="BL143" s="281"/>
      <c r="BM143" s="167"/>
      <c r="BN143" s="176"/>
      <c r="BO143" s="281"/>
      <c r="BP143" s="284"/>
      <c r="BQ143" s="168"/>
      <c r="BR143" s="177"/>
      <c r="BS143" s="166"/>
      <c r="BT143" s="166"/>
      <c r="BU143" s="166"/>
      <c r="BV143" s="166"/>
      <c r="BW143" s="167"/>
      <c r="BX143" s="178"/>
      <c r="BY143" s="185"/>
      <c r="BZ143" s="185"/>
      <c r="CA143" s="185"/>
      <c r="CB143" s="166"/>
      <c r="CC143" s="240"/>
      <c r="CD143" s="241"/>
      <c r="CE143" s="239"/>
      <c r="CF143" s="240"/>
      <c r="CG143" s="240"/>
      <c r="CH143" s="240"/>
      <c r="CI143" s="240"/>
      <c r="CJ143" s="240"/>
      <c r="CK143" s="241"/>
      <c r="CL143" s="168"/>
      <c r="CM143" s="166"/>
      <c r="CN143" s="166"/>
      <c r="CO143" s="242"/>
      <c r="CP143" s="178"/>
      <c r="CQ143" s="166"/>
      <c r="CR143" s="169"/>
      <c r="CS143" s="168"/>
      <c r="CT143" s="166"/>
      <c r="CU143" s="166"/>
      <c r="CV143" s="166"/>
      <c r="CW143" s="166"/>
      <c r="CX143" s="169"/>
      <c r="CY143" s="168"/>
      <c r="CZ143" s="166"/>
      <c r="DA143" s="166"/>
      <c r="DB143" s="166"/>
      <c r="DC143" s="166"/>
      <c r="DD143" s="166"/>
      <c r="DE143" s="169"/>
      <c r="DF143" s="182"/>
      <c r="DG143" s="166"/>
      <c r="DH143" s="166"/>
      <c r="DI143" s="166"/>
      <c r="DJ143" s="166"/>
      <c r="DK143" s="166"/>
      <c r="DL143" s="169"/>
      <c r="DM143" s="178"/>
      <c r="DN143" s="166"/>
      <c r="DO143" s="166"/>
      <c r="DP143" s="166"/>
      <c r="DQ143" s="166"/>
      <c r="DR143" s="166"/>
      <c r="DS143" s="183"/>
    </row>
    <row r="144" spans="1:123" ht="14" outlineLevel="1" x14ac:dyDescent="0.3">
      <c r="A144" s="317" t="s">
        <v>248</v>
      </c>
      <c r="B144" s="332"/>
      <c r="C144" s="390"/>
      <c r="D144" s="280"/>
      <c r="E144" s="281"/>
      <c r="F144" s="281"/>
      <c r="G144" s="281"/>
      <c r="H144" s="281"/>
      <c r="I144" s="281"/>
      <c r="J144" s="281"/>
      <c r="K144" s="281"/>
      <c r="L144" s="282"/>
      <c r="M144" s="283"/>
      <c r="N144" s="281"/>
      <c r="O144" s="281"/>
      <c r="P144" s="281"/>
      <c r="Q144" s="281"/>
      <c r="R144" s="281"/>
      <c r="S144" s="284"/>
      <c r="T144" s="283"/>
      <c r="U144" s="281"/>
      <c r="V144" s="281"/>
      <c r="W144" s="281"/>
      <c r="X144" s="281"/>
      <c r="Y144" s="112"/>
      <c r="Z144" s="113"/>
      <c r="AA144" s="114"/>
      <c r="AB144" s="112"/>
      <c r="AC144" s="112"/>
      <c r="AD144" s="112"/>
      <c r="AE144" s="112"/>
      <c r="AF144" s="112"/>
      <c r="AG144" s="113"/>
      <c r="AH144" s="115"/>
      <c r="AI144" s="116"/>
      <c r="AJ144" s="112"/>
      <c r="AK144" s="112"/>
      <c r="AL144" s="112"/>
      <c r="AM144" s="112"/>
      <c r="AN144" s="117"/>
      <c r="AO144" s="283"/>
      <c r="AP144" s="281"/>
      <c r="AQ144" s="281"/>
      <c r="AR144" s="281"/>
      <c r="AS144" s="281"/>
      <c r="AT144" s="281"/>
      <c r="AU144" s="284"/>
      <c r="AV144" s="283"/>
      <c r="AW144" s="281"/>
      <c r="AX144" s="281"/>
      <c r="AY144" s="281"/>
      <c r="AZ144" s="281"/>
      <c r="BA144" s="281"/>
      <c r="BB144" s="284"/>
      <c r="BC144" s="283"/>
      <c r="BD144" s="281"/>
      <c r="BE144" s="281"/>
      <c r="BF144" s="281"/>
      <c r="BG144" s="281"/>
      <c r="BH144" s="281"/>
      <c r="BI144" s="284"/>
      <c r="BJ144" s="283"/>
      <c r="BK144" s="281"/>
      <c r="BL144" s="281"/>
      <c r="BM144" s="167"/>
      <c r="BN144" s="176"/>
      <c r="BO144" s="281"/>
      <c r="BP144" s="284"/>
      <c r="BQ144" s="168"/>
      <c r="BR144" s="177"/>
      <c r="BS144" s="166"/>
      <c r="BT144" s="166"/>
      <c r="BU144" s="166"/>
      <c r="BV144" s="166"/>
      <c r="BW144" s="169"/>
      <c r="BX144" s="178"/>
      <c r="BY144" s="166"/>
      <c r="BZ144" s="166"/>
      <c r="CA144" s="166"/>
      <c r="CB144" s="166"/>
      <c r="CC144" s="240"/>
      <c r="CD144" s="241"/>
      <c r="CE144" s="239"/>
      <c r="CF144" s="240"/>
      <c r="CG144" s="240"/>
      <c r="CH144" s="240"/>
      <c r="CI144" s="240"/>
      <c r="CJ144" s="240"/>
      <c r="CK144" s="241"/>
      <c r="CL144" s="168"/>
      <c r="CM144" s="166"/>
      <c r="CN144" s="166"/>
      <c r="CO144" s="242"/>
      <c r="CP144" s="178"/>
      <c r="CQ144" s="166"/>
      <c r="CR144" s="169"/>
      <c r="CS144" s="168"/>
      <c r="CT144" s="166"/>
      <c r="CU144" s="166"/>
      <c r="CV144" s="166"/>
      <c r="CW144" s="166"/>
      <c r="CX144" s="169"/>
      <c r="CY144" s="168"/>
      <c r="CZ144" s="166"/>
      <c r="DA144" s="166"/>
      <c r="DB144" s="166"/>
      <c r="DC144" s="166"/>
      <c r="DD144" s="166"/>
      <c r="DE144" s="169"/>
      <c r="DF144" s="182"/>
      <c r="DG144" s="166"/>
      <c r="DH144" s="166"/>
      <c r="DI144" s="166"/>
      <c r="DJ144" s="166"/>
      <c r="DK144" s="166"/>
      <c r="DL144" s="169"/>
      <c r="DM144" s="178"/>
      <c r="DN144" s="166"/>
      <c r="DO144" s="166"/>
      <c r="DP144" s="166"/>
      <c r="DQ144" s="166"/>
      <c r="DR144" s="166"/>
      <c r="DS144" s="183"/>
    </row>
    <row r="145" spans="1:123" ht="14" outlineLevel="1" x14ac:dyDescent="0.3">
      <c r="A145" s="318" t="s">
        <v>311</v>
      </c>
      <c r="B145" s="333" t="s">
        <v>5</v>
      </c>
      <c r="C145" s="316" t="s">
        <v>179</v>
      </c>
      <c r="D145" s="280"/>
      <c r="E145" s="281"/>
      <c r="F145" s="281"/>
      <c r="G145" s="281"/>
      <c r="H145" s="281"/>
      <c r="I145" s="281"/>
      <c r="J145" s="281"/>
      <c r="K145" s="281"/>
      <c r="L145" s="282"/>
      <c r="M145" s="283"/>
      <c r="N145" s="281"/>
      <c r="O145" s="281"/>
      <c r="P145" s="281"/>
      <c r="Q145" s="281"/>
      <c r="R145" s="281"/>
      <c r="S145" s="284"/>
      <c r="T145" s="283"/>
      <c r="U145" s="281"/>
      <c r="V145" s="281"/>
      <c r="W145" s="281"/>
      <c r="X145" s="281"/>
      <c r="Y145" s="112"/>
      <c r="Z145" s="113"/>
      <c r="AA145" s="114"/>
      <c r="AB145" s="112"/>
      <c r="AC145" s="112"/>
      <c r="AD145" s="112"/>
      <c r="AE145" s="112"/>
      <c r="AF145" s="112"/>
      <c r="AG145" s="113"/>
      <c r="AH145" s="115"/>
      <c r="AI145" s="116"/>
      <c r="AJ145" s="112"/>
      <c r="AK145" s="112"/>
      <c r="AL145" s="112"/>
      <c r="AM145" s="112"/>
      <c r="AN145" s="117"/>
      <c r="AO145" s="283"/>
      <c r="AP145" s="281"/>
      <c r="AQ145" s="281"/>
      <c r="AR145" s="281"/>
      <c r="AS145" s="281"/>
      <c r="AT145" s="281"/>
      <c r="AU145" s="284"/>
      <c r="AV145" s="110"/>
      <c r="AW145" s="108"/>
      <c r="AX145" s="108"/>
      <c r="AY145" s="108"/>
      <c r="AZ145" s="108"/>
      <c r="BA145" s="108"/>
      <c r="BB145" s="111"/>
      <c r="BC145" s="110"/>
      <c r="BD145" s="108"/>
      <c r="BE145" s="108"/>
      <c r="BF145" s="108"/>
      <c r="BG145" s="108"/>
      <c r="BH145" s="108"/>
      <c r="BI145" s="109"/>
      <c r="BJ145" s="228"/>
      <c r="BK145" s="185"/>
      <c r="BL145" s="185"/>
      <c r="BM145" s="249"/>
      <c r="BN145" s="391"/>
      <c r="BO145" s="185"/>
      <c r="BP145" s="231"/>
      <c r="BQ145" s="168"/>
      <c r="BR145" s="177"/>
      <c r="BS145" s="166"/>
      <c r="BT145" s="166"/>
      <c r="BU145" s="166"/>
      <c r="BV145" s="166"/>
      <c r="BW145" s="169"/>
      <c r="BX145" s="178"/>
      <c r="BY145" s="166"/>
      <c r="BZ145" s="166"/>
      <c r="CA145" s="166"/>
      <c r="CB145" s="166"/>
      <c r="CC145" s="240"/>
      <c r="CD145" s="241"/>
      <c r="CE145" s="239"/>
      <c r="CF145" s="240"/>
      <c r="CG145" s="240"/>
      <c r="CH145" s="240"/>
      <c r="CI145" s="240"/>
      <c r="CJ145" s="240"/>
      <c r="CK145" s="241"/>
      <c r="CL145" s="168"/>
      <c r="CM145" s="166"/>
      <c r="CN145" s="166"/>
      <c r="CO145" s="242"/>
      <c r="CP145" s="178"/>
      <c r="CQ145" s="166"/>
      <c r="CR145" s="169"/>
      <c r="CS145" s="168"/>
      <c r="CT145" s="166"/>
      <c r="CU145" s="166"/>
      <c r="CV145" s="166"/>
      <c r="CW145" s="166"/>
      <c r="CX145" s="169"/>
      <c r="CY145" s="168"/>
      <c r="CZ145" s="166"/>
      <c r="DA145" s="166"/>
      <c r="DB145" s="166"/>
      <c r="DC145" s="166"/>
      <c r="DD145" s="166"/>
      <c r="DE145" s="169"/>
      <c r="DF145" s="182"/>
      <c r="DG145" s="166"/>
      <c r="DH145" s="166"/>
      <c r="DI145" s="166"/>
      <c r="DJ145" s="166"/>
      <c r="DK145" s="166"/>
      <c r="DL145" s="169"/>
      <c r="DM145" s="178"/>
      <c r="DN145" s="166"/>
      <c r="DO145" s="166"/>
      <c r="DP145" s="166"/>
      <c r="DQ145" s="166"/>
      <c r="DR145" s="166"/>
      <c r="DS145" s="183"/>
    </row>
    <row r="146" spans="1:123" ht="14" outlineLevel="1" x14ac:dyDescent="0.3">
      <c r="A146" s="318" t="s">
        <v>249</v>
      </c>
      <c r="B146" s="333" t="s">
        <v>5</v>
      </c>
      <c r="C146" s="316" t="s">
        <v>179</v>
      </c>
      <c r="D146" s="280"/>
      <c r="E146" s="281"/>
      <c r="F146" s="281"/>
      <c r="G146" s="281"/>
      <c r="H146" s="281"/>
      <c r="I146" s="281"/>
      <c r="J146" s="281"/>
      <c r="K146" s="281"/>
      <c r="L146" s="282"/>
      <c r="M146" s="283"/>
      <c r="N146" s="281"/>
      <c r="O146" s="281"/>
      <c r="P146" s="281"/>
      <c r="Q146" s="281"/>
      <c r="R146" s="281"/>
      <c r="S146" s="284"/>
      <c r="T146" s="283"/>
      <c r="U146" s="281"/>
      <c r="V146" s="281"/>
      <c r="W146" s="281"/>
      <c r="X146" s="281"/>
      <c r="Y146" s="112"/>
      <c r="Z146" s="113"/>
      <c r="AA146" s="114"/>
      <c r="AB146" s="112"/>
      <c r="AC146" s="112"/>
      <c r="AD146" s="112"/>
      <c r="AE146" s="112"/>
      <c r="AF146" s="112"/>
      <c r="AG146" s="113"/>
      <c r="AH146" s="115"/>
      <c r="AI146" s="116"/>
      <c r="AJ146" s="112"/>
      <c r="AK146" s="112"/>
      <c r="AL146" s="112"/>
      <c r="AM146" s="112"/>
      <c r="AN146" s="117"/>
      <c r="AO146" s="277"/>
      <c r="AP146" s="275"/>
      <c r="AQ146" s="275"/>
      <c r="AR146" s="275"/>
      <c r="AS146" s="275"/>
      <c r="AT146" s="281"/>
      <c r="AU146" s="284"/>
      <c r="AV146" s="277"/>
      <c r="AW146" s="275"/>
      <c r="AX146" s="275"/>
      <c r="AY146" s="275"/>
      <c r="AZ146" s="108"/>
      <c r="BA146" s="108"/>
      <c r="BB146" s="111"/>
      <c r="BC146" s="110"/>
      <c r="BD146" s="108"/>
      <c r="BE146" s="108"/>
      <c r="BF146" s="108"/>
      <c r="BG146" s="108"/>
      <c r="BH146" s="108"/>
      <c r="BI146" s="109"/>
      <c r="BJ146" s="168"/>
      <c r="BK146" s="166"/>
      <c r="BL146" s="166"/>
      <c r="BM146" s="167"/>
      <c r="BN146" s="176"/>
      <c r="BO146" s="166"/>
      <c r="BP146" s="169"/>
      <c r="BQ146" s="168"/>
      <c r="BR146" s="177"/>
      <c r="BS146" s="166"/>
      <c r="BT146" s="166"/>
      <c r="BU146" s="166"/>
      <c r="BV146" s="166"/>
      <c r="BW146" s="169"/>
      <c r="BX146" s="178"/>
      <c r="BY146" s="166"/>
      <c r="BZ146" s="166"/>
      <c r="CA146" s="166"/>
      <c r="CB146" s="166"/>
      <c r="CC146" s="240"/>
      <c r="CD146" s="241"/>
      <c r="CE146" s="239"/>
      <c r="CF146" s="240"/>
      <c r="CG146" s="240"/>
      <c r="CH146" s="240"/>
      <c r="CI146" s="240"/>
      <c r="CJ146" s="240"/>
      <c r="CK146" s="241"/>
      <c r="CL146" s="168"/>
      <c r="CM146" s="166"/>
      <c r="CN146" s="166"/>
      <c r="CO146" s="242"/>
      <c r="CP146" s="178"/>
      <c r="CQ146" s="166"/>
      <c r="CR146" s="169"/>
      <c r="CS146" s="168"/>
      <c r="CT146" s="166"/>
      <c r="CU146" s="166"/>
      <c r="CV146" s="166"/>
      <c r="CW146" s="166"/>
      <c r="CX146" s="169"/>
      <c r="CY146" s="168"/>
      <c r="CZ146" s="166"/>
      <c r="DA146" s="166"/>
      <c r="DB146" s="166"/>
      <c r="DC146" s="166"/>
      <c r="DD146" s="166"/>
      <c r="DE146" s="169"/>
      <c r="DF146" s="182"/>
      <c r="DG146" s="166"/>
      <c r="DH146" s="166"/>
      <c r="DI146" s="166"/>
      <c r="DJ146" s="166"/>
      <c r="DK146" s="166"/>
      <c r="DL146" s="169"/>
      <c r="DM146" s="178"/>
      <c r="DN146" s="166"/>
      <c r="DO146" s="166"/>
      <c r="DP146" s="166"/>
      <c r="DQ146" s="166"/>
      <c r="DR146" s="166"/>
      <c r="DS146" s="183"/>
    </row>
    <row r="147" spans="1:123" ht="14" outlineLevel="1" x14ac:dyDescent="0.3">
      <c r="A147" s="319" t="s">
        <v>250</v>
      </c>
      <c r="B147" s="330" t="s">
        <v>36</v>
      </c>
      <c r="C147" s="313" t="s">
        <v>179</v>
      </c>
      <c r="D147" s="280"/>
      <c r="E147" s="281"/>
      <c r="F147" s="281"/>
      <c r="G147" s="281"/>
      <c r="H147" s="281"/>
      <c r="I147" s="281"/>
      <c r="J147" s="281"/>
      <c r="K147" s="281"/>
      <c r="L147" s="282"/>
      <c r="M147" s="283"/>
      <c r="N147" s="281"/>
      <c r="O147" s="281"/>
      <c r="P147" s="281"/>
      <c r="Q147" s="281"/>
      <c r="R147" s="281"/>
      <c r="S147" s="284"/>
      <c r="T147" s="283"/>
      <c r="U147" s="281"/>
      <c r="V147" s="281"/>
      <c r="W147" s="281"/>
      <c r="X147" s="281"/>
      <c r="Y147" s="112"/>
      <c r="Z147" s="113"/>
      <c r="AA147" s="114"/>
      <c r="AB147" s="112"/>
      <c r="AC147" s="112"/>
      <c r="AD147" s="112"/>
      <c r="AE147" s="112"/>
      <c r="AF147" s="112"/>
      <c r="AG147" s="113"/>
      <c r="AH147" s="115"/>
      <c r="AI147" s="116"/>
      <c r="AJ147" s="112"/>
      <c r="AK147" s="112"/>
      <c r="AL147" s="112"/>
      <c r="AM147" s="112"/>
      <c r="AN147" s="117"/>
      <c r="AO147" s="296"/>
      <c r="AP147" s="297"/>
      <c r="AQ147" s="297"/>
      <c r="AR147" s="297"/>
      <c r="AS147" s="297"/>
      <c r="AT147" s="281"/>
      <c r="AU147" s="284"/>
      <c r="AV147" s="298"/>
      <c r="AW147" s="299"/>
      <c r="AX147" s="299"/>
      <c r="AY147" s="275"/>
      <c r="AZ147" s="122"/>
      <c r="BA147" s="122"/>
      <c r="BB147" s="143"/>
      <c r="BC147" s="110"/>
      <c r="BD147" s="108"/>
      <c r="BE147" s="108"/>
      <c r="BF147" s="108"/>
      <c r="BG147" s="108"/>
      <c r="BH147" s="108"/>
      <c r="BI147" s="109"/>
      <c r="BJ147" s="168"/>
      <c r="BK147" s="166"/>
      <c r="BL147" s="166"/>
      <c r="BM147" s="167"/>
      <c r="BN147" s="176"/>
      <c r="BO147" s="166"/>
      <c r="BP147" s="169"/>
      <c r="BQ147" s="168"/>
      <c r="BR147" s="177"/>
      <c r="BS147" s="166"/>
      <c r="BT147" s="166"/>
      <c r="BU147" s="166"/>
      <c r="BV147" s="166"/>
      <c r="BW147" s="169"/>
      <c r="BX147" s="178"/>
      <c r="BY147" s="166"/>
      <c r="BZ147" s="166"/>
      <c r="CA147" s="166"/>
      <c r="CB147" s="166"/>
      <c r="CC147" s="240"/>
      <c r="CD147" s="241"/>
      <c r="CE147" s="239"/>
      <c r="CF147" s="240"/>
      <c r="CG147" s="240"/>
      <c r="CH147" s="240"/>
      <c r="CI147" s="240"/>
      <c r="CJ147" s="240"/>
      <c r="CK147" s="241"/>
      <c r="CL147" s="59"/>
      <c r="CM147" s="57"/>
      <c r="CN147" s="57"/>
      <c r="CO147" s="73"/>
      <c r="CP147" s="178"/>
      <c r="CQ147" s="166"/>
      <c r="CR147" s="169"/>
      <c r="CS147" s="168"/>
      <c r="CT147" s="166"/>
      <c r="CU147" s="166"/>
      <c r="CV147" s="166"/>
      <c r="CW147" s="166"/>
      <c r="CX147" s="169"/>
      <c r="CY147" s="168"/>
      <c r="CZ147" s="166"/>
      <c r="DA147" s="166"/>
      <c r="DB147" s="166"/>
      <c r="DC147" s="166"/>
      <c r="DD147" s="166"/>
      <c r="DE147" s="169"/>
      <c r="DF147" s="182"/>
      <c r="DG147" s="166"/>
      <c r="DH147" s="166"/>
      <c r="DI147" s="166"/>
      <c r="DJ147" s="166"/>
      <c r="DK147" s="166"/>
      <c r="DL147" s="169"/>
      <c r="DM147" s="178"/>
      <c r="DN147" s="166"/>
      <c r="DO147" s="166"/>
      <c r="DP147" s="166"/>
      <c r="DQ147" s="166"/>
      <c r="DR147" s="166"/>
      <c r="DS147" s="183"/>
    </row>
    <row r="148" spans="1:123" ht="14" outlineLevel="1" x14ac:dyDescent="0.3">
      <c r="A148" s="319" t="s">
        <v>343</v>
      </c>
      <c r="B148" s="330" t="s">
        <v>5</v>
      </c>
      <c r="C148" s="326" t="s">
        <v>182</v>
      </c>
      <c r="D148" s="280"/>
      <c r="E148" s="281"/>
      <c r="F148" s="281"/>
      <c r="G148" s="281"/>
      <c r="H148" s="281"/>
      <c r="I148" s="281"/>
      <c r="J148" s="281"/>
      <c r="K148" s="281"/>
      <c r="L148" s="282"/>
      <c r="M148" s="283"/>
      <c r="N148" s="281"/>
      <c r="O148" s="281"/>
      <c r="P148" s="281"/>
      <c r="Q148" s="281"/>
      <c r="R148" s="281"/>
      <c r="S148" s="284"/>
      <c r="T148" s="283"/>
      <c r="U148" s="281"/>
      <c r="V148" s="281"/>
      <c r="W148" s="281"/>
      <c r="X148" s="281"/>
      <c r="Y148" s="112"/>
      <c r="Z148" s="113"/>
      <c r="AA148" s="114"/>
      <c r="AB148" s="112"/>
      <c r="AC148" s="112"/>
      <c r="AD148" s="112"/>
      <c r="AE148" s="112"/>
      <c r="AF148" s="112"/>
      <c r="AG148" s="113"/>
      <c r="AH148" s="115"/>
      <c r="AI148" s="116"/>
      <c r="AJ148" s="112"/>
      <c r="AK148" s="112"/>
      <c r="AL148" s="112"/>
      <c r="AM148" s="112"/>
      <c r="AN148" s="117"/>
      <c r="AO148" s="283"/>
      <c r="AP148" s="281"/>
      <c r="AQ148" s="281"/>
      <c r="AR148" s="281"/>
      <c r="AS148" s="281"/>
      <c r="AT148" s="281"/>
      <c r="AU148" s="284"/>
      <c r="AV148" s="273"/>
      <c r="AW148" s="271"/>
      <c r="AX148" s="271"/>
      <c r="AY148" s="271"/>
      <c r="AZ148" s="108"/>
      <c r="BA148" s="108"/>
      <c r="BB148" s="111"/>
      <c r="BC148" s="110"/>
      <c r="BD148" s="108"/>
      <c r="BE148" s="108"/>
      <c r="BF148" s="108"/>
      <c r="BG148" s="108"/>
      <c r="BH148" s="108"/>
      <c r="BI148" s="109"/>
      <c r="BJ148" s="168"/>
      <c r="BK148" s="166"/>
      <c r="BL148" s="166"/>
      <c r="BM148" s="167"/>
      <c r="BN148" s="176"/>
      <c r="BO148" s="166"/>
      <c r="BP148" s="169"/>
      <c r="BQ148" s="168"/>
      <c r="BR148" s="177"/>
      <c r="BS148" s="166"/>
      <c r="BT148" s="166"/>
      <c r="BU148" s="166"/>
      <c r="BV148" s="166"/>
      <c r="BW148" s="169"/>
      <c r="BX148" s="178"/>
      <c r="BY148" s="166"/>
      <c r="BZ148" s="166"/>
      <c r="CA148" s="166"/>
      <c r="CB148" s="166"/>
      <c r="CC148" s="240"/>
      <c r="CD148" s="241"/>
      <c r="CE148" s="239"/>
      <c r="CF148" s="240"/>
      <c r="CG148" s="240"/>
      <c r="CH148" s="240"/>
      <c r="CI148" s="240"/>
      <c r="CJ148" s="240"/>
      <c r="CK148" s="241"/>
      <c r="CL148" s="168"/>
      <c r="CM148" s="166"/>
      <c r="CN148" s="166"/>
      <c r="CO148" s="242"/>
      <c r="CP148" s="178"/>
      <c r="CQ148" s="166"/>
      <c r="CR148" s="169"/>
      <c r="CS148" s="168"/>
      <c r="CT148" s="166"/>
      <c r="CU148" s="166"/>
      <c r="CV148" s="166"/>
      <c r="CW148" s="166"/>
      <c r="CX148" s="169"/>
      <c r="CY148" s="168"/>
      <c r="CZ148" s="166"/>
      <c r="DA148" s="166"/>
      <c r="DB148" s="166"/>
      <c r="DC148" s="166"/>
      <c r="DD148" s="166"/>
      <c r="DE148" s="169"/>
      <c r="DF148" s="182"/>
      <c r="DG148" s="166"/>
      <c r="DH148" s="166"/>
      <c r="DI148" s="166"/>
      <c r="DJ148" s="166"/>
      <c r="DK148" s="166"/>
      <c r="DL148" s="169"/>
      <c r="DM148" s="178"/>
      <c r="DN148" s="166"/>
      <c r="DO148" s="166"/>
      <c r="DP148" s="166"/>
      <c r="DQ148" s="166"/>
      <c r="DR148" s="166"/>
      <c r="DS148" s="183"/>
    </row>
    <row r="149" spans="1:123" ht="14" outlineLevel="1" x14ac:dyDescent="0.3">
      <c r="A149" s="319" t="s">
        <v>262</v>
      </c>
      <c r="B149" s="330" t="s">
        <v>36</v>
      </c>
      <c r="C149" s="313" t="s">
        <v>179</v>
      </c>
      <c r="D149" s="280"/>
      <c r="E149" s="281"/>
      <c r="F149" s="281"/>
      <c r="G149" s="281"/>
      <c r="H149" s="281"/>
      <c r="I149" s="281"/>
      <c r="J149" s="281"/>
      <c r="K149" s="281"/>
      <c r="L149" s="282"/>
      <c r="M149" s="283"/>
      <c r="N149" s="281"/>
      <c r="O149" s="281"/>
      <c r="P149" s="281"/>
      <c r="Q149" s="281"/>
      <c r="R149" s="281"/>
      <c r="S149" s="284"/>
      <c r="T149" s="283"/>
      <c r="U149" s="281"/>
      <c r="V149" s="281"/>
      <c r="W149" s="281"/>
      <c r="X149" s="281"/>
      <c r="Y149" s="112"/>
      <c r="Z149" s="113"/>
      <c r="AA149" s="114"/>
      <c r="AB149" s="112"/>
      <c r="AC149" s="112"/>
      <c r="AD149" s="112"/>
      <c r="AE149" s="112"/>
      <c r="AF149" s="112"/>
      <c r="AG149" s="113"/>
      <c r="AH149" s="115"/>
      <c r="AI149" s="116"/>
      <c r="AJ149" s="112"/>
      <c r="AK149" s="112"/>
      <c r="AL149" s="112"/>
      <c r="AM149" s="112"/>
      <c r="AN149" s="117"/>
      <c r="AO149" s="296"/>
      <c r="AP149" s="297"/>
      <c r="AQ149" s="297"/>
      <c r="AR149" s="297"/>
      <c r="AS149" s="297"/>
      <c r="AT149" s="281"/>
      <c r="AU149" s="284"/>
      <c r="AV149" s="298"/>
      <c r="AW149" s="299"/>
      <c r="AX149" s="299"/>
      <c r="AY149" s="275"/>
      <c r="AZ149" s="122"/>
      <c r="BA149" s="122"/>
      <c r="BB149" s="143"/>
      <c r="BC149" s="110"/>
      <c r="BD149" s="108"/>
      <c r="BE149" s="108"/>
      <c r="BF149" s="108"/>
      <c r="BG149" s="108"/>
      <c r="BH149" s="108"/>
      <c r="BI149" s="109"/>
      <c r="BJ149" s="168"/>
      <c r="BK149" s="166"/>
      <c r="BL149" s="166"/>
      <c r="BM149" s="167"/>
      <c r="BN149" s="176"/>
      <c r="BO149" s="166"/>
      <c r="BP149" s="169"/>
      <c r="BQ149" s="168"/>
      <c r="BR149" s="177"/>
      <c r="BS149" s="166"/>
      <c r="BT149" s="166"/>
      <c r="BU149" s="166"/>
      <c r="BV149" s="166"/>
      <c r="BW149" s="169"/>
      <c r="BX149" s="178"/>
      <c r="BY149" s="166"/>
      <c r="BZ149" s="166"/>
      <c r="CA149" s="166"/>
      <c r="CB149" s="166"/>
      <c r="CC149" s="240"/>
      <c r="CD149" s="241"/>
      <c r="CE149" s="239"/>
      <c r="CF149" s="240"/>
      <c r="CG149" s="240"/>
      <c r="CH149" s="240"/>
      <c r="CI149" s="240"/>
      <c r="CJ149" s="240"/>
      <c r="CK149" s="241"/>
      <c r="CL149" s="168"/>
      <c r="CM149" s="166"/>
      <c r="CN149" s="166"/>
      <c r="CO149" s="242"/>
      <c r="CP149" s="178"/>
      <c r="CQ149" s="166"/>
      <c r="CR149" s="169"/>
      <c r="CS149" s="168"/>
      <c r="CT149" s="166"/>
      <c r="CU149" s="166"/>
      <c r="CV149" s="166"/>
      <c r="CW149" s="166"/>
      <c r="CX149" s="169"/>
      <c r="CY149" s="168"/>
      <c r="CZ149" s="166"/>
      <c r="DA149" s="166"/>
      <c r="DB149" s="166"/>
      <c r="DC149" s="166"/>
      <c r="DD149" s="166"/>
      <c r="DE149" s="169"/>
      <c r="DF149" s="182"/>
      <c r="DG149" s="166"/>
      <c r="DH149" s="166"/>
      <c r="DI149" s="166"/>
      <c r="DJ149" s="166"/>
      <c r="DK149" s="166"/>
      <c r="DL149" s="169"/>
      <c r="DM149" s="178"/>
      <c r="DN149" s="166"/>
      <c r="DO149" s="166"/>
      <c r="DP149" s="166"/>
      <c r="DQ149" s="166"/>
      <c r="DR149" s="166"/>
      <c r="DS149" s="183"/>
    </row>
    <row r="150" spans="1:123" ht="14" x14ac:dyDescent="0.3">
      <c r="A150" s="319" t="s">
        <v>251</v>
      </c>
      <c r="B150" s="330" t="s">
        <v>5</v>
      </c>
      <c r="C150" s="313" t="s">
        <v>179</v>
      </c>
      <c r="D150" s="280"/>
      <c r="E150" s="281"/>
      <c r="F150" s="281"/>
      <c r="G150" s="281"/>
      <c r="H150" s="281"/>
      <c r="I150" s="281"/>
      <c r="J150" s="281"/>
      <c r="K150" s="281"/>
      <c r="L150" s="282"/>
      <c r="M150" s="283"/>
      <c r="N150" s="281"/>
      <c r="O150" s="281"/>
      <c r="P150" s="281"/>
      <c r="Q150" s="281"/>
      <c r="R150" s="281"/>
      <c r="S150" s="284"/>
      <c r="T150" s="283"/>
      <c r="U150" s="281"/>
      <c r="V150" s="281"/>
      <c r="W150" s="281"/>
      <c r="X150" s="281"/>
      <c r="Y150" s="112"/>
      <c r="Z150" s="113"/>
      <c r="AA150" s="114"/>
      <c r="AB150" s="112"/>
      <c r="AC150" s="112"/>
      <c r="AD150" s="112"/>
      <c r="AE150" s="112"/>
      <c r="AF150" s="112"/>
      <c r="AG150" s="113"/>
      <c r="AH150" s="115"/>
      <c r="AI150" s="116"/>
      <c r="AJ150" s="112"/>
      <c r="AK150" s="112"/>
      <c r="AL150" s="112"/>
      <c r="AM150" s="112"/>
      <c r="AN150" s="117"/>
      <c r="AO150" s="283"/>
      <c r="AP150" s="281"/>
      <c r="AQ150" s="281"/>
      <c r="AR150" s="281"/>
      <c r="AS150" s="281"/>
      <c r="AT150" s="281"/>
      <c r="AU150" s="284"/>
      <c r="AV150" s="277"/>
      <c r="AW150" s="275"/>
      <c r="AX150" s="275"/>
      <c r="AY150" s="275"/>
      <c r="AZ150" s="271"/>
      <c r="BA150" s="271"/>
      <c r="BB150" s="274"/>
      <c r="BC150" s="273"/>
      <c r="BD150" s="271"/>
      <c r="BE150" s="271"/>
      <c r="BF150" s="271"/>
      <c r="BG150" s="271"/>
      <c r="BH150" s="271"/>
      <c r="BI150" s="300"/>
      <c r="BJ150" s="168"/>
      <c r="BK150" s="166"/>
      <c r="BL150" s="166"/>
      <c r="BM150" s="167"/>
      <c r="BN150" s="176"/>
      <c r="BO150" s="166"/>
      <c r="BP150" s="169"/>
      <c r="BQ150" s="168"/>
      <c r="BR150" s="177"/>
      <c r="BS150" s="166"/>
      <c r="BT150" s="166"/>
      <c r="BU150" s="166"/>
      <c r="BV150" s="166"/>
      <c r="BW150" s="169"/>
      <c r="BX150" s="178"/>
      <c r="BY150" s="166"/>
      <c r="BZ150" s="166"/>
      <c r="CA150" s="166"/>
      <c r="CB150" s="166"/>
      <c r="CC150" s="240"/>
      <c r="CD150" s="241"/>
      <c r="CE150" s="239"/>
      <c r="CF150" s="240"/>
      <c r="CG150" s="240"/>
      <c r="CH150" s="240"/>
      <c r="CI150" s="240"/>
      <c r="CJ150" s="240"/>
      <c r="CK150" s="241"/>
      <c r="CL150" s="168"/>
      <c r="CM150" s="166"/>
      <c r="CN150" s="166"/>
      <c r="CO150" s="242"/>
      <c r="CP150" s="178"/>
      <c r="CQ150" s="166"/>
      <c r="CR150" s="169"/>
      <c r="CS150" s="168"/>
      <c r="CT150" s="166"/>
      <c r="CU150" s="166"/>
      <c r="CV150" s="166"/>
      <c r="CW150" s="166"/>
      <c r="CX150" s="169"/>
      <c r="CY150" s="168"/>
      <c r="CZ150" s="166"/>
      <c r="DA150" s="166"/>
      <c r="DB150" s="166"/>
      <c r="DC150" s="166"/>
      <c r="DD150" s="166"/>
      <c r="DE150" s="169"/>
      <c r="DF150" s="182"/>
      <c r="DG150" s="166"/>
      <c r="DH150" s="166"/>
      <c r="DI150" s="166"/>
      <c r="DJ150" s="166"/>
      <c r="DK150" s="166"/>
      <c r="DL150" s="169"/>
      <c r="DM150" s="178"/>
      <c r="DN150" s="166"/>
      <c r="DO150" s="166"/>
      <c r="DP150" s="166"/>
      <c r="DQ150" s="166"/>
      <c r="DR150" s="166"/>
      <c r="DS150" s="183"/>
    </row>
    <row r="151" spans="1:123" ht="14" x14ac:dyDescent="0.3">
      <c r="A151" s="320" t="s">
        <v>252</v>
      </c>
      <c r="B151" s="334" t="s">
        <v>5</v>
      </c>
      <c r="C151" s="315" t="s">
        <v>179</v>
      </c>
      <c r="D151" s="270"/>
      <c r="E151" s="271"/>
      <c r="F151" s="271"/>
      <c r="G151" s="271"/>
      <c r="H151" s="271"/>
      <c r="I151" s="271"/>
      <c r="J151" s="271"/>
      <c r="K151" s="271"/>
      <c r="L151" s="272"/>
      <c r="M151" s="273"/>
      <c r="N151" s="271"/>
      <c r="O151" s="271"/>
      <c r="P151" s="271"/>
      <c r="Q151" s="271"/>
      <c r="R151" s="271"/>
      <c r="S151" s="274"/>
      <c r="T151" s="273"/>
      <c r="U151" s="271"/>
      <c r="V151" s="271"/>
      <c r="W151" s="271"/>
      <c r="X151" s="271"/>
      <c r="Y151" s="257"/>
      <c r="Z151" s="258"/>
      <c r="AA151" s="259"/>
      <c r="AB151" s="257"/>
      <c r="AC151" s="257"/>
      <c r="AD151" s="257"/>
      <c r="AE151" s="257"/>
      <c r="AF151" s="257"/>
      <c r="AG151" s="258"/>
      <c r="AH151" s="260"/>
      <c r="AI151" s="261"/>
      <c r="AJ151" s="257"/>
      <c r="AK151" s="257"/>
      <c r="AL151" s="257"/>
      <c r="AM151" s="257"/>
      <c r="AN151" s="262"/>
      <c r="AO151" s="273"/>
      <c r="AP151" s="271"/>
      <c r="AQ151" s="271"/>
      <c r="AR151" s="271"/>
      <c r="AS151" s="271"/>
      <c r="AT151" s="271"/>
      <c r="AU151" s="274"/>
      <c r="AV151" s="273"/>
      <c r="AW151" s="271"/>
      <c r="AX151" s="271"/>
      <c r="AY151" s="309"/>
      <c r="AZ151" s="275"/>
      <c r="BA151" s="275"/>
      <c r="BB151" s="276"/>
      <c r="BC151" s="273"/>
      <c r="BD151" s="271"/>
      <c r="BE151" s="271"/>
      <c r="BF151" s="271"/>
      <c r="BG151" s="271"/>
      <c r="BH151" s="271"/>
      <c r="BI151" s="300"/>
      <c r="BJ151" s="168"/>
      <c r="BK151" s="166"/>
      <c r="BL151" s="166"/>
      <c r="BM151" s="167"/>
      <c r="BN151" s="176"/>
      <c r="BO151" s="166"/>
      <c r="BP151" s="169"/>
      <c r="BQ151" s="168"/>
      <c r="BR151" s="177"/>
      <c r="BS151" s="166"/>
      <c r="BT151" s="166"/>
      <c r="BU151" s="166"/>
      <c r="BV151" s="166"/>
      <c r="BW151" s="169"/>
      <c r="BX151" s="178"/>
      <c r="BY151" s="166"/>
      <c r="BZ151" s="166"/>
      <c r="CA151" s="166"/>
      <c r="CB151" s="166"/>
      <c r="CC151" s="240"/>
      <c r="CD151" s="241"/>
      <c r="CE151" s="239"/>
      <c r="CF151" s="240"/>
      <c r="CG151" s="240"/>
      <c r="CH151" s="240"/>
      <c r="CI151" s="240"/>
      <c r="CJ151" s="240"/>
      <c r="CK151" s="241"/>
      <c r="CL151" s="168"/>
      <c r="CM151" s="166"/>
      <c r="CN151" s="166"/>
      <c r="CO151" s="242"/>
      <c r="CP151" s="178"/>
      <c r="CQ151" s="166"/>
      <c r="CR151" s="169"/>
      <c r="CS151" s="168"/>
      <c r="CT151" s="166"/>
      <c r="CU151" s="166"/>
      <c r="CV151" s="166"/>
      <c r="CW151" s="166"/>
      <c r="CX151" s="169"/>
      <c r="CY151" s="168"/>
      <c r="CZ151" s="166"/>
      <c r="DA151" s="166"/>
      <c r="DB151" s="166"/>
      <c r="DC151" s="166"/>
      <c r="DD151" s="166"/>
      <c r="DE151" s="169"/>
      <c r="DF151" s="182"/>
      <c r="DG151" s="166"/>
      <c r="DH151" s="166"/>
      <c r="DI151" s="166"/>
      <c r="DJ151" s="166"/>
      <c r="DK151" s="166"/>
      <c r="DL151" s="169"/>
      <c r="DM151" s="178"/>
      <c r="DN151" s="166"/>
      <c r="DO151" s="166"/>
      <c r="DP151" s="166"/>
      <c r="DQ151" s="166"/>
      <c r="DR151" s="166"/>
      <c r="DS151" s="183"/>
    </row>
    <row r="152" spans="1:123" ht="14" x14ac:dyDescent="0.3">
      <c r="A152" s="320" t="s">
        <v>281</v>
      </c>
      <c r="B152" s="334" t="s">
        <v>5</v>
      </c>
      <c r="C152" s="324" t="s">
        <v>182</v>
      </c>
      <c r="D152" s="280"/>
      <c r="E152" s="281"/>
      <c r="F152" s="281"/>
      <c r="G152" s="281"/>
      <c r="H152" s="281"/>
      <c r="I152" s="281"/>
      <c r="J152" s="281"/>
      <c r="K152" s="281"/>
      <c r="L152" s="282"/>
      <c r="M152" s="283"/>
      <c r="N152" s="281"/>
      <c r="O152" s="281"/>
      <c r="P152" s="281"/>
      <c r="Q152" s="281"/>
      <c r="R152" s="281"/>
      <c r="S152" s="284"/>
      <c r="T152" s="283"/>
      <c r="U152" s="281"/>
      <c r="V152" s="281"/>
      <c r="W152" s="281"/>
      <c r="X152" s="281"/>
      <c r="Y152" s="112"/>
      <c r="Z152" s="113"/>
      <c r="AA152" s="114"/>
      <c r="AB152" s="112"/>
      <c r="AC152" s="112"/>
      <c r="AD152" s="112"/>
      <c r="AE152" s="112"/>
      <c r="AF152" s="112"/>
      <c r="AG152" s="113"/>
      <c r="AH152" s="115"/>
      <c r="AI152" s="116"/>
      <c r="AJ152" s="112"/>
      <c r="AK152" s="112"/>
      <c r="AL152" s="112"/>
      <c r="AM152" s="112"/>
      <c r="AN152" s="117"/>
      <c r="AO152" s="283"/>
      <c r="AP152" s="281"/>
      <c r="AQ152" s="281"/>
      <c r="AR152" s="281"/>
      <c r="AS152" s="281"/>
      <c r="AT152" s="281"/>
      <c r="AU152" s="284"/>
      <c r="AV152" s="361"/>
      <c r="AW152" s="362"/>
      <c r="AX152" s="362"/>
      <c r="AY152" s="362"/>
      <c r="AZ152" s="362"/>
      <c r="BA152" s="362"/>
      <c r="BB152" s="368"/>
      <c r="BC152" s="361"/>
      <c r="BD152" s="362"/>
      <c r="BE152" s="362"/>
      <c r="BF152" s="362"/>
      <c r="BG152" s="362"/>
      <c r="BH152" s="362"/>
      <c r="BI152" s="363"/>
      <c r="BJ152" s="364"/>
      <c r="BK152" s="365"/>
      <c r="BL152" s="365"/>
      <c r="BM152" s="370"/>
      <c r="BN152" s="371"/>
      <c r="BO152" s="369"/>
      <c r="BP152" s="372"/>
      <c r="BQ152" s="228"/>
      <c r="BR152" s="177"/>
      <c r="BS152" s="166"/>
      <c r="BT152" s="166"/>
      <c r="BU152" s="166"/>
      <c r="BV152" s="166"/>
      <c r="BW152" s="169"/>
      <c r="BX152" s="178"/>
      <c r="BY152" s="166"/>
      <c r="BZ152" s="166"/>
      <c r="CA152" s="166"/>
      <c r="CB152" s="166"/>
      <c r="CC152" s="240"/>
      <c r="CD152" s="241"/>
      <c r="CE152" s="239"/>
      <c r="CF152" s="240"/>
      <c r="CG152" s="240"/>
      <c r="CH152" s="240"/>
      <c r="CI152" s="240"/>
      <c r="CJ152" s="240"/>
      <c r="CK152" s="241"/>
      <c r="CL152" s="168"/>
      <c r="CM152" s="166"/>
      <c r="CN152" s="166"/>
      <c r="CO152" s="242"/>
      <c r="CP152" s="178"/>
      <c r="CQ152" s="166"/>
      <c r="CR152" s="169"/>
      <c r="CS152" s="168"/>
      <c r="CT152" s="166"/>
      <c r="CU152" s="166"/>
      <c r="CV152" s="166"/>
      <c r="CW152" s="166"/>
      <c r="CX152" s="169"/>
      <c r="CY152" s="168"/>
      <c r="CZ152" s="166"/>
      <c r="DA152" s="166"/>
      <c r="DB152" s="166"/>
      <c r="DC152" s="166"/>
      <c r="DD152" s="166"/>
      <c r="DE152" s="169"/>
      <c r="DF152" s="182"/>
      <c r="DG152" s="166"/>
      <c r="DH152" s="166"/>
      <c r="DI152" s="166"/>
      <c r="DJ152" s="166"/>
      <c r="DK152" s="166"/>
      <c r="DL152" s="169"/>
      <c r="DM152" s="178"/>
      <c r="DN152" s="166"/>
      <c r="DO152" s="166"/>
      <c r="DP152" s="166"/>
      <c r="DQ152" s="166"/>
      <c r="DR152" s="166"/>
      <c r="DS152" s="183"/>
    </row>
    <row r="153" spans="1:123" ht="14" x14ac:dyDescent="0.3">
      <c r="A153" s="320" t="s">
        <v>285</v>
      </c>
      <c r="B153" s="334" t="s">
        <v>5</v>
      </c>
      <c r="C153" s="313" t="s">
        <v>179</v>
      </c>
      <c r="D153" s="280"/>
      <c r="E153" s="281"/>
      <c r="F153" s="281"/>
      <c r="G153" s="281"/>
      <c r="H153" s="281"/>
      <c r="I153" s="281"/>
      <c r="J153" s="281"/>
      <c r="K153" s="281"/>
      <c r="L153" s="282"/>
      <c r="M153" s="283"/>
      <c r="N153" s="281"/>
      <c r="O153" s="281"/>
      <c r="P153" s="281"/>
      <c r="Q153" s="281"/>
      <c r="R153" s="281"/>
      <c r="S153" s="284"/>
      <c r="T153" s="283"/>
      <c r="U153" s="281"/>
      <c r="V153" s="281"/>
      <c r="W153" s="281"/>
      <c r="X153" s="281"/>
      <c r="Y153" s="112"/>
      <c r="Z153" s="113"/>
      <c r="AA153" s="114"/>
      <c r="AB153" s="112"/>
      <c r="AC153" s="112"/>
      <c r="AD153" s="112"/>
      <c r="AE153" s="112"/>
      <c r="AF153" s="112"/>
      <c r="AG153" s="113"/>
      <c r="AH153" s="115"/>
      <c r="AI153" s="116"/>
      <c r="AJ153" s="112"/>
      <c r="AK153" s="112"/>
      <c r="AL153" s="112"/>
      <c r="AM153" s="112"/>
      <c r="AN153" s="117"/>
      <c r="AO153" s="283"/>
      <c r="AP153" s="281"/>
      <c r="AQ153" s="281"/>
      <c r="AR153" s="281"/>
      <c r="AS153" s="281"/>
      <c r="AT153" s="281"/>
      <c r="AU153" s="284"/>
      <c r="AV153" s="361"/>
      <c r="AW153" s="362"/>
      <c r="AX153" s="362"/>
      <c r="AY153" s="362"/>
      <c r="AZ153" s="362"/>
      <c r="BA153" s="362"/>
      <c r="BB153" s="368"/>
      <c r="BC153" s="361"/>
      <c r="BD153" s="362"/>
      <c r="BE153" s="362"/>
      <c r="BF153" s="362"/>
      <c r="BG153" s="362"/>
      <c r="BH153" s="362"/>
      <c r="BI153" s="363"/>
      <c r="BJ153" s="364"/>
      <c r="BK153" s="365"/>
      <c r="BL153" s="365"/>
      <c r="BM153" s="370"/>
      <c r="BN153" s="371"/>
      <c r="BO153" s="369"/>
      <c r="BP153" s="372"/>
      <c r="BQ153" s="228"/>
      <c r="BR153" s="177"/>
      <c r="BS153" s="166"/>
      <c r="BT153" s="166"/>
      <c r="BU153" s="166"/>
      <c r="BV153" s="166"/>
      <c r="BW153" s="169"/>
      <c r="BX153" s="178"/>
      <c r="BY153" s="166"/>
      <c r="BZ153" s="166"/>
      <c r="CA153" s="166"/>
      <c r="CB153" s="166"/>
      <c r="CC153" s="240"/>
      <c r="CD153" s="241"/>
      <c r="CE153" s="239"/>
      <c r="CF153" s="240"/>
      <c r="CG153" s="240"/>
      <c r="CH153" s="240"/>
      <c r="CI153" s="240"/>
      <c r="CJ153" s="240"/>
      <c r="CK153" s="241"/>
      <c r="CL153" s="168"/>
      <c r="CM153" s="166"/>
      <c r="CN153" s="166"/>
      <c r="CO153" s="242"/>
      <c r="CP153" s="178"/>
      <c r="CQ153" s="166"/>
      <c r="CR153" s="169"/>
      <c r="CS153" s="168"/>
      <c r="CT153" s="166"/>
      <c r="CU153" s="166"/>
      <c r="CV153" s="166"/>
      <c r="CW153" s="166"/>
      <c r="CX153" s="169"/>
      <c r="CY153" s="168"/>
      <c r="CZ153" s="166"/>
      <c r="DA153" s="166"/>
      <c r="DB153" s="166"/>
      <c r="DC153" s="166"/>
      <c r="DD153" s="166"/>
      <c r="DE153" s="169"/>
      <c r="DF153" s="182"/>
      <c r="DG153" s="166"/>
      <c r="DH153" s="166"/>
      <c r="DI153" s="166"/>
      <c r="DJ153" s="166"/>
      <c r="DK153" s="166"/>
      <c r="DL153" s="169"/>
      <c r="DM153" s="178"/>
      <c r="DN153" s="166"/>
      <c r="DO153" s="166"/>
      <c r="DP153" s="166"/>
      <c r="DQ153" s="166"/>
      <c r="DR153" s="166"/>
      <c r="DS153" s="183"/>
    </row>
    <row r="154" spans="1:123" ht="14" x14ac:dyDescent="0.3">
      <c r="A154" s="320" t="s">
        <v>286</v>
      </c>
      <c r="B154" s="334" t="s">
        <v>5</v>
      </c>
      <c r="C154" s="313" t="s">
        <v>179</v>
      </c>
      <c r="D154" s="280"/>
      <c r="E154" s="281"/>
      <c r="F154" s="281"/>
      <c r="G154" s="281"/>
      <c r="H154" s="281"/>
      <c r="I154" s="281"/>
      <c r="J154" s="281"/>
      <c r="K154" s="281"/>
      <c r="L154" s="282"/>
      <c r="M154" s="283"/>
      <c r="N154" s="281"/>
      <c r="O154" s="281"/>
      <c r="P154" s="281"/>
      <c r="Q154" s="281"/>
      <c r="R154" s="281"/>
      <c r="S154" s="284"/>
      <c r="T154" s="283"/>
      <c r="U154" s="281"/>
      <c r="V154" s="281"/>
      <c r="W154" s="281"/>
      <c r="X154" s="281"/>
      <c r="Y154" s="112"/>
      <c r="Z154" s="113"/>
      <c r="AA154" s="114"/>
      <c r="AB154" s="112"/>
      <c r="AC154" s="112"/>
      <c r="AD154" s="112"/>
      <c r="AE154" s="112"/>
      <c r="AF154" s="112"/>
      <c r="AG154" s="113"/>
      <c r="AH154" s="115"/>
      <c r="AI154" s="116"/>
      <c r="AJ154" s="112"/>
      <c r="AK154" s="112"/>
      <c r="AL154" s="112"/>
      <c r="AM154" s="112"/>
      <c r="AN154" s="117"/>
      <c r="AO154" s="283"/>
      <c r="AP154" s="281"/>
      <c r="AQ154" s="281"/>
      <c r="AR154" s="281"/>
      <c r="AS154" s="281"/>
      <c r="AT154" s="281"/>
      <c r="AU154" s="284"/>
      <c r="AV154" s="361"/>
      <c r="AW154" s="362"/>
      <c r="AX154" s="362"/>
      <c r="AY154" s="362"/>
      <c r="AZ154" s="362"/>
      <c r="BA154" s="362"/>
      <c r="BB154" s="368"/>
      <c r="BC154" s="361"/>
      <c r="BD154" s="362"/>
      <c r="BE154" s="362"/>
      <c r="BF154" s="362"/>
      <c r="BG154" s="362"/>
      <c r="BH154" s="362"/>
      <c r="BI154" s="363"/>
      <c r="BJ154" s="364"/>
      <c r="BK154" s="365"/>
      <c r="BL154" s="365"/>
      <c r="BM154" s="370"/>
      <c r="BN154" s="371"/>
      <c r="BO154" s="369"/>
      <c r="BP154" s="372"/>
      <c r="BQ154" s="228"/>
      <c r="BR154" s="177"/>
      <c r="BS154" s="166"/>
      <c r="BT154" s="166"/>
      <c r="BU154" s="166"/>
      <c r="BV154" s="166"/>
      <c r="BW154" s="169"/>
      <c r="BX154" s="178"/>
      <c r="BY154" s="166"/>
      <c r="BZ154" s="166"/>
      <c r="CA154" s="166"/>
      <c r="CB154" s="166"/>
      <c r="CC154" s="240"/>
      <c r="CD154" s="241"/>
      <c r="CE154" s="239"/>
      <c r="CF154" s="240"/>
      <c r="CG154" s="240"/>
      <c r="CH154" s="240"/>
      <c r="CI154" s="240"/>
      <c r="CJ154" s="240"/>
      <c r="CK154" s="241"/>
      <c r="CL154" s="168"/>
      <c r="CM154" s="166"/>
      <c r="CN154" s="166"/>
      <c r="CO154" s="242"/>
      <c r="CP154" s="178"/>
      <c r="CQ154" s="166"/>
      <c r="CR154" s="169"/>
      <c r="CS154" s="168"/>
      <c r="CT154" s="166"/>
      <c r="CU154" s="166"/>
      <c r="CV154" s="166"/>
      <c r="CW154" s="166"/>
      <c r="CX154" s="169"/>
      <c r="CY154" s="168"/>
      <c r="CZ154" s="166"/>
      <c r="DA154" s="166"/>
      <c r="DB154" s="166"/>
      <c r="DC154" s="166"/>
      <c r="DD154" s="166"/>
      <c r="DE154" s="169"/>
      <c r="DF154" s="182"/>
      <c r="DG154" s="166"/>
      <c r="DH154" s="166"/>
      <c r="DI154" s="166"/>
      <c r="DJ154" s="166"/>
      <c r="DK154" s="166"/>
      <c r="DL154" s="169"/>
      <c r="DM154" s="178"/>
      <c r="DN154" s="166"/>
      <c r="DO154" s="166"/>
      <c r="DP154" s="166"/>
      <c r="DQ154" s="166"/>
      <c r="DR154" s="166"/>
      <c r="DS154" s="183"/>
    </row>
    <row r="155" spans="1:123" ht="14" x14ac:dyDescent="0.3">
      <c r="A155" s="320" t="s">
        <v>287</v>
      </c>
      <c r="B155" s="334" t="s">
        <v>5</v>
      </c>
      <c r="C155" s="313" t="s">
        <v>179</v>
      </c>
      <c r="D155" s="280"/>
      <c r="E155" s="281"/>
      <c r="F155" s="281"/>
      <c r="G155" s="281"/>
      <c r="H155" s="281"/>
      <c r="I155" s="281"/>
      <c r="J155" s="281"/>
      <c r="K155" s="281"/>
      <c r="L155" s="282"/>
      <c r="M155" s="283"/>
      <c r="N155" s="281"/>
      <c r="O155" s="281"/>
      <c r="P155" s="281"/>
      <c r="Q155" s="281"/>
      <c r="R155" s="281"/>
      <c r="S155" s="284"/>
      <c r="T155" s="283"/>
      <c r="U155" s="281"/>
      <c r="V155" s="281"/>
      <c r="W155" s="281"/>
      <c r="X155" s="281"/>
      <c r="Y155" s="112"/>
      <c r="Z155" s="113"/>
      <c r="AA155" s="114"/>
      <c r="AB155" s="112"/>
      <c r="AC155" s="112"/>
      <c r="AD155" s="112"/>
      <c r="AE155" s="112"/>
      <c r="AF155" s="112"/>
      <c r="AG155" s="113"/>
      <c r="AH155" s="115"/>
      <c r="AI155" s="116"/>
      <c r="AJ155" s="112"/>
      <c r="AK155" s="112"/>
      <c r="AL155" s="112"/>
      <c r="AM155" s="112"/>
      <c r="AN155" s="117"/>
      <c r="AO155" s="283"/>
      <c r="AP155" s="281"/>
      <c r="AQ155" s="281"/>
      <c r="AR155" s="281"/>
      <c r="AS155" s="281"/>
      <c r="AT155" s="281"/>
      <c r="AU155" s="284"/>
      <c r="AV155" s="361"/>
      <c r="AW155" s="362"/>
      <c r="AX155" s="362"/>
      <c r="AY155" s="362"/>
      <c r="AZ155" s="362"/>
      <c r="BA155" s="362"/>
      <c r="BB155" s="368"/>
      <c r="BC155" s="361"/>
      <c r="BD155" s="362"/>
      <c r="BE155" s="362"/>
      <c r="BF155" s="362"/>
      <c r="BG155" s="362"/>
      <c r="BH155" s="362"/>
      <c r="BI155" s="363"/>
      <c r="BJ155" s="364"/>
      <c r="BK155" s="365"/>
      <c r="BL155" s="365"/>
      <c r="BM155" s="370"/>
      <c r="BN155" s="371"/>
      <c r="BO155" s="369"/>
      <c r="BP155" s="372"/>
      <c r="BQ155" s="228"/>
      <c r="BR155" s="177"/>
      <c r="BS155" s="166"/>
      <c r="BT155" s="166"/>
      <c r="BU155" s="166"/>
      <c r="BV155" s="166"/>
      <c r="BW155" s="169"/>
      <c r="BX155" s="439"/>
      <c r="BY155" s="166"/>
      <c r="BZ155" s="166"/>
      <c r="CA155" s="166"/>
      <c r="CB155" s="166"/>
      <c r="CC155" s="240"/>
      <c r="CD155" s="241"/>
      <c r="CE155" s="239"/>
      <c r="CF155" s="240"/>
      <c r="CG155" s="240"/>
      <c r="CH155" s="240"/>
      <c r="CI155" s="240"/>
      <c r="CJ155" s="240"/>
      <c r="CK155" s="241"/>
      <c r="CL155" s="168"/>
      <c r="CM155" s="166"/>
      <c r="CN155" s="166"/>
      <c r="CO155" s="242"/>
      <c r="CP155" s="178"/>
      <c r="CQ155" s="166"/>
      <c r="CR155" s="169"/>
      <c r="CS155" s="168"/>
      <c r="CT155" s="166"/>
      <c r="CU155" s="166"/>
      <c r="CV155" s="166"/>
      <c r="CW155" s="166"/>
      <c r="CX155" s="169"/>
      <c r="CY155" s="168"/>
      <c r="CZ155" s="166"/>
      <c r="DA155" s="166"/>
      <c r="DB155" s="166"/>
      <c r="DC155" s="166"/>
      <c r="DD155" s="166"/>
      <c r="DE155" s="169"/>
      <c r="DF155" s="182"/>
      <c r="DG155" s="166"/>
      <c r="DH155" s="166"/>
      <c r="DI155" s="166"/>
      <c r="DJ155" s="166"/>
      <c r="DK155" s="166"/>
      <c r="DL155" s="169"/>
      <c r="DM155" s="178"/>
      <c r="DN155" s="166"/>
      <c r="DO155" s="166"/>
      <c r="DP155" s="166"/>
      <c r="DQ155" s="166"/>
      <c r="DR155" s="166"/>
      <c r="DS155" s="183"/>
    </row>
    <row r="156" spans="1:123" ht="14" x14ac:dyDescent="0.3">
      <c r="A156" s="320" t="s">
        <v>282</v>
      </c>
      <c r="B156" s="334" t="s">
        <v>5</v>
      </c>
      <c r="C156" s="313" t="s">
        <v>179</v>
      </c>
      <c r="D156" s="280"/>
      <c r="E156" s="281"/>
      <c r="F156" s="281"/>
      <c r="G156" s="281"/>
      <c r="H156" s="281"/>
      <c r="I156" s="281"/>
      <c r="J156" s="281"/>
      <c r="K156" s="281"/>
      <c r="L156" s="282"/>
      <c r="M156" s="283"/>
      <c r="N156" s="281"/>
      <c r="O156" s="281"/>
      <c r="P156" s="281"/>
      <c r="Q156" s="281"/>
      <c r="R156" s="281"/>
      <c r="S156" s="284"/>
      <c r="T156" s="283"/>
      <c r="U156" s="281"/>
      <c r="V156" s="281"/>
      <c r="W156" s="281"/>
      <c r="X156" s="281"/>
      <c r="Y156" s="112"/>
      <c r="Z156" s="113"/>
      <c r="AA156" s="114"/>
      <c r="AB156" s="112"/>
      <c r="AC156" s="112"/>
      <c r="AD156" s="112"/>
      <c r="AE156" s="112"/>
      <c r="AF156" s="112"/>
      <c r="AG156" s="113"/>
      <c r="AH156" s="115"/>
      <c r="AI156" s="116"/>
      <c r="AJ156" s="112"/>
      <c r="AK156" s="112"/>
      <c r="AL156" s="112"/>
      <c r="AM156" s="112"/>
      <c r="AN156" s="117"/>
      <c r="AO156" s="283"/>
      <c r="AP156" s="281"/>
      <c r="AQ156" s="281"/>
      <c r="AR156" s="281"/>
      <c r="AS156" s="281"/>
      <c r="AT156" s="281"/>
      <c r="AU156" s="284"/>
      <c r="AV156" s="361"/>
      <c r="AW156" s="362"/>
      <c r="AX156" s="362"/>
      <c r="AY156" s="362"/>
      <c r="AZ156" s="362"/>
      <c r="BA156" s="362"/>
      <c r="BB156" s="368"/>
      <c r="BC156" s="361"/>
      <c r="BD156" s="362"/>
      <c r="BE156" s="362"/>
      <c r="BF156" s="362"/>
      <c r="BG156" s="362"/>
      <c r="BH156" s="362"/>
      <c r="BI156" s="363"/>
      <c r="BJ156" s="392"/>
      <c r="BK156" s="369"/>
      <c r="BL156" s="369"/>
      <c r="BM156" s="370"/>
      <c r="BN156" s="366"/>
      <c r="BO156" s="365"/>
      <c r="BP156" s="367"/>
      <c r="BQ156" s="168"/>
      <c r="BR156" s="177"/>
      <c r="BS156" s="166"/>
      <c r="BT156" s="166"/>
      <c r="BU156" s="166"/>
      <c r="BV156" s="166"/>
      <c r="BW156" s="169"/>
      <c r="BX156" s="178"/>
      <c r="BY156" s="166"/>
      <c r="BZ156" s="166"/>
      <c r="CA156" s="166"/>
      <c r="CB156" s="166"/>
      <c r="CC156" s="240"/>
      <c r="CD156" s="241"/>
      <c r="CE156" s="239"/>
      <c r="CF156" s="240"/>
      <c r="CG156" s="240"/>
      <c r="CH156" s="240"/>
      <c r="CI156" s="240"/>
      <c r="CJ156" s="240"/>
      <c r="CK156" s="241"/>
      <c r="CL156" s="59"/>
      <c r="CM156" s="57"/>
      <c r="CN156" s="57"/>
      <c r="CO156" s="73"/>
      <c r="CP156" s="178"/>
      <c r="CQ156" s="166"/>
      <c r="CR156" s="169"/>
      <c r="CS156" s="168"/>
      <c r="CT156" s="166"/>
      <c r="CU156" s="166"/>
      <c r="CV156" s="166"/>
      <c r="CW156" s="166"/>
      <c r="CX156" s="169"/>
      <c r="CY156" s="168"/>
      <c r="CZ156" s="166"/>
      <c r="DA156" s="166"/>
      <c r="DB156" s="166"/>
      <c r="DC156" s="166"/>
      <c r="DD156" s="166"/>
      <c r="DE156" s="169"/>
      <c r="DF156" s="182"/>
      <c r="DG156" s="166"/>
      <c r="DH156" s="166"/>
      <c r="DI156" s="166"/>
      <c r="DJ156" s="166"/>
      <c r="DK156" s="166"/>
      <c r="DL156" s="169"/>
      <c r="DM156" s="178"/>
      <c r="DN156" s="166"/>
      <c r="DO156" s="166"/>
      <c r="DP156" s="166"/>
      <c r="DQ156" s="166"/>
      <c r="DR156" s="166"/>
      <c r="DS156" s="183"/>
    </row>
    <row r="157" spans="1:123" ht="14" x14ac:dyDescent="0.3">
      <c r="A157" s="320" t="s">
        <v>283</v>
      </c>
      <c r="B157" s="334" t="s">
        <v>5</v>
      </c>
      <c r="C157" s="313" t="s">
        <v>179</v>
      </c>
      <c r="D157" s="280"/>
      <c r="E157" s="281"/>
      <c r="F157" s="281"/>
      <c r="G157" s="281"/>
      <c r="H157" s="281"/>
      <c r="I157" s="281"/>
      <c r="J157" s="281"/>
      <c r="K157" s="281"/>
      <c r="L157" s="282"/>
      <c r="M157" s="283"/>
      <c r="N157" s="281"/>
      <c r="O157" s="281"/>
      <c r="P157" s="281"/>
      <c r="Q157" s="281"/>
      <c r="R157" s="281"/>
      <c r="S157" s="284"/>
      <c r="T157" s="283"/>
      <c r="U157" s="281"/>
      <c r="V157" s="281"/>
      <c r="W157" s="281"/>
      <c r="X157" s="281"/>
      <c r="Y157" s="112"/>
      <c r="Z157" s="113"/>
      <c r="AA157" s="114"/>
      <c r="AB157" s="112"/>
      <c r="AC157" s="112"/>
      <c r="AD157" s="112"/>
      <c r="AE157" s="112"/>
      <c r="AF157" s="112"/>
      <c r="AG157" s="113"/>
      <c r="AH157" s="115"/>
      <c r="AI157" s="116"/>
      <c r="AJ157" s="112"/>
      <c r="AK157" s="112"/>
      <c r="AL157" s="112"/>
      <c r="AM157" s="112"/>
      <c r="AN157" s="117"/>
      <c r="AO157" s="283"/>
      <c r="AP157" s="281"/>
      <c r="AQ157" s="281"/>
      <c r="AR157" s="281"/>
      <c r="AS157" s="281"/>
      <c r="AT157" s="281"/>
      <c r="AU157" s="284"/>
      <c r="AV157" s="393"/>
      <c r="AW157" s="394"/>
      <c r="AX157" s="394"/>
      <c r="AY157" s="394"/>
      <c r="AZ157" s="394"/>
      <c r="BA157" s="394"/>
      <c r="BB157" s="395"/>
      <c r="BC157" s="393"/>
      <c r="BD157" s="394"/>
      <c r="BE157" s="394"/>
      <c r="BF157" s="394"/>
      <c r="BG157" s="394"/>
      <c r="BH157" s="394"/>
      <c r="BI157" s="396"/>
      <c r="BJ157" s="392"/>
      <c r="BK157" s="369"/>
      <c r="BL157" s="369"/>
      <c r="BM157" s="370"/>
      <c r="BN157" s="366"/>
      <c r="BO157" s="365"/>
      <c r="BP157" s="367"/>
      <c r="BQ157" s="168"/>
      <c r="BR157" s="177"/>
      <c r="BS157" s="166"/>
      <c r="BT157" s="166"/>
      <c r="BU157" s="166"/>
      <c r="BV157" s="166"/>
      <c r="BW157" s="169"/>
      <c r="BX157" s="178"/>
      <c r="BY157" s="166"/>
      <c r="BZ157" s="166"/>
      <c r="CA157" s="166"/>
      <c r="CB157" s="166"/>
      <c r="CC157" s="240"/>
      <c r="CD157" s="241"/>
      <c r="CE157" s="239"/>
      <c r="CF157" s="240"/>
      <c r="CG157" s="240"/>
      <c r="CH157" s="240"/>
      <c r="CI157" s="240"/>
      <c r="CJ157" s="240"/>
      <c r="CK157" s="241"/>
      <c r="CL157" s="168"/>
      <c r="CM157" s="166"/>
      <c r="CN157" s="166"/>
      <c r="CO157" s="242"/>
      <c r="CP157" s="178"/>
      <c r="CQ157" s="166"/>
      <c r="CR157" s="169"/>
      <c r="CS157" s="168"/>
      <c r="CT157" s="166"/>
      <c r="CU157" s="166"/>
      <c r="CV157" s="166"/>
      <c r="CW157" s="166"/>
      <c r="CX157" s="169"/>
      <c r="CY157" s="168"/>
      <c r="CZ157" s="166"/>
      <c r="DA157" s="166"/>
      <c r="DB157" s="166"/>
      <c r="DC157" s="166"/>
      <c r="DD157" s="166"/>
      <c r="DE157" s="169"/>
      <c r="DF157" s="182"/>
      <c r="DG157" s="166"/>
      <c r="DH157" s="166"/>
      <c r="DI157" s="166"/>
      <c r="DJ157" s="166"/>
      <c r="DK157" s="166"/>
      <c r="DL157" s="169"/>
      <c r="DM157" s="178"/>
      <c r="DN157" s="166"/>
      <c r="DO157" s="166"/>
      <c r="DP157" s="166"/>
      <c r="DQ157" s="166"/>
      <c r="DR157" s="166"/>
      <c r="DS157" s="183"/>
    </row>
    <row r="158" spans="1:123" ht="14" x14ac:dyDescent="0.3">
      <c r="A158" s="320" t="s">
        <v>284</v>
      </c>
      <c r="B158" s="334" t="s">
        <v>5</v>
      </c>
      <c r="C158" s="405" t="s">
        <v>179</v>
      </c>
      <c r="D158" s="280"/>
      <c r="E158" s="281"/>
      <c r="F158" s="281"/>
      <c r="G158" s="281"/>
      <c r="H158" s="281"/>
      <c r="I158" s="281"/>
      <c r="J158" s="281"/>
      <c r="K158" s="281"/>
      <c r="L158" s="282"/>
      <c r="M158" s="283"/>
      <c r="N158" s="281"/>
      <c r="O158" s="281"/>
      <c r="P158" s="281"/>
      <c r="Q158" s="281"/>
      <c r="R158" s="281"/>
      <c r="S158" s="284"/>
      <c r="T158" s="283"/>
      <c r="U158" s="281"/>
      <c r="V158" s="281"/>
      <c r="W158" s="281"/>
      <c r="X158" s="281"/>
      <c r="Y158" s="112"/>
      <c r="Z158" s="113"/>
      <c r="AA158" s="114"/>
      <c r="AB158" s="112"/>
      <c r="AC158" s="112"/>
      <c r="AD158" s="112"/>
      <c r="AE158" s="112"/>
      <c r="AF158" s="112"/>
      <c r="AG158" s="113"/>
      <c r="AH158" s="115"/>
      <c r="AI158" s="116"/>
      <c r="AJ158" s="112"/>
      <c r="AK158" s="112"/>
      <c r="AL158" s="112"/>
      <c r="AM158" s="112"/>
      <c r="AN158" s="117"/>
      <c r="AO158" s="283"/>
      <c r="AP158" s="281"/>
      <c r="AQ158" s="281"/>
      <c r="AR158" s="281"/>
      <c r="AS158" s="281"/>
      <c r="AT158" s="281"/>
      <c r="AU158" s="284"/>
      <c r="AV158" s="361"/>
      <c r="AW158" s="362"/>
      <c r="AX158" s="362"/>
      <c r="AY158" s="362"/>
      <c r="AZ158" s="362"/>
      <c r="BA158" s="362"/>
      <c r="BB158" s="368"/>
      <c r="BC158" s="361"/>
      <c r="BD158" s="362"/>
      <c r="BE158" s="362"/>
      <c r="BF158" s="362"/>
      <c r="BG158" s="362"/>
      <c r="BH158" s="362"/>
      <c r="BI158" s="363"/>
      <c r="BJ158" s="364"/>
      <c r="BK158" s="365"/>
      <c r="BL158" s="365"/>
      <c r="BM158" s="370"/>
      <c r="BN158" s="366"/>
      <c r="BO158" s="365"/>
      <c r="BP158" s="367"/>
      <c r="BQ158" s="168"/>
      <c r="BR158" s="177"/>
      <c r="BS158" s="166"/>
      <c r="BT158" s="166"/>
      <c r="BU158" s="166"/>
      <c r="BV158" s="166"/>
      <c r="BW158" s="169"/>
      <c r="BX158" s="178"/>
      <c r="BY158" s="166"/>
      <c r="BZ158" s="166"/>
      <c r="CA158" s="166"/>
      <c r="CB158" s="166"/>
      <c r="CC158" s="240"/>
      <c r="CD158" s="241"/>
      <c r="CE158" s="239"/>
      <c r="CF158" s="240"/>
      <c r="CG158" s="240"/>
      <c r="CH158" s="240"/>
      <c r="CI158" s="240"/>
      <c r="CJ158" s="240"/>
      <c r="CK158" s="241"/>
      <c r="CL158" s="168"/>
      <c r="CM158" s="166"/>
      <c r="CN158" s="166"/>
      <c r="CO158" s="242"/>
      <c r="CP158" s="178"/>
      <c r="CQ158" s="166"/>
      <c r="CR158" s="169"/>
      <c r="CS158" s="168"/>
      <c r="CT158" s="166"/>
      <c r="CU158" s="166"/>
      <c r="CV158" s="166"/>
      <c r="CW158" s="166"/>
      <c r="CX158" s="169"/>
      <c r="CY158" s="168"/>
      <c r="CZ158" s="166"/>
      <c r="DA158" s="166"/>
      <c r="DB158" s="166"/>
      <c r="DC158" s="166"/>
      <c r="DD158" s="166"/>
      <c r="DE158" s="169"/>
      <c r="DF158" s="182"/>
      <c r="DG158" s="166"/>
      <c r="DH158" s="166"/>
      <c r="DI158" s="166"/>
      <c r="DJ158" s="166"/>
      <c r="DK158" s="166"/>
      <c r="DL158" s="169"/>
      <c r="DM158" s="178"/>
      <c r="DN158" s="166"/>
      <c r="DO158" s="166"/>
      <c r="DP158" s="166"/>
      <c r="DQ158" s="166"/>
      <c r="DR158" s="166"/>
      <c r="DS158" s="183"/>
    </row>
    <row r="159" spans="1:123" s="429" customFormat="1" ht="14" outlineLevel="1" x14ac:dyDescent="0.3">
      <c r="A159" s="409" t="s">
        <v>336</v>
      </c>
      <c r="B159" s="334" t="s">
        <v>5</v>
      </c>
      <c r="C159" s="430" t="s">
        <v>191</v>
      </c>
      <c r="D159" s="410"/>
      <c r="E159" s="411"/>
      <c r="F159" s="411"/>
      <c r="G159" s="411"/>
      <c r="H159" s="411"/>
      <c r="I159" s="411"/>
      <c r="J159" s="411"/>
      <c r="K159" s="411"/>
      <c r="L159" s="412"/>
      <c r="M159" s="413"/>
      <c r="N159" s="411"/>
      <c r="O159" s="411"/>
      <c r="P159" s="411"/>
      <c r="Q159" s="411"/>
      <c r="R159" s="411"/>
      <c r="S159" s="414"/>
      <c r="T159" s="413"/>
      <c r="U159" s="411"/>
      <c r="V159" s="411"/>
      <c r="W159" s="411"/>
      <c r="X159" s="411"/>
      <c r="Y159" s="415"/>
      <c r="Z159" s="416"/>
      <c r="AA159" s="417"/>
      <c r="AB159" s="415"/>
      <c r="AC159" s="415"/>
      <c r="AD159" s="415"/>
      <c r="AE159" s="415"/>
      <c r="AF159" s="415"/>
      <c r="AG159" s="416"/>
      <c r="AH159" s="418"/>
      <c r="AI159" s="419"/>
      <c r="AJ159" s="415"/>
      <c r="AK159" s="415"/>
      <c r="AL159" s="415"/>
      <c r="AM159" s="415"/>
      <c r="AN159" s="420"/>
      <c r="AO159" s="413"/>
      <c r="AP159" s="411"/>
      <c r="AQ159" s="411"/>
      <c r="AR159" s="411"/>
      <c r="AS159" s="411"/>
      <c r="AT159" s="411"/>
      <c r="AU159" s="414"/>
      <c r="AV159" s="413"/>
      <c r="AW159" s="411"/>
      <c r="AX159" s="411"/>
      <c r="AY159" s="411"/>
      <c r="AZ159" s="411"/>
      <c r="BA159" s="411"/>
      <c r="BB159" s="414"/>
      <c r="BC159" s="413"/>
      <c r="BD159" s="411"/>
      <c r="BE159" s="411"/>
      <c r="BF159" s="411"/>
      <c r="BG159" s="411"/>
      <c r="BH159" s="411"/>
      <c r="BI159" s="414"/>
      <c r="BJ159" s="413"/>
      <c r="BK159" s="411"/>
      <c r="BL159" s="411"/>
      <c r="BM159" s="412"/>
      <c r="BN159" s="421"/>
      <c r="BO159" s="411"/>
      <c r="BP159" s="414"/>
      <c r="BQ159" s="413"/>
      <c r="BR159" s="422"/>
      <c r="BS159" s="411"/>
      <c r="BT159" s="411"/>
      <c r="BU159" s="411"/>
      <c r="BV159" s="411"/>
      <c r="BW159" s="414"/>
      <c r="BX159" s="440"/>
      <c r="BY159" s="411"/>
      <c r="BZ159" s="411"/>
      <c r="CA159" s="411"/>
      <c r="CB159" s="411"/>
      <c r="CC159" s="423"/>
      <c r="CD159" s="424"/>
      <c r="CE159" s="425"/>
      <c r="CF159" s="423"/>
      <c r="CG159" s="423"/>
      <c r="CH159" s="423"/>
      <c r="CI159" s="423"/>
      <c r="CJ159" s="423"/>
      <c r="CK159" s="424"/>
      <c r="CL159" s="413"/>
      <c r="CM159" s="411"/>
      <c r="CN159" s="411"/>
      <c r="CO159" s="426"/>
      <c r="CP159" s="410"/>
      <c r="CQ159" s="411"/>
      <c r="CR159" s="414"/>
      <c r="CS159" s="413"/>
      <c r="CT159" s="411"/>
      <c r="CU159" s="411"/>
      <c r="CV159" s="411"/>
      <c r="CW159" s="411"/>
      <c r="CX159" s="414"/>
      <c r="CY159" s="413"/>
      <c r="CZ159" s="411"/>
      <c r="DA159" s="411"/>
      <c r="DB159" s="411"/>
      <c r="DC159" s="411"/>
      <c r="DD159" s="411"/>
      <c r="DE159" s="414"/>
      <c r="DF159" s="427"/>
      <c r="DG159" s="411"/>
      <c r="DH159" s="411"/>
      <c r="DI159" s="411"/>
      <c r="DJ159" s="411"/>
      <c r="DK159" s="411"/>
      <c r="DL159" s="414"/>
      <c r="DM159" s="410"/>
      <c r="DN159" s="411"/>
      <c r="DO159" s="411"/>
      <c r="DP159" s="411"/>
      <c r="DQ159" s="411"/>
      <c r="DR159" s="411"/>
      <c r="DS159" s="428"/>
    </row>
    <row r="160" spans="1:123" s="429" customFormat="1" ht="14" outlineLevel="1" x14ac:dyDescent="0.3">
      <c r="A160" s="409" t="s">
        <v>337</v>
      </c>
      <c r="B160" s="334" t="s">
        <v>5</v>
      </c>
      <c r="C160" s="430" t="s">
        <v>191</v>
      </c>
      <c r="D160" s="410"/>
      <c r="E160" s="411"/>
      <c r="F160" s="411"/>
      <c r="G160" s="411"/>
      <c r="H160" s="411"/>
      <c r="I160" s="411"/>
      <c r="J160" s="411"/>
      <c r="K160" s="411"/>
      <c r="L160" s="412"/>
      <c r="M160" s="413"/>
      <c r="N160" s="411"/>
      <c r="O160" s="411"/>
      <c r="P160" s="411"/>
      <c r="Q160" s="411"/>
      <c r="R160" s="411"/>
      <c r="S160" s="414"/>
      <c r="T160" s="413"/>
      <c r="U160" s="411"/>
      <c r="V160" s="411"/>
      <c r="W160" s="411"/>
      <c r="X160" s="411"/>
      <c r="Y160" s="415"/>
      <c r="Z160" s="416"/>
      <c r="AA160" s="417"/>
      <c r="AB160" s="415"/>
      <c r="AC160" s="415"/>
      <c r="AD160" s="415"/>
      <c r="AE160" s="415"/>
      <c r="AF160" s="415"/>
      <c r="AG160" s="416"/>
      <c r="AH160" s="418"/>
      <c r="AI160" s="419"/>
      <c r="AJ160" s="415"/>
      <c r="AK160" s="415"/>
      <c r="AL160" s="415"/>
      <c r="AM160" s="415"/>
      <c r="AN160" s="420"/>
      <c r="AO160" s="413"/>
      <c r="AP160" s="411"/>
      <c r="AQ160" s="411"/>
      <c r="AR160" s="411"/>
      <c r="AS160" s="411"/>
      <c r="AT160" s="411"/>
      <c r="AU160" s="414"/>
      <c r="AV160" s="413"/>
      <c r="AW160" s="411"/>
      <c r="AX160" s="411"/>
      <c r="AY160" s="411"/>
      <c r="AZ160" s="411"/>
      <c r="BA160" s="411"/>
      <c r="BB160" s="414"/>
      <c r="BC160" s="413"/>
      <c r="BD160" s="411"/>
      <c r="BE160" s="411"/>
      <c r="BF160" s="411"/>
      <c r="BG160" s="411"/>
      <c r="BH160" s="411"/>
      <c r="BI160" s="414"/>
      <c r="BJ160" s="413"/>
      <c r="BK160" s="411"/>
      <c r="BL160" s="411"/>
      <c r="BM160" s="412"/>
      <c r="BN160" s="421"/>
      <c r="BO160" s="411"/>
      <c r="BP160" s="414"/>
      <c r="BQ160" s="413"/>
      <c r="BR160" s="422"/>
      <c r="BS160" s="411"/>
      <c r="BT160" s="411"/>
      <c r="BU160" s="411"/>
      <c r="BV160" s="411"/>
      <c r="BW160" s="414"/>
      <c r="BX160" s="410"/>
      <c r="BY160" s="441"/>
      <c r="BZ160" s="441"/>
      <c r="CA160" s="441"/>
      <c r="CB160" s="411"/>
      <c r="CC160" s="423"/>
      <c r="CD160" s="424"/>
      <c r="CE160" s="425"/>
      <c r="CF160" s="423"/>
      <c r="CG160" s="423"/>
      <c r="CH160" s="423"/>
      <c r="CI160" s="423"/>
      <c r="CJ160" s="423"/>
      <c r="CK160" s="424"/>
      <c r="CL160" s="413"/>
      <c r="CM160" s="411"/>
      <c r="CN160" s="411"/>
      <c r="CO160" s="426"/>
      <c r="CP160" s="410"/>
      <c r="CQ160" s="411"/>
      <c r="CR160" s="414"/>
      <c r="CS160" s="413"/>
      <c r="CT160" s="411"/>
      <c r="CU160" s="411"/>
      <c r="CV160" s="411"/>
      <c r="CW160" s="411"/>
      <c r="CX160" s="414"/>
      <c r="CY160" s="413"/>
      <c r="CZ160" s="411"/>
      <c r="DA160" s="411"/>
      <c r="DB160" s="411"/>
      <c r="DC160" s="411"/>
      <c r="DD160" s="411"/>
      <c r="DE160" s="414"/>
      <c r="DF160" s="427"/>
      <c r="DG160" s="411"/>
      <c r="DH160" s="411"/>
      <c r="DI160" s="411"/>
      <c r="DJ160" s="411"/>
      <c r="DK160" s="411"/>
      <c r="DL160" s="414"/>
      <c r="DM160" s="410"/>
      <c r="DN160" s="411"/>
      <c r="DO160" s="411"/>
      <c r="DP160" s="411"/>
      <c r="DQ160" s="411"/>
      <c r="DR160" s="411"/>
      <c r="DS160" s="428"/>
    </row>
    <row r="161" spans="1:123" x14ac:dyDescent="0.3">
      <c r="A161" s="22"/>
      <c r="B161" s="22"/>
      <c r="C161" s="302"/>
      <c r="D161" s="22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  <c r="AG161" s="18"/>
      <c r="AH161" s="18"/>
      <c r="AI161" s="22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8"/>
      <c r="BC161" s="18"/>
      <c r="BD161" s="18"/>
      <c r="BE161" s="18"/>
      <c r="BF161" s="18"/>
      <c r="BG161" s="18"/>
      <c r="BH161" s="18"/>
      <c r="BI161" s="18"/>
      <c r="BJ161" s="18"/>
      <c r="BK161" s="18"/>
      <c r="BL161" s="18"/>
      <c r="BM161" s="18"/>
      <c r="BN161" s="18"/>
      <c r="BO161" s="18"/>
      <c r="BP161" s="18"/>
      <c r="BQ161" s="18"/>
      <c r="BR161" s="18" t="s">
        <v>253</v>
      </c>
      <c r="BS161" s="18"/>
      <c r="BT161" s="18"/>
      <c r="BU161" s="18"/>
      <c r="BV161" s="18"/>
      <c r="BW161" s="18"/>
      <c r="BX161" s="18"/>
      <c r="BY161" s="18"/>
      <c r="BZ161" s="18"/>
      <c r="CA161" s="18"/>
      <c r="CB161" s="18"/>
      <c r="CC161" s="18"/>
      <c r="CD161" s="18"/>
      <c r="CE161" s="18"/>
      <c r="CF161" s="18"/>
      <c r="CG161" s="18"/>
      <c r="CH161" s="18"/>
      <c r="CI161" s="18"/>
      <c r="CJ161" s="18"/>
      <c r="CK161" s="18"/>
      <c r="CL161" s="18"/>
      <c r="CM161" s="18"/>
      <c r="CN161" s="18"/>
      <c r="CO161" s="18"/>
      <c r="CP161" s="18"/>
      <c r="CQ161" s="18"/>
      <c r="CR161" s="18"/>
      <c r="CS161" s="18"/>
      <c r="CT161" s="18"/>
      <c r="CU161" s="18"/>
      <c r="CV161" s="18"/>
      <c r="CW161" s="18"/>
      <c r="CX161" s="18"/>
      <c r="CY161" s="18"/>
      <c r="CZ161" s="18"/>
      <c r="DA161" s="18"/>
      <c r="DB161" s="18"/>
      <c r="DC161" s="18"/>
      <c r="DD161" s="18"/>
      <c r="DE161" s="18"/>
      <c r="DF161" s="18"/>
      <c r="DG161" s="18"/>
      <c r="DH161" s="18"/>
      <c r="DI161" s="18"/>
      <c r="DJ161" s="18"/>
      <c r="DK161" s="18"/>
      <c r="DL161" s="18"/>
      <c r="DM161" s="18"/>
      <c r="DN161" s="18"/>
      <c r="DO161" s="18"/>
      <c r="DP161" s="18"/>
      <c r="DQ161" s="18"/>
      <c r="DR161" s="18"/>
      <c r="DS161" s="18"/>
    </row>
    <row r="162" spans="1:123" x14ac:dyDescent="0.3">
      <c r="A162" s="22"/>
      <c r="C162" s="22"/>
      <c r="D162" s="22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22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</row>
    <row r="163" spans="1:123" ht="14" x14ac:dyDescent="0.3">
      <c r="A163" s="303"/>
      <c r="B163" s="279" t="s">
        <v>182</v>
      </c>
      <c r="C163" s="304">
        <f>COUNTIF($C$10:$C$160,$B163)</f>
        <v>30</v>
      </c>
      <c r="D163" s="22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  <c r="AG163" s="18"/>
      <c r="AH163" s="18"/>
      <c r="AI163" s="22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8"/>
      <c r="BC163" s="18"/>
      <c r="BD163" s="18"/>
      <c r="BE163" s="18"/>
      <c r="BF163" s="18"/>
      <c r="BG163" s="18"/>
      <c r="BH163" s="18"/>
      <c r="BI163" s="18"/>
      <c r="BJ163" s="18"/>
      <c r="BK163" s="18"/>
      <c r="BL163" s="18"/>
      <c r="BM163" s="18"/>
      <c r="BN163" s="18"/>
      <c r="BO163" s="18"/>
      <c r="BP163" s="18"/>
      <c r="BQ163" s="18"/>
      <c r="BR163" s="18"/>
      <c r="BS163" s="18"/>
      <c r="BT163" s="18"/>
      <c r="BU163" s="18"/>
      <c r="BV163" s="18"/>
      <c r="BW163" s="18"/>
      <c r="BX163" s="18"/>
      <c r="BY163" s="18"/>
      <c r="BZ163" s="18"/>
      <c r="CA163" s="18"/>
      <c r="CB163" s="18"/>
      <c r="CC163" s="18"/>
      <c r="CD163" s="18"/>
      <c r="CE163" s="18"/>
      <c r="CF163" s="18"/>
      <c r="CG163" s="18"/>
      <c r="CH163" s="18"/>
      <c r="CI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  <c r="CU163" s="18"/>
      <c r="CV163" s="18"/>
      <c r="CW163" s="18"/>
      <c r="CX163" s="18"/>
      <c r="CY163" s="18"/>
      <c r="CZ163" s="18"/>
      <c r="DA163" s="18"/>
      <c r="DB163" s="18"/>
      <c r="DC163" s="18"/>
      <c r="DD163" s="18"/>
      <c r="DE163" s="18"/>
      <c r="DF163" s="18"/>
      <c r="DG163" s="18"/>
      <c r="DH163" s="18"/>
      <c r="DI163" s="18"/>
      <c r="DJ163" s="18"/>
      <c r="DK163" s="18"/>
      <c r="DL163" s="18"/>
      <c r="DM163" s="18"/>
      <c r="DN163" s="18"/>
      <c r="DO163" s="18"/>
      <c r="DP163" s="18"/>
      <c r="DQ163" s="18"/>
      <c r="DR163" s="18"/>
      <c r="DS163" s="18"/>
    </row>
    <row r="164" spans="1:123" ht="14" x14ac:dyDescent="0.3">
      <c r="A164" s="303"/>
      <c r="B164" s="305" t="s">
        <v>191</v>
      </c>
      <c r="C164" s="304">
        <f>COUNTIF($C$10:$C$160,$B164)</f>
        <v>30</v>
      </c>
      <c r="D164" s="22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  <c r="AG164" s="18"/>
      <c r="AH164" s="18"/>
      <c r="AI164" s="22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8"/>
      <c r="BC164" s="18"/>
      <c r="BD164" s="18"/>
      <c r="BE164" s="18"/>
      <c r="BF164" s="18"/>
      <c r="BG164" s="18"/>
      <c r="BH164" s="18"/>
      <c r="BI164" s="18"/>
      <c r="BJ164" s="18"/>
      <c r="BK164" s="18"/>
      <c r="BL164" s="18"/>
      <c r="BM164" s="18"/>
      <c r="BN164" s="18"/>
      <c r="BO164" s="18"/>
      <c r="BP164" s="18"/>
      <c r="BQ164" s="18"/>
      <c r="BR164" s="18"/>
      <c r="BS164" s="18"/>
      <c r="BT164" s="18"/>
      <c r="BU164" s="18"/>
      <c r="BV164" s="18"/>
      <c r="BW164" s="18"/>
      <c r="BX164" s="18"/>
      <c r="BY164" s="18"/>
      <c r="BZ164" s="18"/>
      <c r="CA164" s="18"/>
      <c r="CB164" s="18"/>
      <c r="CC164" s="18"/>
      <c r="CD164" s="18"/>
      <c r="CE164" s="18"/>
      <c r="CF164" s="18"/>
      <c r="CG164" s="18"/>
      <c r="CH164" s="18"/>
      <c r="CI164" s="18"/>
      <c r="CJ164" s="18"/>
      <c r="CK164" s="18"/>
      <c r="CL164" s="18"/>
      <c r="CM164" s="18"/>
      <c r="CN164" s="18"/>
      <c r="CO164" s="18"/>
      <c r="CP164" s="18"/>
      <c r="CQ164" s="18"/>
      <c r="CR164" s="18"/>
      <c r="CS164" s="18"/>
      <c r="CT164" s="18"/>
      <c r="CU164" s="18"/>
      <c r="CV164" s="18"/>
      <c r="CW164" s="18"/>
      <c r="CX164" s="18"/>
      <c r="CY164" s="18"/>
      <c r="CZ164" s="18"/>
      <c r="DA164" s="18"/>
      <c r="DB164" s="18"/>
      <c r="DC164" s="18"/>
      <c r="DD164" s="18"/>
      <c r="DE164" s="18"/>
      <c r="DF164" s="18"/>
      <c r="DG164" s="18"/>
      <c r="DH164" s="18"/>
      <c r="DI164" s="18"/>
      <c r="DJ164" s="18"/>
      <c r="DK164" s="18"/>
      <c r="DL164" s="18"/>
      <c r="DM164" s="18"/>
      <c r="DN164" s="18"/>
      <c r="DO164" s="18"/>
      <c r="DP164" s="18"/>
      <c r="DQ164" s="18"/>
      <c r="DR164" s="18"/>
      <c r="DS164" s="18"/>
    </row>
    <row r="165" spans="1:123" ht="14" x14ac:dyDescent="0.3">
      <c r="B165" s="250" t="s">
        <v>179</v>
      </c>
      <c r="C165" s="304">
        <f>COUNTIF($C$10:$C$160,$B165)</f>
        <v>69</v>
      </c>
      <c r="D165" s="22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22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</row>
    <row r="166" spans="1:123" ht="14" x14ac:dyDescent="0.3">
      <c r="B166" s="306" t="s">
        <v>254</v>
      </c>
      <c r="C166" s="304">
        <f>COUNTIF($C$10:$C$160,$B166)</f>
        <v>7</v>
      </c>
      <c r="D166" s="22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/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Y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</row>
    <row r="167" spans="1:123" ht="14" x14ac:dyDescent="0.3">
      <c r="B167" s="397" t="s">
        <v>255</v>
      </c>
      <c r="C167" s="398">
        <f>COUNTIF($C$10:$C$160,$B167)</f>
        <v>0</v>
      </c>
      <c r="D167" s="22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Y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</row>
    <row r="168" spans="1:123" x14ac:dyDescent="0.3">
      <c r="B168" s="399" t="s">
        <v>127</v>
      </c>
      <c r="C168" s="400">
        <f>SUM(C163:C167)</f>
        <v>136</v>
      </c>
      <c r="D168" s="303"/>
      <c r="AI168" s="303"/>
    </row>
    <row r="169" spans="1:123" x14ac:dyDescent="0.3">
      <c r="D169" s="303"/>
      <c r="AI169" s="303"/>
    </row>
    <row r="182" spans="25:25" x14ac:dyDescent="0.3">
      <c r="Y182" s="310"/>
    </row>
  </sheetData>
  <mergeCells count="10">
    <mergeCell ref="A1:C1"/>
    <mergeCell ref="A2:C2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2">
    <dataValidation type="list" allowBlank="1" showInputMessage="1" showErrorMessage="1" sqref="B163:B167" xr:uid="{00000000-0002-0000-0200-000000000000}">
      <formula1>#REF!</formula1>
    </dataValidation>
    <dataValidation type="list" allowBlank="1" showInputMessage="1" showErrorMessage="1" sqref="C10:C160" xr:uid="{00000000-0002-0000-0200-000001000000}">
      <formula1>$B$164:$B$167</formula1>
    </dataValidation>
  </dataValidations>
  <pageMargins left="0" right="0" top="0" bottom="0" header="0" footer="0"/>
  <pageSetup paperSize="9" scale="4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E6" sqref="E6"/>
    </sheetView>
  </sheetViews>
  <sheetFormatPr baseColWidth="10" defaultColWidth="7.7265625" defaultRowHeight="14" x14ac:dyDescent="0.3"/>
  <cols>
    <col min="1" max="1" width="14.7265625" style="373" bestFit="1" customWidth="1"/>
    <col min="2" max="2" width="30.08984375" style="373" bestFit="1" customWidth="1"/>
    <col min="3" max="3" width="8.81640625" style="373" bestFit="1" customWidth="1"/>
    <col min="4" max="4" width="15.36328125" style="373" bestFit="1" customWidth="1"/>
    <col min="5" max="5" width="9.26953125" style="373" bestFit="1" customWidth="1"/>
    <col min="6" max="7" width="12.1796875" style="373" bestFit="1" customWidth="1"/>
    <col min="8" max="8" width="11.453125" style="373" customWidth="1"/>
    <col min="9" max="9" width="17" style="387" bestFit="1" customWidth="1"/>
    <col min="10" max="10" width="12.1796875" style="387" bestFit="1" customWidth="1"/>
    <col min="11" max="11" width="17" style="387" bestFit="1" customWidth="1"/>
    <col min="12" max="29" width="11.453125" style="387" customWidth="1"/>
    <col min="30" max="47" width="11.453125" style="375" customWidth="1"/>
    <col min="48" max="16384" width="7.7265625" style="375"/>
  </cols>
  <sheetData>
    <row r="1" spans="1:47" x14ac:dyDescent="0.3">
      <c r="A1" s="373" t="s">
        <v>290</v>
      </c>
      <c r="B1" s="373" t="s">
        <v>2</v>
      </c>
      <c r="C1" s="373" t="s">
        <v>291</v>
      </c>
      <c r="D1" s="373" t="s">
        <v>288</v>
      </c>
      <c r="E1" s="373" t="s">
        <v>289</v>
      </c>
      <c r="F1" s="373" t="s">
        <v>146</v>
      </c>
      <c r="G1" s="373" t="s">
        <v>273</v>
      </c>
      <c r="I1" s="388">
        <v>43490</v>
      </c>
      <c r="J1" s="388">
        <v>43491</v>
      </c>
      <c r="K1" s="388">
        <v>43492</v>
      </c>
      <c r="L1" s="388">
        <v>43493</v>
      </c>
      <c r="M1" s="388">
        <v>43494</v>
      </c>
      <c r="N1" s="388">
        <v>43495</v>
      </c>
      <c r="O1" s="388">
        <v>43496</v>
      </c>
      <c r="P1" s="388">
        <v>43497</v>
      </c>
      <c r="Q1" s="388">
        <v>43498</v>
      </c>
      <c r="R1" s="388">
        <v>43499</v>
      </c>
      <c r="S1" s="388">
        <v>43500</v>
      </c>
      <c r="T1" s="388">
        <v>43501</v>
      </c>
      <c r="U1" s="388">
        <v>43502</v>
      </c>
      <c r="V1" s="388">
        <v>43503</v>
      </c>
      <c r="W1" s="388">
        <v>43504</v>
      </c>
      <c r="X1" s="388">
        <v>43505</v>
      </c>
      <c r="Y1" s="388">
        <v>43506</v>
      </c>
      <c r="Z1" s="388">
        <v>43507</v>
      </c>
      <c r="AA1" s="388">
        <v>43508</v>
      </c>
      <c r="AB1" s="388"/>
      <c r="AC1" s="388"/>
      <c r="AD1" s="374"/>
      <c r="AE1" s="374"/>
      <c r="AF1" s="374"/>
      <c r="AG1" s="374"/>
      <c r="AH1" s="374"/>
      <c r="AI1" s="374"/>
      <c r="AJ1" s="374"/>
      <c r="AK1" s="374"/>
      <c r="AL1" s="374"/>
      <c r="AM1" s="374"/>
      <c r="AN1" s="374"/>
      <c r="AO1" s="374"/>
      <c r="AP1" s="374"/>
      <c r="AQ1" s="374"/>
      <c r="AR1" s="374"/>
      <c r="AS1" s="374"/>
      <c r="AT1" s="374"/>
      <c r="AU1" s="374"/>
    </row>
    <row r="2" spans="1:47" x14ac:dyDescent="0.3">
      <c r="A2" s="373">
        <v>1</v>
      </c>
      <c r="B2" s="376" t="s">
        <v>292</v>
      </c>
      <c r="C2" s="373">
        <v>1</v>
      </c>
      <c r="E2" s="373">
        <v>0</v>
      </c>
      <c r="F2" s="377">
        <f>B23</f>
        <v>43490</v>
      </c>
      <c r="G2" s="377">
        <f>F2+C2-1</f>
        <v>43490</v>
      </c>
      <c r="I2" s="386" t="s">
        <v>292</v>
      </c>
    </row>
    <row r="3" spans="1:47" x14ac:dyDescent="0.3">
      <c r="A3" s="373">
        <v>2</v>
      </c>
      <c r="B3" s="376" t="s">
        <v>293</v>
      </c>
      <c r="C3" s="373">
        <v>1</v>
      </c>
      <c r="D3" s="373">
        <v>1</v>
      </c>
      <c r="E3" s="373">
        <v>0</v>
      </c>
      <c r="F3" s="377">
        <f>INDEX(tblPlan[Fin],MATCH(tblPlan[[#This Row],[Prédecesseur]],tblPlan[Numéro],0),1)+1+tblPlan[[#This Row],[Retard]]</f>
        <v>43491</v>
      </c>
      <c r="G3" s="377">
        <f t="shared" ref="G3:G12" si="0">F3+C3-1</f>
        <v>43491</v>
      </c>
      <c r="J3" s="386" t="s">
        <v>293</v>
      </c>
    </row>
    <row r="4" spans="1:47" x14ac:dyDescent="0.3">
      <c r="A4" s="373">
        <v>3</v>
      </c>
      <c r="B4" s="376" t="s">
        <v>294</v>
      </c>
      <c r="C4" s="373">
        <v>1</v>
      </c>
      <c r="D4" s="373">
        <v>2</v>
      </c>
      <c r="E4" s="373">
        <v>0</v>
      </c>
      <c r="F4" s="377">
        <f>INDEX(tblPlan[Fin],MATCH(tblPlan[[#This Row],[Prédecesseur]],tblPlan[Numéro],0),1)+1+tblPlan[[#This Row],[Retard]]</f>
        <v>43492</v>
      </c>
      <c r="G4" s="377">
        <f t="shared" si="0"/>
        <v>43492</v>
      </c>
      <c r="K4" s="386" t="s">
        <v>294</v>
      </c>
    </row>
    <row r="5" spans="1:47" x14ac:dyDescent="0.3">
      <c r="A5" s="373">
        <v>4</v>
      </c>
      <c r="B5" s="376" t="s">
        <v>295</v>
      </c>
      <c r="C5" s="373">
        <v>7</v>
      </c>
      <c r="D5" s="373">
        <v>3</v>
      </c>
      <c r="E5" s="373">
        <v>0</v>
      </c>
      <c r="F5" s="377">
        <f>INDEX(tblPlan[Fin],MATCH(tblPlan[[#This Row],[Prédecesseur]],tblPlan[Numéro],0),1)+1+tblPlan[[#This Row],[Retard]]</f>
        <v>43493</v>
      </c>
      <c r="G5" s="377">
        <f t="shared" si="0"/>
        <v>43499</v>
      </c>
      <c r="L5" s="386" t="s">
        <v>295</v>
      </c>
      <c r="M5" s="386"/>
      <c r="N5" s="386"/>
      <c r="O5" s="386"/>
      <c r="P5" s="386"/>
      <c r="Q5" s="386"/>
      <c r="R5" s="386"/>
    </row>
    <row r="6" spans="1:47" x14ac:dyDescent="0.3">
      <c r="A6" s="373">
        <v>5</v>
      </c>
      <c r="B6" s="376" t="s">
        <v>296</v>
      </c>
      <c r="C6" s="373">
        <v>1</v>
      </c>
      <c r="D6" s="373">
        <v>3</v>
      </c>
      <c r="E6" s="373">
        <v>0</v>
      </c>
      <c r="F6" s="377">
        <f>INDEX(tblPlan[Fin],MATCH(tblPlan[[#This Row],[Prédecesseur]],tblPlan[Numéro],0),1)+1+tblPlan[[#This Row],[Retard]]</f>
        <v>43493</v>
      </c>
      <c r="G6" s="377">
        <f t="shared" si="0"/>
        <v>43493</v>
      </c>
      <c r="L6" s="386" t="s">
        <v>296</v>
      </c>
      <c r="AB6" s="385"/>
    </row>
    <row r="7" spans="1:47" x14ac:dyDescent="0.3">
      <c r="A7" s="373">
        <v>6</v>
      </c>
      <c r="B7" s="376" t="s">
        <v>297</v>
      </c>
      <c r="C7" s="373">
        <v>7</v>
      </c>
      <c r="D7" s="373">
        <v>5</v>
      </c>
      <c r="E7" s="373">
        <v>0</v>
      </c>
      <c r="F7" s="377">
        <f>INDEX(tblPlan[Fin],MATCH(tblPlan[[#This Row],[Prédecesseur]],tblPlan[Numéro],0),1)+1+tblPlan[[#This Row],[Retard]]</f>
        <v>43494</v>
      </c>
      <c r="G7" s="377">
        <f t="shared" si="0"/>
        <v>43500</v>
      </c>
      <c r="M7" s="386" t="s">
        <v>297</v>
      </c>
      <c r="N7" s="386"/>
      <c r="O7" s="386"/>
      <c r="P7" s="386"/>
      <c r="Q7" s="386"/>
      <c r="R7" s="386"/>
      <c r="S7" s="386"/>
      <c r="X7" s="385"/>
      <c r="Y7" s="385"/>
      <c r="AB7" s="385"/>
      <c r="AC7" s="385"/>
      <c r="AD7" s="374"/>
      <c r="AE7" s="374"/>
      <c r="AF7" s="374"/>
      <c r="AG7" s="374"/>
    </row>
    <row r="8" spans="1:47" x14ac:dyDescent="0.3">
      <c r="A8" s="373">
        <v>7</v>
      </c>
      <c r="B8" s="376" t="s">
        <v>298</v>
      </c>
      <c r="C8" s="373">
        <v>3</v>
      </c>
      <c r="D8" s="373">
        <v>3</v>
      </c>
      <c r="E8" s="373">
        <v>0</v>
      </c>
      <c r="F8" s="377">
        <f>INDEX(tblPlan[Fin],MATCH(tblPlan[[#This Row],[Prédecesseur]],tblPlan[Numéro],0),1)+1+tblPlan[[#This Row],[Retard]]</f>
        <v>43493</v>
      </c>
      <c r="G8" s="377">
        <f t="shared" si="0"/>
        <v>43495</v>
      </c>
      <c r="L8" s="386" t="s">
        <v>298</v>
      </c>
      <c r="M8" s="386"/>
      <c r="N8" s="386"/>
      <c r="Y8" s="385"/>
      <c r="Z8" s="385"/>
      <c r="AA8" s="385"/>
    </row>
    <row r="9" spans="1:47" x14ac:dyDescent="0.3">
      <c r="A9" s="373">
        <v>8</v>
      </c>
      <c r="B9" s="376" t="s">
        <v>299</v>
      </c>
      <c r="C9" s="373">
        <v>2</v>
      </c>
      <c r="D9" s="373">
        <v>7</v>
      </c>
      <c r="E9" s="373">
        <v>0</v>
      </c>
      <c r="F9" s="377">
        <f>INDEX(tblPlan[Fin],MATCH(tblPlan[[#This Row],[Prédecesseur]],tblPlan[Numéro],0),1)+1+tblPlan[[#This Row],[Retard]]</f>
        <v>43496</v>
      </c>
      <c r="G9" s="377">
        <f t="shared" si="0"/>
        <v>43497</v>
      </c>
      <c r="O9" s="386" t="s">
        <v>299</v>
      </c>
      <c r="P9" s="386"/>
      <c r="Z9" s="385"/>
      <c r="AA9" s="385"/>
      <c r="AH9" s="374"/>
      <c r="AI9" s="374"/>
      <c r="AJ9" s="374"/>
      <c r="AK9" s="374"/>
    </row>
    <row r="10" spans="1:47" x14ac:dyDescent="0.3">
      <c r="A10" s="373">
        <v>9</v>
      </c>
      <c r="B10" s="376" t="s">
        <v>300</v>
      </c>
      <c r="C10" s="373">
        <v>2</v>
      </c>
      <c r="D10" s="373">
        <v>8</v>
      </c>
      <c r="E10" s="373">
        <v>0</v>
      </c>
      <c r="F10" s="377">
        <f>INDEX(tblPlan[Fin],MATCH(tblPlan[[#This Row],[Prédecesseur]],tblPlan[Numéro],0),1)+1+tblPlan[[#This Row],[Retard]]</f>
        <v>43498</v>
      </c>
      <c r="G10" s="377">
        <f t="shared" si="0"/>
        <v>43499</v>
      </c>
      <c r="Q10" s="386" t="s">
        <v>300</v>
      </c>
      <c r="R10" s="386"/>
      <c r="AB10" s="385"/>
      <c r="AC10" s="385"/>
      <c r="AL10" s="374"/>
      <c r="AM10" s="374"/>
    </row>
    <row r="11" spans="1:47" x14ac:dyDescent="0.3">
      <c r="A11" s="373">
        <v>10</v>
      </c>
      <c r="B11" s="376" t="s">
        <v>301</v>
      </c>
      <c r="C11" s="373">
        <v>5</v>
      </c>
      <c r="D11" s="373">
        <v>9</v>
      </c>
      <c r="E11" s="373">
        <v>0</v>
      </c>
      <c r="F11" s="377">
        <f>INDEX(tblPlan[Fin],MATCH(tblPlan[[#This Row],[Prédecesseur]],tblPlan[Numéro],0),1)+1+tblPlan[[#This Row],[Retard]]</f>
        <v>43500</v>
      </c>
      <c r="G11" s="377">
        <f t="shared" si="0"/>
        <v>43504</v>
      </c>
      <c r="S11" s="386" t="s">
        <v>301</v>
      </c>
      <c r="T11" s="386"/>
      <c r="U11" s="386"/>
      <c r="V11" s="386"/>
      <c r="W11" s="386"/>
      <c r="AD11" s="374"/>
      <c r="AN11" s="374"/>
      <c r="AO11" s="374"/>
      <c r="AP11" s="374"/>
      <c r="AQ11" s="374"/>
      <c r="AR11" s="374"/>
    </row>
    <row r="12" spans="1:47" x14ac:dyDescent="0.3">
      <c r="A12" s="373">
        <v>11</v>
      </c>
      <c r="B12" s="376" t="s">
        <v>302</v>
      </c>
      <c r="C12" s="373">
        <v>4</v>
      </c>
      <c r="D12" s="373">
        <v>10</v>
      </c>
      <c r="E12" s="373">
        <v>0</v>
      </c>
      <c r="F12" s="377">
        <f>INDEX(tblPlan[Fin],MATCH(tblPlan[[#This Row],[Prédecesseur]],tblPlan[Numéro],0),1)+1+tblPlan[[#This Row],[Retard]]</f>
        <v>43505</v>
      </c>
      <c r="G12" s="377">
        <f t="shared" si="0"/>
        <v>43508</v>
      </c>
      <c r="X12" s="386" t="s">
        <v>302</v>
      </c>
      <c r="Y12" s="386"/>
      <c r="Z12" s="386"/>
      <c r="AA12" s="386"/>
      <c r="AD12" s="374"/>
      <c r="AE12" s="374"/>
      <c r="AF12" s="374"/>
      <c r="AR12" s="374"/>
      <c r="AS12" s="374"/>
      <c r="AT12" s="374"/>
      <c r="AU12" s="374"/>
    </row>
    <row r="20" spans="1:3" x14ac:dyDescent="0.3">
      <c r="A20" s="469" t="s">
        <v>303</v>
      </c>
      <c r="B20" s="469"/>
      <c r="C20" s="378"/>
    </row>
    <row r="21" spans="1:3" x14ac:dyDescent="0.3">
      <c r="A21" s="379" t="s">
        <v>304</v>
      </c>
      <c r="B21" s="380" t="s">
        <v>305</v>
      </c>
    </row>
    <row r="22" spans="1:3" x14ac:dyDescent="0.3">
      <c r="A22" s="379" t="s">
        <v>306</v>
      </c>
      <c r="B22" s="381" t="s">
        <v>27</v>
      </c>
    </row>
    <row r="23" spans="1:3" x14ac:dyDescent="0.3">
      <c r="A23" s="379" t="s">
        <v>307</v>
      </c>
      <c r="B23" s="382">
        <v>43490</v>
      </c>
    </row>
    <row r="24" spans="1:3" x14ac:dyDescent="0.3">
      <c r="A24" s="379" t="s">
        <v>308</v>
      </c>
      <c r="B24" s="383">
        <v>43509</v>
      </c>
    </row>
    <row r="25" spans="1:3" x14ac:dyDescent="0.3">
      <c r="A25" s="379" t="s">
        <v>309</v>
      </c>
      <c r="B25" s="381">
        <f>_xlfn.DAYS($B$24,B23)</f>
        <v>19</v>
      </c>
    </row>
    <row r="26" spans="1:3" x14ac:dyDescent="0.3">
      <c r="A26" s="379" t="s">
        <v>310</v>
      </c>
      <c r="B26" s="384">
        <f ca="1">_xlfn.DAYS($B$24,TODAY())</f>
        <v>1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46"/>
  <sheetViews>
    <sheetView workbookViewId="0">
      <selection activeCell="F2" sqref="F2"/>
    </sheetView>
  </sheetViews>
  <sheetFormatPr baseColWidth="10" defaultRowHeight="14.5" x14ac:dyDescent="0.35"/>
  <cols>
    <col min="5" max="5" width="21.54296875" customWidth="1"/>
    <col min="9" max="9" width="13.54296875" customWidth="1"/>
  </cols>
  <sheetData>
    <row r="1" spans="1:10" x14ac:dyDescent="0.35">
      <c r="A1" s="4" t="s">
        <v>0</v>
      </c>
      <c r="B1" s="4" t="s">
        <v>2</v>
      </c>
      <c r="C1" s="4" t="s">
        <v>145</v>
      </c>
      <c r="D1" s="4" t="s">
        <v>1</v>
      </c>
      <c r="E1" s="9" t="s">
        <v>126</v>
      </c>
      <c r="F1" s="4" t="s">
        <v>149</v>
      </c>
    </row>
    <row r="2" spans="1:10" x14ac:dyDescent="0.35">
      <c r="A2" t="s">
        <v>51</v>
      </c>
      <c r="B2" t="s">
        <v>52</v>
      </c>
      <c r="C2" t="s">
        <v>53</v>
      </c>
      <c r="D2" s="3" t="s">
        <v>44</v>
      </c>
      <c r="E2" t="s">
        <v>132</v>
      </c>
      <c r="F2">
        <f ca="1">COUNTIF(Planning_Prod!B:B,Tableau1[[#This Row],[Trigramme]])</f>
        <v>6</v>
      </c>
      <c r="H2" t="s">
        <v>260</v>
      </c>
      <c r="I2" s="311">
        <f ca="1">TODAY()</f>
        <v>43508</v>
      </c>
    </row>
    <row r="3" spans="1:10" x14ac:dyDescent="0.35">
      <c r="A3" t="s">
        <v>54</v>
      </c>
      <c r="B3" t="s">
        <v>55</v>
      </c>
      <c r="C3" t="s">
        <v>56</v>
      </c>
      <c r="D3" s="3" t="s">
        <v>44</v>
      </c>
      <c r="E3" t="s">
        <v>132</v>
      </c>
      <c r="F3">
        <f ca="1">COUNTIF(Planning_Prod!B:B,Tableau1[[#This Row],[Trigramme]])</f>
        <v>0</v>
      </c>
    </row>
    <row r="4" spans="1:10" x14ac:dyDescent="0.35">
      <c r="A4" t="s">
        <v>62</v>
      </c>
      <c r="B4" t="s">
        <v>57</v>
      </c>
      <c r="C4" t="s">
        <v>58</v>
      </c>
      <c r="D4" s="3" t="s">
        <v>44</v>
      </c>
      <c r="E4" t="s">
        <v>132</v>
      </c>
      <c r="F4">
        <f ca="1">COUNTIF(Planning_Prod!B:B,Tableau1[[#This Row],[Trigramme]])</f>
        <v>0</v>
      </c>
      <c r="H4" s="470" t="s">
        <v>74</v>
      </c>
      <c r="I4" s="470"/>
    </row>
    <row r="5" spans="1:10" x14ac:dyDescent="0.35">
      <c r="A5" t="s">
        <v>62</v>
      </c>
      <c r="B5" t="s">
        <v>63</v>
      </c>
      <c r="C5" t="s">
        <v>59</v>
      </c>
      <c r="D5" s="3" t="s">
        <v>44</v>
      </c>
      <c r="E5" t="s">
        <v>129</v>
      </c>
      <c r="F5">
        <f ca="1">COUNTIF(Planning_Prod!B:B,Tableau1[[#This Row],[Trigramme]])</f>
        <v>0</v>
      </c>
      <c r="H5" s="6" t="s">
        <v>44</v>
      </c>
      <c r="I5" s="5">
        <f>COUNTIF(Tableau1[Année],H5)</f>
        <v>7</v>
      </c>
    </row>
    <row r="6" spans="1:10" x14ac:dyDescent="0.35">
      <c r="A6" t="s">
        <v>64</v>
      </c>
      <c r="B6" t="s">
        <v>65</v>
      </c>
      <c r="C6" t="s">
        <v>60</v>
      </c>
      <c r="D6" s="3" t="s">
        <v>44</v>
      </c>
      <c r="E6" t="s">
        <v>141</v>
      </c>
      <c r="F6">
        <f ca="1">COUNTIF(Planning_Prod!B:B,Tableau1[[#This Row],[Trigramme]])</f>
        <v>0</v>
      </c>
      <c r="H6" s="7" t="s">
        <v>6</v>
      </c>
      <c r="I6" s="5">
        <f>COUNTIF(Tableau1[Année],H6)</f>
        <v>16</v>
      </c>
    </row>
    <row r="7" spans="1:10" x14ac:dyDescent="0.35">
      <c r="A7" t="s">
        <v>66</v>
      </c>
      <c r="B7" t="s">
        <v>143</v>
      </c>
      <c r="C7" t="s">
        <v>144</v>
      </c>
      <c r="D7" s="3" t="s">
        <v>44</v>
      </c>
      <c r="E7" t="s">
        <v>141</v>
      </c>
      <c r="F7">
        <f ca="1">COUNTIF(Planning_Prod!B:B,Tableau1[[#This Row],[Trigramme]])</f>
        <v>0</v>
      </c>
      <c r="H7" s="8" t="s">
        <v>43</v>
      </c>
      <c r="I7" s="5">
        <f>COUNTIF(Tableau1[Année],H7)</f>
        <v>22</v>
      </c>
    </row>
    <row r="8" spans="1:10" x14ac:dyDescent="0.35">
      <c r="A8" t="s">
        <v>66</v>
      </c>
      <c r="B8" t="s">
        <v>67</v>
      </c>
      <c r="C8" t="s">
        <v>61</v>
      </c>
      <c r="D8" s="3" t="s">
        <v>44</v>
      </c>
      <c r="E8" t="s">
        <v>141</v>
      </c>
      <c r="F8">
        <f ca="1">COUNTIF(Planning_Prod!B:B,Tableau1[[#This Row],[Trigramme]])</f>
        <v>1</v>
      </c>
      <c r="H8" s="10" t="s">
        <v>127</v>
      </c>
      <c r="I8" s="10">
        <f>SUM(I5:I7)</f>
        <v>45</v>
      </c>
    </row>
    <row r="9" spans="1:10" x14ac:dyDescent="0.35">
      <c r="A9" t="s">
        <v>3</v>
      </c>
      <c r="B9" t="s">
        <v>4</v>
      </c>
      <c r="C9" t="s">
        <v>5</v>
      </c>
      <c r="D9" s="1" t="s">
        <v>6</v>
      </c>
      <c r="E9" t="s">
        <v>142</v>
      </c>
      <c r="F9">
        <f ca="1">COUNTIF(Planning_Prod!B:B,Tableau1[[#This Row],[Trigramme]])</f>
        <v>23</v>
      </c>
      <c r="H9" s="308" t="s">
        <v>256</v>
      </c>
      <c r="I9" s="308" t="s">
        <v>257</v>
      </c>
      <c r="J9" s="308" t="s">
        <v>258</v>
      </c>
    </row>
    <row r="10" spans="1:10" x14ac:dyDescent="0.35">
      <c r="A10" t="s">
        <v>7</v>
      </c>
      <c r="B10" t="s">
        <v>8</v>
      </c>
      <c r="C10" t="s">
        <v>9</v>
      </c>
      <c r="D10" s="1" t="s">
        <v>6</v>
      </c>
      <c r="E10" t="s">
        <v>142</v>
      </c>
      <c r="F10">
        <f ca="1">COUNTIF(Planning_Prod!B:B,Tableau1[[#This Row],[Trigramme]])</f>
        <v>13</v>
      </c>
      <c r="H10" t="e">
        <f t="shared" ref="H10:H25" ca="1" si="0">IF($F9&lt;=5,$F9,NA())</f>
        <v>#N/A</v>
      </c>
      <c r="I10" t="e">
        <f t="shared" ref="I10:I25" ca="1" si="1">IF(AND($F9&gt;5,$F9&lt;20),$F9,NA())</f>
        <v>#N/A</v>
      </c>
      <c r="J10">
        <f t="shared" ref="J10:J25" ca="1" si="2">IF($F9&gt;=20,$F9,NA())</f>
        <v>23</v>
      </c>
    </row>
    <row r="11" spans="1:10" x14ac:dyDescent="0.35">
      <c r="A11" t="s">
        <v>25</v>
      </c>
      <c r="B11" t="s">
        <v>26</v>
      </c>
      <c r="C11" t="s">
        <v>27</v>
      </c>
      <c r="D11" s="1" t="s">
        <v>6</v>
      </c>
      <c r="E11" t="s">
        <v>142</v>
      </c>
      <c r="F11">
        <f ca="1">COUNTIF(Planning_Prod!B:B,Tableau1[[#This Row],[Trigramme]])</f>
        <v>10</v>
      </c>
      <c r="H11" t="e">
        <f t="shared" ca="1" si="0"/>
        <v>#N/A</v>
      </c>
      <c r="I11">
        <f t="shared" ca="1" si="1"/>
        <v>13</v>
      </c>
      <c r="J11" t="e">
        <f t="shared" ca="1" si="2"/>
        <v>#N/A</v>
      </c>
    </row>
    <row r="12" spans="1:10" x14ac:dyDescent="0.35">
      <c r="A12" t="s">
        <v>10</v>
      </c>
      <c r="B12" t="s">
        <v>11</v>
      </c>
      <c r="C12" t="s">
        <v>12</v>
      </c>
      <c r="D12" s="1" t="s">
        <v>6</v>
      </c>
      <c r="E12" t="s">
        <v>132</v>
      </c>
      <c r="F12">
        <f ca="1">COUNTIF(Planning_Prod!B:B,Tableau1[[#This Row],[Trigramme]])</f>
        <v>15</v>
      </c>
      <c r="H12" t="e">
        <f t="shared" ca="1" si="0"/>
        <v>#N/A</v>
      </c>
      <c r="I12">
        <f t="shared" ca="1" si="1"/>
        <v>10</v>
      </c>
      <c r="J12" t="e">
        <f t="shared" ca="1" si="2"/>
        <v>#N/A</v>
      </c>
    </row>
    <row r="13" spans="1:10" x14ac:dyDescent="0.35">
      <c r="A13" t="s">
        <v>100</v>
      </c>
      <c r="B13" t="s">
        <v>128</v>
      </c>
      <c r="C13" t="s">
        <v>107</v>
      </c>
      <c r="D13" s="1" t="s">
        <v>6</v>
      </c>
      <c r="E13" t="s">
        <v>132</v>
      </c>
      <c r="F13">
        <f ca="1">COUNTIF(Planning_Prod!B:B,Tableau1[[#This Row],[Trigramme]])</f>
        <v>4</v>
      </c>
      <c r="H13" t="e">
        <f t="shared" ca="1" si="0"/>
        <v>#N/A</v>
      </c>
      <c r="I13">
        <f t="shared" ca="1" si="1"/>
        <v>15</v>
      </c>
      <c r="J13" t="e">
        <f t="shared" ca="1" si="2"/>
        <v>#N/A</v>
      </c>
    </row>
    <row r="14" spans="1:10" x14ac:dyDescent="0.35">
      <c r="A14" t="s">
        <v>13</v>
      </c>
      <c r="B14" t="s">
        <v>14</v>
      </c>
      <c r="C14" t="s">
        <v>15</v>
      </c>
      <c r="D14" s="1" t="s">
        <v>6</v>
      </c>
      <c r="E14" t="s">
        <v>129</v>
      </c>
      <c r="F14">
        <f ca="1">COUNTIF(Planning_Prod!B:B,Tableau1[[#This Row],[Trigramme]])</f>
        <v>6</v>
      </c>
      <c r="H14">
        <f t="shared" ca="1" si="0"/>
        <v>4</v>
      </c>
      <c r="I14" t="e">
        <f t="shared" ca="1" si="1"/>
        <v>#N/A</v>
      </c>
      <c r="J14" t="e">
        <f t="shared" ca="1" si="2"/>
        <v>#N/A</v>
      </c>
    </row>
    <row r="15" spans="1:10" x14ac:dyDescent="0.35">
      <c r="A15" t="s">
        <v>16</v>
      </c>
      <c r="B15" t="s">
        <v>17</v>
      </c>
      <c r="C15" t="s">
        <v>18</v>
      </c>
      <c r="D15" s="1" t="s">
        <v>6</v>
      </c>
      <c r="E15" t="s">
        <v>130</v>
      </c>
      <c r="F15">
        <f ca="1">COUNTIF(Planning_Prod!B:B,Tableau1[[#This Row],[Trigramme]])</f>
        <v>4</v>
      </c>
      <c r="H15" t="e">
        <f t="shared" ca="1" si="0"/>
        <v>#N/A</v>
      </c>
      <c r="I15">
        <f t="shared" ca="1" si="1"/>
        <v>6</v>
      </c>
      <c r="J15" t="e">
        <f t="shared" ca="1" si="2"/>
        <v>#N/A</v>
      </c>
    </row>
    <row r="16" spans="1:10" x14ac:dyDescent="0.35">
      <c r="A16" t="s">
        <v>19</v>
      </c>
      <c r="B16" t="s">
        <v>20</v>
      </c>
      <c r="C16" t="s">
        <v>21</v>
      </c>
      <c r="D16" s="1" t="s">
        <v>6</v>
      </c>
      <c r="E16" t="s">
        <v>130</v>
      </c>
      <c r="F16">
        <f ca="1">COUNTIF(Planning_Prod!B:B,Tableau1[[#This Row],[Trigramme]])</f>
        <v>1</v>
      </c>
      <c r="H16">
        <f t="shared" ca="1" si="0"/>
        <v>4</v>
      </c>
      <c r="I16" t="e">
        <f t="shared" ca="1" si="1"/>
        <v>#N/A</v>
      </c>
      <c r="J16" t="e">
        <f t="shared" ca="1" si="2"/>
        <v>#N/A</v>
      </c>
    </row>
    <row r="17" spans="1:10" x14ac:dyDescent="0.35">
      <c r="A17" t="s">
        <v>138</v>
      </c>
      <c r="B17" t="s">
        <v>139</v>
      </c>
      <c r="C17" t="s">
        <v>140</v>
      </c>
      <c r="D17" s="1" t="s">
        <v>6</v>
      </c>
      <c r="E17" t="s">
        <v>130</v>
      </c>
      <c r="F17">
        <f ca="1">COUNTIF(Planning_Prod!B:B,Tableau1[[#This Row],[Trigramme]])</f>
        <v>21</v>
      </c>
      <c r="H17">
        <f t="shared" ca="1" si="0"/>
        <v>1</v>
      </c>
      <c r="I17" t="e">
        <f t="shared" ca="1" si="1"/>
        <v>#N/A</v>
      </c>
      <c r="J17" t="e">
        <f t="shared" ca="1" si="2"/>
        <v>#N/A</v>
      </c>
    </row>
    <row r="18" spans="1:10" x14ac:dyDescent="0.35">
      <c r="A18" t="s">
        <v>29</v>
      </c>
      <c r="B18" t="s">
        <v>30</v>
      </c>
      <c r="C18" t="s">
        <v>28</v>
      </c>
      <c r="D18" s="1" t="s">
        <v>6</v>
      </c>
      <c r="E18" t="s">
        <v>130</v>
      </c>
      <c r="F18">
        <f ca="1">COUNTIF(Planning_Prod!B:B,Tableau1[[#This Row],[Trigramme]])</f>
        <v>1</v>
      </c>
      <c r="H18" t="e">
        <f t="shared" ca="1" si="0"/>
        <v>#N/A</v>
      </c>
      <c r="I18" t="e">
        <f t="shared" ca="1" si="1"/>
        <v>#N/A</v>
      </c>
      <c r="J18">
        <f t="shared" ca="1" si="2"/>
        <v>21</v>
      </c>
    </row>
    <row r="19" spans="1:10" x14ac:dyDescent="0.35">
      <c r="A19" t="s">
        <v>22</v>
      </c>
      <c r="B19" t="s">
        <v>23</v>
      </c>
      <c r="C19" t="s">
        <v>24</v>
      </c>
      <c r="D19" s="1" t="s">
        <v>6</v>
      </c>
      <c r="E19" t="s">
        <v>131</v>
      </c>
      <c r="F19">
        <f ca="1">COUNTIF(Planning_Prod!B:B,Tableau1[[#This Row],[Trigramme]])</f>
        <v>25</v>
      </c>
      <c r="H19">
        <f t="shared" ca="1" si="0"/>
        <v>1</v>
      </c>
      <c r="I19" t="e">
        <f t="shared" ca="1" si="1"/>
        <v>#N/A</v>
      </c>
      <c r="J19" t="e">
        <f t="shared" ca="1" si="2"/>
        <v>#N/A</v>
      </c>
    </row>
    <row r="20" spans="1:10" x14ac:dyDescent="0.35">
      <c r="A20" t="s">
        <v>31</v>
      </c>
      <c r="B20" t="s">
        <v>32</v>
      </c>
      <c r="C20" t="s">
        <v>33</v>
      </c>
      <c r="D20" s="1" t="s">
        <v>6</v>
      </c>
      <c r="E20" t="s">
        <v>131</v>
      </c>
      <c r="F20">
        <f ca="1">COUNTIF(Planning_Prod!B:B,Tableau1[[#This Row],[Trigramme]])</f>
        <v>3</v>
      </c>
      <c r="H20" t="e">
        <f t="shared" ca="1" si="0"/>
        <v>#N/A</v>
      </c>
      <c r="I20" t="e">
        <f t="shared" ca="1" si="1"/>
        <v>#N/A</v>
      </c>
      <c r="J20">
        <f t="shared" ca="1" si="2"/>
        <v>25</v>
      </c>
    </row>
    <row r="21" spans="1:10" x14ac:dyDescent="0.35">
      <c r="A21" t="s">
        <v>34</v>
      </c>
      <c r="B21" t="s">
        <v>35</v>
      </c>
      <c r="C21" t="s">
        <v>36</v>
      </c>
      <c r="D21" s="1" t="s">
        <v>6</v>
      </c>
      <c r="E21" t="s">
        <v>131</v>
      </c>
      <c r="F21">
        <f ca="1">COUNTIF(Planning_Prod!B:B,Tableau1[[#This Row],[Trigramme]])</f>
        <v>2</v>
      </c>
      <c r="H21">
        <f t="shared" ca="1" si="0"/>
        <v>3</v>
      </c>
      <c r="I21" t="e">
        <f t="shared" ca="1" si="1"/>
        <v>#N/A</v>
      </c>
      <c r="J21" t="e">
        <f t="shared" ca="1" si="2"/>
        <v>#N/A</v>
      </c>
    </row>
    <row r="22" spans="1:10" x14ac:dyDescent="0.35">
      <c r="A22" t="s">
        <v>37</v>
      </c>
      <c r="B22" t="s">
        <v>39</v>
      </c>
      <c r="C22" t="s">
        <v>38</v>
      </c>
      <c r="D22" s="1" t="s">
        <v>6</v>
      </c>
      <c r="E22" t="s">
        <v>131</v>
      </c>
      <c r="F22">
        <f ca="1">COUNTIF(Planning_Prod!B:B,Tableau1[[#This Row],[Trigramme]])</f>
        <v>0</v>
      </c>
      <c r="H22">
        <f t="shared" ca="1" si="0"/>
        <v>2</v>
      </c>
      <c r="I22" t="e">
        <f t="shared" ca="1" si="1"/>
        <v>#N/A</v>
      </c>
      <c r="J22" t="e">
        <f t="shared" ca="1" si="2"/>
        <v>#N/A</v>
      </c>
    </row>
    <row r="23" spans="1:10" x14ac:dyDescent="0.35">
      <c r="A23" t="s">
        <v>40</v>
      </c>
      <c r="B23" t="s">
        <v>41</v>
      </c>
      <c r="C23" t="s">
        <v>42</v>
      </c>
      <c r="D23" s="1" t="s">
        <v>6</v>
      </c>
      <c r="E23" t="s">
        <v>131</v>
      </c>
      <c r="F23">
        <f ca="1">COUNTIF(Planning_Prod!B:B,Tableau1[[#This Row],[Trigramme]])</f>
        <v>0</v>
      </c>
      <c r="H23">
        <f t="shared" ca="1" si="0"/>
        <v>0</v>
      </c>
      <c r="I23" t="e">
        <f t="shared" ca="1" si="1"/>
        <v>#N/A</v>
      </c>
      <c r="J23" t="e">
        <f t="shared" ca="1" si="2"/>
        <v>#N/A</v>
      </c>
    </row>
    <row r="24" spans="1:10" x14ac:dyDescent="0.35">
      <c r="A24" t="s">
        <v>45</v>
      </c>
      <c r="B24" t="s">
        <v>47</v>
      </c>
      <c r="C24" t="s">
        <v>46</v>
      </c>
      <c r="D24" s="1" t="s">
        <v>6</v>
      </c>
      <c r="E24" t="s">
        <v>131</v>
      </c>
      <c r="F24">
        <f ca="1">COUNTIF(Planning_Prod!B:B,Tableau1[[#This Row],[Trigramme]])</f>
        <v>0</v>
      </c>
      <c r="H24">
        <f t="shared" ca="1" si="0"/>
        <v>0</v>
      </c>
      <c r="I24" t="e">
        <f t="shared" ca="1" si="1"/>
        <v>#N/A</v>
      </c>
      <c r="J24" t="e">
        <f t="shared" ca="1" si="2"/>
        <v>#N/A</v>
      </c>
    </row>
    <row r="25" spans="1:10" x14ac:dyDescent="0.35">
      <c r="A25" t="s">
        <v>48</v>
      </c>
      <c r="B25" t="s">
        <v>49</v>
      </c>
      <c r="C25" t="s">
        <v>50</v>
      </c>
      <c r="D25" s="2" t="s">
        <v>43</v>
      </c>
      <c r="E25" t="s">
        <v>130</v>
      </c>
      <c r="F25">
        <f ca="1">COUNTIF(Planning_Prod!B:B,Tableau1[[#This Row],[Trigramme]])</f>
        <v>0</v>
      </c>
      <c r="H25">
        <f t="shared" ca="1" si="0"/>
        <v>0</v>
      </c>
      <c r="I25" t="e">
        <f t="shared" ca="1" si="1"/>
        <v>#N/A</v>
      </c>
      <c r="J25" t="e">
        <f t="shared" ca="1" si="2"/>
        <v>#N/A</v>
      </c>
    </row>
    <row r="26" spans="1:10" x14ac:dyDescent="0.35">
      <c r="A26" t="s">
        <v>78</v>
      </c>
      <c r="B26" t="s">
        <v>79</v>
      </c>
      <c r="C26" t="s">
        <v>94</v>
      </c>
      <c r="D26" s="2" t="s">
        <v>43</v>
      </c>
      <c r="E26" t="s">
        <v>130</v>
      </c>
      <c r="F26">
        <f ca="1">COUNTIF(Planning_Prod!B:B,Tableau1[[#This Row],[Trigramme]])</f>
        <v>0</v>
      </c>
      <c r="H26" s="307"/>
    </row>
    <row r="27" spans="1:10" x14ac:dyDescent="0.35">
      <c r="A27" t="s">
        <v>80</v>
      </c>
      <c r="B27" t="s">
        <v>81</v>
      </c>
      <c r="C27" t="s">
        <v>93</v>
      </c>
      <c r="D27" s="2" t="s">
        <v>43</v>
      </c>
      <c r="E27" t="s">
        <v>130</v>
      </c>
      <c r="F27">
        <f ca="1">COUNTIF(Planning_Prod!B:B,Tableau1[[#This Row],[Trigramme]])</f>
        <v>0</v>
      </c>
      <c r="H27" s="307"/>
    </row>
    <row r="28" spans="1:10" x14ac:dyDescent="0.35">
      <c r="A28" t="s">
        <v>82</v>
      </c>
      <c r="C28" t="s">
        <v>92</v>
      </c>
      <c r="D28" s="2" t="s">
        <v>43</v>
      </c>
      <c r="E28" t="s">
        <v>130</v>
      </c>
      <c r="F28">
        <f ca="1">COUNTIF(Planning_Prod!B:B,Tableau1[[#This Row],[Trigramme]])</f>
        <v>0</v>
      </c>
      <c r="H28" s="307"/>
    </row>
    <row r="29" spans="1:10" x14ac:dyDescent="0.35">
      <c r="A29" t="s">
        <v>97</v>
      </c>
      <c r="B29" t="s">
        <v>98</v>
      </c>
      <c r="C29" t="s">
        <v>99</v>
      </c>
      <c r="D29" s="2" t="s">
        <v>43</v>
      </c>
      <c r="E29" t="s">
        <v>130</v>
      </c>
      <c r="F29">
        <f ca="1">COUNTIF(Planning_Prod!B:B,Tableau1[[#This Row],[Trigramme]])</f>
        <v>0</v>
      </c>
      <c r="H29" s="307"/>
    </row>
    <row r="30" spans="1:10" x14ac:dyDescent="0.35">
      <c r="A30" t="s">
        <v>100</v>
      </c>
      <c r="B30" t="s">
        <v>101</v>
      </c>
      <c r="C30" t="s">
        <v>102</v>
      </c>
      <c r="D30" s="2" t="s">
        <v>43</v>
      </c>
      <c r="E30" t="s">
        <v>130</v>
      </c>
      <c r="F30">
        <f ca="1">COUNTIF(Planning_Prod!B:B,Tableau1[[#This Row],[Trigramme]])</f>
        <v>0</v>
      </c>
      <c r="H30" s="307"/>
    </row>
    <row r="31" spans="1:10" x14ac:dyDescent="0.35">
      <c r="A31" t="s">
        <v>40</v>
      </c>
      <c r="B31" t="s">
        <v>133</v>
      </c>
      <c r="C31" t="s">
        <v>134</v>
      </c>
      <c r="D31" s="2" t="s">
        <v>43</v>
      </c>
      <c r="E31" t="s">
        <v>132</v>
      </c>
      <c r="F31">
        <f ca="1">COUNTIF(Planning_Prod!B:B,Tableau1[[#This Row],[Trigramme]])</f>
        <v>0</v>
      </c>
      <c r="H31" s="307"/>
    </row>
    <row r="32" spans="1:10" x14ac:dyDescent="0.35">
      <c r="A32" t="s">
        <v>68</v>
      </c>
      <c r="B32" t="s">
        <v>69</v>
      </c>
      <c r="C32" t="s">
        <v>70</v>
      </c>
      <c r="D32" s="2" t="s">
        <v>43</v>
      </c>
      <c r="E32" t="s">
        <v>132</v>
      </c>
      <c r="F32">
        <f ca="1">COUNTIF(Planning_Prod!B:B,Tableau1[[#This Row],[Trigramme]])</f>
        <v>0</v>
      </c>
      <c r="H32" s="307"/>
    </row>
    <row r="33" spans="1:6" x14ac:dyDescent="0.35">
      <c r="A33" t="s">
        <v>71</v>
      </c>
      <c r="B33" t="s">
        <v>72</v>
      </c>
      <c r="C33" t="s">
        <v>73</v>
      </c>
      <c r="D33" s="2" t="s">
        <v>43</v>
      </c>
      <c r="E33" t="s">
        <v>132</v>
      </c>
      <c r="F33">
        <f ca="1">COUNTIF(Planning_Prod!B:B,Tableau1[[#This Row],[Trigramme]])</f>
        <v>0</v>
      </c>
    </row>
    <row r="34" spans="1:6" x14ac:dyDescent="0.35">
      <c r="A34" t="s">
        <v>75</v>
      </c>
      <c r="B34" t="s">
        <v>76</v>
      </c>
      <c r="C34" t="s">
        <v>96</v>
      </c>
      <c r="D34" s="2" t="s">
        <v>43</v>
      </c>
      <c r="E34" t="s">
        <v>132</v>
      </c>
      <c r="F34">
        <f ca="1">COUNTIF(Planning_Prod!B:B,Tableau1[[#This Row],[Trigramme]])</f>
        <v>0</v>
      </c>
    </row>
    <row r="35" spans="1:6" x14ac:dyDescent="0.35">
      <c r="A35" t="s">
        <v>54</v>
      </c>
      <c r="B35" t="s">
        <v>77</v>
      </c>
      <c r="C35" t="s">
        <v>95</v>
      </c>
      <c r="D35" s="2" t="s">
        <v>43</v>
      </c>
      <c r="E35" t="s">
        <v>132</v>
      </c>
      <c r="F35">
        <f ca="1">COUNTIF(Planning_Prod!B:B,Tableau1[[#This Row],[Trigramme]])</f>
        <v>0</v>
      </c>
    </row>
    <row r="36" spans="1:6" x14ac:dyDescent="0.35">
      <c r="A36" t="s">
        <v>87</v>
      </c>
      <c r="B36" t="s">
        <v>88</v>
      </c>
      <c r="C36" t="s">
        <v>89</v>
      </c>
      <c r="D36" s="2" t="s">
        <v>43</v>
      </c>
      <c r="E36" t="s">
        <v>132</v>
      </c>
      <c r="F36">
        <f ca="1">COUNTIF(Planning_Prod!B:B,Tableau1[[#This Row],[Trigramme]])</f>
        <v>0</v>
      </c>
    </row>
    <row r="37" spans="1:6" x14ac:dyDescent="0.35">
      <c r="A37" t="s">
        <v>83</v>
      </c>
      <c r="B37" t="s">
        <v>84</v>
      </c>
      <c r="C37" t="s">
        <v>91</v>
      </c>
      <c r="D37" s="2" t="s">
        <v>43</v>
      </c>
      <c r="E37" t="s">
        <v>131</v>
      </c>
      <c r="F37">
        <f ca="1">COUNTIF(Planning_Prod!B:B,Tableau1[[#This Row],[Trigramme]])</f>
        <v>0</v>
      </c>
    </row>
    <row r="38" spans="1:6" x14ac:dyDescent="0.35">
      <c r="A38" t="s">
        <v>85</v>
      </c>
      <c r="B38" t="s">
        <v>86</v>
      </c>
      <c r="C38" t="s">
        <v>90</v>
      </c>
      <c r="D38" s="2" t="s">
        <v>43</v>
      </c>
      <c r="E38" t="s">
        <v>131</v>
      </c>
      <c r="F38">
        <f ca="1">COUNTIF(Planning_Prod!B:B,Tableau1[[#This Row],[Trigramme]])</f>
        <v>0</v>
      </c>
    </row>
    <row r="39" spans="1:6" x14ac:dyDescent="0.35">
      <c r="A39" t="s">
        <v>103</v>
      </c>
      <c r="B39" t="s">
        <v>104</v>
      </c>
      <c r="C39" t="s">
        <v>73</v>
      </c>
      <c r="D39" s="2" t="s">
        <v>43</v>
      </c>
      <c r="E39" t="s">
        <v>131</v>
      </c>
      <c r="F39">
        <f ca="1">COUNTIF(Planning_Prod!B:B,Tableau1[[#This Row],[Trigramme]])</f>
        <v>0</v>
      </c>
    </row>
    <row r="40" spans="1:6" x14ac:dyDescent="0.35">
      <c r="A40" t="s">
        <v>105</v>
      </c>
      <c r="B40" t="s">
        <v>106</v>
      </c>
      <c r="C40" t="s">
        <v>73</v>
      </c>
      <c r="D40" s="2" t="s">
        <v>43</v>
      </c>
      <c r="E40" t="s">
        <v>131</v>
      </c>
      <c r="F40">
        <f ca="1">COUNTIF(Planning_Prod!B:B,Tableau1[[#This Row],[Trigramme]])</f>
        <v>0</v>
      </c>
    </row>
    <row r="41" spans="1:6" x14ac:dyDescent="0.35">
      <c r="A41" t="s">
        <v>135</v>
      </c>
      <c r="B41" t="s">
        <v>136</v>
      </c>
      <c r="C41" t="s">
        <v>137</v>
      </c>
      <c r="D41" s="2" t="s">
        <v>43</v>
      </c>
      <c r="E41" t="s">
        <v>131</v>
      </c>
      <c r="F41">
        <f ca="1">COUNTIF(Planning_Prod!B:B,Tableau1[[#This Row],[Trigramme]])</f>
        <v>0</v>
      </c>
    </row>
    <row r="42" spans="1:6" x14ac:dyDescent="0.35">
      <c r="A42" t="s">
        <v>113</v>
      </c>
      <c r="B42" t="s">
        <v>114</v>
      </c>
      <c r="C42" t="s">
        <v>115</v>
      </c>
      <c r="D42" s="2" t="s">
        <v>43</v>
      </c>
      <c r="E42" t="s">
        <v>129</v>
      </c>
      <c r="F42">
        <f ca="1">COUNTIF(Planning_Prod!B:B,Tableau1[[#This Row],[Trigramme]])</f>
        <v>0</v>
      </c>
    </row>
    <row r="43" spans="1:6" x14ac:dyDescent="0.35">
      <c r="A43" t="s">
        <v>116</v>
      </c>
      <c r="B43" t="s">
        <v>117</v>
      </c>
      <c r="C43" t="s">
        <v>118</v>
      </c>
      <c r="D43" s="2" t="s">
        <v>43</v>
      </c>
      <c r="E43" t="s">
        <v>129</v>
      </c>
      <c r="F43">
        <f ca="1">COUNTIF(Planning_Prod!B:B,Tableau1[[#This Row],[Trigramme]])</f>
        <v>0</v>
      </c>
    </row>
    <row r="44" spans="1:6" x14ac:dyDescent="0.35">
      <c r="A44" t="s">
        <v>119</v>
      </c>
      <c r="B44" t="s">
        <v>120</v>
      </c>
      <c r="C44" t="s">
        <v>121</v>
      </c>
      <c r="D44" s="2" t="s">
        <v>43</v>
      </c>
      <c r="E44" t="s">
        <v>129</v>
      </c>
      <c r="F44">
        <f ca="1">COUNTIF(Planning_Prod!B:B,Tableau1[[#This Row],[Trigramme]])</f>
        <v>0</v>
      </c>
    </row>
    <row r="45" spans="1:6" x14ac:dyDescent="0.35">
      <c r="A45" t="s">
        <v>122</v>
      </c>
      <c r="B45" t="s">
        <v>87</v>
      </c>
      <c r="C45" t="s">
        <v>123</v>
      </c>
      <c r="D45" s="2" t="s">
        <v>43</v>
      </c>
      <c r="E45" t="s">
        <v>129</v>
      </c>
      <c r="F45">
        <f ca="1">COUNTIF(Planning_Prod!B:B,Tableau1[[#This Row],[Trigramme]])</f>
        <v>0</v>
      </c>
    </row>
    <row r="46" spans="1:6" x14ac:dyDescent="0.35">
      <c r="A46" t="s">
        <v>87</v>
      </c>
      <c r="B46" t="s">
        <v>124</v>
      </c>
      <c r="C46" t="s">
        <v>125</v>
      </c>
      <c r="D46" s="2" t="s">
        <v>43</v>
      </c>
      <c r="E46" t="s">
        <v>129</v>
      </c>
      <c r="F46">
        <f ca="1">COUNTIF(Planning_Prod!B:B,Tableau1[[#This Row],[Trigramme]])</f>
        <v>0</v>
      </c>
    </row>
  </sheetData>
  <mergeCells count="1">
    <mergeCell ref="H4:I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Introduction</vt:lpstr>
      <vt:lpstr>Dashboard</vt:lpstr>
      <vt:lpstr>Planning_Prod</vt:lpstr>
      <vt:lpstr>Planning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2019-01-22T12:42:27Z</dcterms:created>
  <dcterms:modified xsi:type="dcterms:W3CDTF">2019-02-12T12:42:05Z</dcterms:modified>
</cp:coreProperties>
</file>