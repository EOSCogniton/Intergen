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Intergen\03_Optimus\03_Documents Projet\01_Documents Organisation\"/>
    </mc:Choice>
  </mc:AlternateContent>
  <bookViews>
    <workbookView xWindow="0" yWindow="0" windowWidth="6120" windowHeight="8160" tabRatio="741"/>
  </bookViews>
  <sheets>
    <sheet name="Statistique_Kit" sheetId="10" r:id="rId1"/>
    <sheet name="Kit_Montage_Template" sheetId="1" r:id="rId2"/>
    <sheet name="Kit_Ergonomie" sheetId="16" r:id="rId3"/>
    <sheet name="Kit_Carrosserie" sheetId="3" r:id="rId4"/>
    <sheet name="Kit_Direction" sheetId="4" r:id="rId5"/>
    <sheet name="Kit_Roue équipée" sheetId="5" r:id="rId6"/>
    <sheet name="Kit_Triangles" sheetId="6" r:id="rId7"/>
    <sheet name="Kit_BAR" sheetId="7" r:id="rId8"/>
    <sheet name="Kit_Freinage" sheetId="8" r:id="rId9"/>
    <sheet name="Kit_CircuitCarburant" sheetId="9" r:id="rId10"/>
    <sheet name="Kit_Admission" sheetId="11" r:id="rId11"/>
    <sheet name="Kit_Echappement" sheetId="12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D16" i="10"/>
  <c r="C16" i="10"/>
  <c r="D13" i="10"/>
  <c r="C13" i="10"/>
  <c r="B13" i="10"/>
  <c r="A13" i="10"/>
  <c r="D12" i="10"/>
  <c r="C12" i="10"/>
  <c r="B12" i="10"/>
  <c r="A12" i="10"/>
  <c r="H1" i="12"/>
  <c r="H1" i="11"/>
  <c r="D11" i="10"/>
  <c r="C11" i="10"/>
  <c r="B11" i="10"/>
  <c r="A11" i="10"/>
  <c r="D10" i="10"/>
  <c r="C10" i="10"/>
  <c r="B10" i="10"/>
  <c r="A10" i="10"/>
  <c r="D9" i="10"/>
  <c r="C9" i="10"/>
  <c r="B9" i="10"/>
  <c r="A9" i="10"/>
  <c r="D8" i="10"/>
  <c r="C8" i="10"/>
  <c r="B8" i="10"/>
  <c r="A8" i="10"/>
  <c r="D7" i="10"/>
  <c r="C7" i="10"/>
  <c r="B7" i="10"/>
  <c r="A7" i="10"/>
  <c r="D6" i="10"/>
  <c r="C6" i="10"/>
  <c r="B6" i="10"/>
  <c r="A6" i="10"/>
  <c r="D5" i="10"/>
  <c r="C5" i="10"/>
  <c r="B5" i="10"/>
  <c r="A5" i="10"/>
  <c r="H1" i="9"/>
  <c r="H1" i="8"/>
  <c r="H1" i="7" l="1"/>
  <c r="E22" i="6" l="1"/>
  <c r="H1" i="6"/>
  <c r="H1" i="5" l="1"/>
  <c r="H1" i="4" l="1"/>
  <c r="H1" i="3" l="1"/>
  <c r="H1" i="1" l="1"/>
</calcChain>
</file>

<file path=xl/sharedStrings.xml><?xml version="1.0" encoding="utf-8"?>
<sst xmlns="http://schemas.openxmlformats.org/spreadsheetml/2006/main" count="1441" uniqueCount="174">
  <si>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</si>
  <si>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</si>
  <si>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</si>
  <si>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</si>
  <si>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</si>
  <si>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</si>
  <si>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</si>
  <si>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</si>
  <si>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</si>
  <si>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</si>
  <si>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</si>
  <si>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</si>
  <si>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</si>
  <si>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</si>
  <si>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</si>
  <si>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</si>
  <si>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</si>
  <si>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</si>
  <si>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</si>
  <si>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</si>
  <si>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</si>
  <si>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</si>
  <si>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</si>
  <si>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</si>
  <si>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</si>
  <si>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</si>
  <si>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</si>
  <si>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</si>
  <si>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</si>
  <si>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</si>
  <si>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</si>
  <si>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</si>
  <si>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</si>
  <si>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</si>
  <si>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</si>
  <si>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</si>
  <si>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</si>
  <si>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</si>
  <si>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</si>
  <si>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</si>
  <si>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</si>
  <si>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</si>
  <si>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</si>
  <si>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</si>
  <si>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</si>
  <si>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</si>
  <si>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</si>
  <si>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</si>
  <si>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</si>
  <si>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</si>
  <si>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</si>
  <si>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</si>
  <si>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</si>
  <si>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</si>
  <si>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</si>
  <si>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</si>
  <si>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</si>
  <si>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</si>
  <si>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</si>
  <si>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</si>
  <si>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</si>
  <si>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</si>
  <si>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</si>
  <si>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</si>
  <si>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</si>
  <si>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</si>
  <si>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</si>
  <si>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</si>
  <si>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</si>
  <si>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</si>
  <si>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</si>
  <si>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</si>
  <si>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</si>
  <si>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</si>
  <si>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</si>
  <si>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</si>
  <si>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</si>
  <si>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</si>
  <si>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</si>
  <si>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</si>
  <si>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</si>
  <si>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</si>
  <si>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</si>
  <si>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</si>
  <si>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</si>
  <si>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</si>
  <si>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</si>
  <si>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</si>
  <si>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</si>
  <si>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</si>
  <si>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</si>
  <si>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</si>
  <si>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</si>
  <si>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</si>
  <si>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</si>
  <si>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</si>
  <si>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</si>
  <si>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</si>
  <si>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</si>
  <si>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</si>
  <si>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</si>
  <si>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</si>
  <si>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</si>
  <si>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</si>
  <si>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</si>
  <si>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</si>
  <si>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</si>
  <si>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</si>
  <si>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</si>
  <si>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</si>
  <si>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</si>
  <si>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</si>
  <si>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</si>
  <si>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</si>
  <si>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</si>
  <si>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</si>
  <si>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</si>
  <si>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</si>
  <si>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</si>
  <si>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</si>
  <si>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</si>
  <si>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</si>
  <si>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</si>
  <si>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</si>
  <si>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</si>
  <si>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</si>
  <si>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</si>
  <si>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</si>
  <si>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</si>
  <si>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</si>
  <si>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</si>
  <si>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</si>
  <si>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</si>
  <si>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</si>
  <si>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</si>
  <si>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</si>
  <si>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</si>
  <si>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</si>
  <si>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</si>
  <si>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</si>
  <si>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</si>
  <si>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</si>
  <si>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</si>
  <si>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</si>
  <si>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</si>
  <si>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</si>
  <si>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</si>
  <si>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</si>
  <si>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</si>
  <si>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</si>
  <si>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</si>
  <si>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</si>
  <si>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</si>
  <si>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</si>
  <si>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</si>
  <si>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</si>
  <si>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</si>
  <si>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</si>
  <si>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</si>
  <si>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</si>
  <si>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</si>
  <si>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</si>
  <si>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</si>
  <si>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</si>
  <si>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</si>
  <si>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</si>
  <si>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</si>
  <si>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</si>
  <si>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</si>
  <si>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</si>
  <si>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</si>
  <si>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</si>
  <si>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Ergonomie</t>
  </si>
  <si>
    <t>Yohan (YRI)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</si>
</sst>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12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Kit_Carrosserie!$H$1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Kit_Direction!$H$1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équipée'!$H$1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7503728"/>
        <c:axId val="687514064"/>
      </c:barChart>
      <c:catAx>
        <c:axId val="68750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14064"/>
        <c:crosses val="autoZero"/>
        <c:auto val="1"/>
        <c:lblAlgn val="ctr"/>
        <c:lblOffset val="100"/>
        <c:noMultiLvlLbl val="0"/>
      </c:catAx>
      <c:valAx>
        <c:axId val="68751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0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7502640"/>
        <c:axId val="687506992"/>
      </c:barChart>
      <c:catAx>
        <c:axId val="68750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06992"/>
        <c:crosses val="autoZero"/>
        <c:auto val="1"/>
        <c:lblAlgn val="ctr"/>
        <c:lblOffset val="100"/>
        <c:noMultiLvlLbl val="0"/>
      </c:catAx>
      <c:valAx>
        <c:axId val="68750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750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104775</xdr:rowOff>
    </xdr:from>
    <xdr:to>
      <xdr:col>4</xdr:col>
      <xdr:colOff>508001</xdr:colOff>
      <xdr:row>32</xdr:row>
      <xdr:rowOff>85725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33</xdr:row>
      <xdr:rowOff>107950</xdr:rowOff>
    </xdr:from>
    <xdr:to>
      <xdr:col>4</xdr:col>
      <xdr:colOff>514350</xdr:colOff>
      <xdr:row>48</xdr:row>
      <xdr:rowOff>88900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E16"/>
  <sheetViews>
    <sheetView showGridLines="0" tabSelected="1" view="pageLayout" zoomScaleNormal="100" workbookViewId="0">
      <selection activeCell="B16" sqref="B16"/>
    </sheetView>
  </sheetViews>
  <sheetFormatPr baseColWidth="10" defaultRowHeight="14.5" x14ac:dyDescent="0.35"/>
  <cols>
    <col min="1" max="1" width="20.81640625" customWidth="1"/>
    <col min="2" max="2" width="26" customWidth="1"/>
    <col min="4" max="4" width="8.7265625" customWidth="1"/>
    <col min="7" max="7" width="16.36328125" customWidth="1"/>
  </cols>
  <sheetData>
    <row r="2" spans="1:5" x14ac:dyDescent="0.35">
      <c r="A2" s="46" t="s">
        <v>160</v>
      </c>
      <c r="B2" s="47" t="s">
        <v>161</v>
      </c>
    </row>
    <row r="4" spans="1:5" x14ac:dyDescent="0.35">
      <c r="A4" s="49" t="s">
        <v>162</v>
      </c>
      <c r="B4" s="49" t="s">
        <v>163</v>
      </c>
      <c r="C4" s="49" t="s">
        <v>164</v>
      </c>
      <c r="D4" s="49" t="s">
        <v>167</v>
      </c>
      <c r="E4" s="49" t="s">
        <v>165</v>
      </c>
    </row>
    <row r="5" spans="1:5" x14ac:dyDescent="0.35">
      <c r="A5" s="51" t="str">
        <f>Kit_Carrosserie!B1</f>
        <v>Carrosserie</v>
      </c>
      <c r="B5" s="48" t="str">
        <f>Kit_Carrosserie!E3</f>
        <v xml:space="preserve">Josselin KIEFEL </v>
      </c>
      <c r="C5" s="48">
        <f>Kit_Carrosserie!H1</f>
        <v>22</v>
      </c>
      <c r="D5" s="48">
        <f>Kit_Carrosserie!H2</f>
        <v>99</v>
      </c>
      <c r="E5" s="48"/>
    </row>
    <row r="6" spans="1:5" x14ac:dyDescent="0.35">
      <c r="A6" s="50" t="str">
        <f>Kit_Direction!B1</f>
        <v>Direction (Steering)</v>
      </c>
      <c r="B6" s="48" t="str">
        <f>Kit_Direction!E3</f>
        <v>Erwan de Longcamp (EDP)</v>
      </c>
      <c r="C6" s="48">
        <f>Kit_Direction!H1</f>
        <v>16</v>
      </c>
      <c r="D6" s="48">
        <f>Kit_Direction!H2</f>
        <v>99</v>
      </c>
      <c r="E6" s="48"/>
    </row>
    <row r="7" spans="1:5" x14ac:dyDescent="0.35">
      <c r="A7" s="50" t="str">
        <f>'Kit_Roue équipée'!B1</f>
        <v>roues equipées arrières</v>
      </c>
      <c r="B7" s="48" t="str">
        <f>'Kit_Roue équipée'!E3</f>
        <v>SCHIO michele</v>
      </c>
      <c r="C7" s="48">
        <f>'Kit_Roue équipée'!H1</f>
        <v>26</v>
      </c>
      <c r="D7" s="48">
        <f>'Kit_Roue équipée'!H2</f>
        <v>99</v>
      </c>
      <c r="E7" s="48"/>
    </row>
    <row r="8" spans="1:5" x14ac:dyDescent="0.35">
      <c r="A8" s="50" t="str">
        <f>Kit_Triangles!B1</f>
        <v>chapes_assy</v>
      </c>
      <c r="B8" s="48" t="str">
        <f>Kit_Triangles!E3</f>
        <v xml:space="preserve">Martin KAWCZYNSKY </v>
      </c>
      <c r="C8" s="48">
        <f>Kit_Triangles!$H1</f>
        <v>78</v>
      </c>
      <c r="D8" s="48">
        <f>Kit_Triangles!$H2</f>
        <v>99</v>
      </c>
      <c r="E8" s="48"/>
    </row>
    <row r="9" spans="1:5" x14ac:dyDescent="0.35">
      <c r="A9" s="50" t="str">
        <f>Kit_BAR!B1</f>
        <v>Barre anti-roulis</v>
      </c>
      <c r="B9" s="48" t="str">
        <f>Kit_BAR!E3</f>
        <v>Erwan de Longcamp</v>
      </c>
      <c r="C9" s="48">
        <f>Kit_BAR!H1</f>
        <v>32</v>
      </c>
      <c r="D9" s="48">
        <f>Kit_BAR!H2</f>
        <v>99</v>
      </c>
      <c r="E9" s="48"/>
    </row>
    <row r="10" spans="1:5" x14ac:dyDescent="0.35">
      <c r="A10" s="50" t="str">
        <f>Kit_Freinage!B1</f>
        <v>Système de freinage</v>
      </c>
      <c r="B10" s="48" t="str">
        <f>Kit_Freinage!E3</f>
        <v>Erwan de Longcamp</v>
      </c>
      <c r="C10" s="48">
        <f>Kit_Freinage!H1</f>
        <v>15</v>
      </c>
      <c r="D10" s="48">
        <f>Kit_Freinage!H2</f>
        <v>99</v>
      </c>
      <c r="E10" s="48"/>
    </row>
    <row r="11" spans="1:5" x14ac:dyDescent="0.35">
      <c r="A11" s="52" t="str">
        <f>Kit_CircuitCarburant!B1</f>
        <v>Circuit de Carburant</v>
      </c>
      <c r="B11" s="48" t="str">
        <f>Kit_CircuitCarburant!E3</f>
        <v>BVL</v>
      </c>
      <c r="C11" s="48">
        <f>Kit_CircuitCarburant!H1</f>
        <v>36</v>
      </c>
      <c r="D11" s="48">
        <f>Kit_CircuitCarburant!H2</f>
        <v>99</v>
      </c>
      <c r="E11" s="48"/>
    </row>
    <row r="12" spans="1:5" x14ac:dyDescent="0.35">
      <c r="A12" s="52" t="str">
        <f>Kit_Admission!B1</f>
        <v>Admission (Intake)</v>
      </c>
      <c r="B12" s="48" t="str">
        <f>Kit_Admission!E3</f>
        <v>Clement Emerique</v>
      </c>
      <c r="C12" s="48">
        <f>Kit_Admission!H1</f>
        <v>0</v>
      </c>
      <c r="D12" s="48">
        <f>Kit_Admission!H2</f>
        <v>99</v>
      </c>
      <c r="E12" s="48"/>
    </row>
    <row r="13" spans="1:5" x14ac:dyDescent="0.35">
      <c r="A13" s="52" t="str">
        <f>Kit_Echappement!B1</f>
        <v xml:space="preserve">Echappement </v>
      </c>
      <c r="B13" s="48" t="str">
        <f>Kit_Echappement!E3</f>
        <v>Clement Emerique</v>
      </c>
      <c r="C13" s="48">
        <f>Kit_Echappement!H1</f>
        <v>0</v>
      </c>
      <c r="D13" s="48">
        <f>Kit_Echappement!H2</f>
        <v>99</v>
      </c>
      <c r="E13" s="48"/>
    </row>
    <row r="14" spans="1:5" x14ac:dyDescent="0.35">
      <c r="A14" s="48"/>
      <c r="B14" s="48"/>
      <c r="C14" s="48"/>
      <c r="D14" s="48"/>
      <c r="E14" s="48"/>
    </row>
    <row r="15" spans="1:5" x14ac:dyDescent="0.35">
      <c r="A15" s="48"/>
      <c r="B15" s="48"/>
      <c r="C15" s="48"/>
      <c r="D15" s="48"/>
      <c r="E15" s="48"/>
    </row>
    <row r="16" spans="1:5" x14ac:dyDescent="0.35">
      <c r="B16" s="49" t="s">
        <v>171</v>
      </c>
      <c r="C16" s="48">
        <f>SUM(C5:C15)</f>
        <v>225</v>
      </c>
      <c r="D16" s="48">
        <f>SUM(D5:D15)</f>
        <v>891</v>
      </c>
    </row>
  </sheetData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/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34" t="s">
        <v>1</v>
      </c>
      <c r="B3" s="34"/>
      <c r="C3" s="35"/>
      <c r="D3" s="35"/>
      <c r="E3" s="20"/>
    </row>
    <row r="5" spans="1:9" s="3" customFormat="1" ht="49.5" customHeight="1" thickBot="1" x14ac:dyDescent="0.65">
      <c r="A5" s="36" t="s">
        <v>2</v>
      </c>
      <c r="B5" s="36"/>
      <c r="C5" s="36"/>
      <c r="D5" s="37"/>
      <c r="E5" s="9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16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13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13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13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13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1:I35"/>
  <sheetViews>
    <sheetView showGridLines="0" view="pageLayout" zoomScaleNormal="100" workbookViewId="0">
      <selection activeCell="C23" sqref="C2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172</v>
      </c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173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17</v>
      </c>
      <c r="C1" s="33"/>
      <c r="D1" s="33"/>
      <c r="E1" s="33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166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41" t="s">
        <v>5</v>
      </c>
      <c r="H28" s="41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40" t="s">
        <v>5</v>
      </c>
      <c r="H29" s="40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25</v>
      </c>
      <c r="C1" s="33"/>
      <c r="D1" s="33"/>
      <c r="E1" s="33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42" t="s">
        <v>26</v>
      </c>
      <c r="F3" s="42"/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41" t="s">
        <v>5</v>
      </c>
      <c r="H28" s="41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40" t="s">
        <v>5</v>
      </c>
      <c r="H29" s="40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40" t="s">
        <v>5</v>
      </c>
      <c r="H30" s="40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40" t="s">
        <v>5</v>
      </c>
      <c r="H31" s="40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40" t="s">
        <v>5</v>
      </c>
      <c r="H32" s="4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1.5" customHeight="1" x14ac:dyDescent="0.6">
      <c r="A1" s="2" t="s">
        <v>0</v>
      </c>
      <c r="B1" s="33" t="s">
        <v>40</v>
      </c>
      <c r="C1" s="33"/>
      <c r="D1" s="33"/>
      <c r="E1" s="33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41</v>
      </c>
    </row>
    <row r="5" spans="1:9" s="3" customFormat="1" ht="20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ht="19.899999999999999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19.899999999999999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99999999999999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99999999999999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99999999999999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99999999999999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99999999999999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99999999999999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99999999999999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99999999999999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99999999999999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99999999999999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99999999999999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99999999999999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99999999999999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99999999999999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99999999999999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99999999999999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99999999999999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19.899999999999999" customHeight="1" thickBot="1" x14ac:dyDescent="0.65">
      <c r="A26" s="36" t="s">
        <v>3</v>
      </c>
      <c r="B26" s="36"/>
      <c r="C26" s="36"/>
      <c r="D26" s="37"/>
      <c r="E26" s="12" t="s">
        <v>10</v>
      </c>
      <c r="F26" s="38" t="s">
        <v>7</v>
      </c>
      <c r="G26" s="39"/>
      <c r="H26" s="39"/>
      <c r="I26" s="3"/>
    </row>
    <row r="27" spans="1:9" ht="19.899999999999999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19.899999999999999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19.899999999999999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19.899999999999999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19.899999999999999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19.899999999999999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19.899999999999999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19.899999999999999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19.899999999999999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19.899999999999999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71</v>
      </c>
      <c r="C1" s="33"/>
      <c r="D1" s="33"/>
      <c r="E1" s="33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72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99999999999999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99999999999999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99999999999999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99999999999999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99999999999999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99999999999999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99999999999999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99999999999999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99999999999999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99999999999999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99999999999999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99999999999999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99999999999999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99999999999999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99999999999999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99999999999999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19.899999999999999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19.899999999999999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19.899999999999999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19.899999999999999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19.899999999999999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19.899999999999999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19.899999999999999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19.899999999999999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19.899999999999999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19.899999999999999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19.899999999999999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19.899999999999999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19.899999999999999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19.899999999999999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19.899999999999999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19.899999999999999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19.899999999999999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19.899999999999999" customHeight="1" x14ac:dyDescent="0.35">
      <c r="A40" s="4"/>
      <c r="B40" s="4"/>
      <c r="C40" s="4"/>
      <c r="E40" s="4"/>
      <c r="F40" s="4"/>
      <c r="G40" s="4"/>
      <c r="H40" s="4"/>
    </row>
    <row r="41" spans="1:9" ht="19.899999999999999" customHeight="1" thickBot="1" x14ac:dyDescent="0.65">
      <c r="A41" s="36" t="s">
        <v>3</v>
      </c>
      <c r="B41" s="37"/>
      <c r="C41" s="36"/>
      <c r="D41" s="37"/>
      <c r="E41" s="12" t="s">
        <v>10</v>
      </c>
      <c r="F41" s="38" t="s">
        <v>7</v>
      </c>
      <c r="G41" s="39"/>
      <c r="H41" s="39"/>
      <c r="I41" s="3"/>
    </row>
    <row r="42" spans="1:9" ht="19.899999999999999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41" t="s">
        <v>5</v>
      </c>
      <c r="H42" s="41"/>
      <c r="I42" s="26" t="s">
        <v>6</v>
      </c>
    </row>
    <row r="43" spans="1:9" ht="19.899999999999999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40" t="s">
        <v>5</v>
      </c>
      <c r="H43" s="40"/>
      <c r="I43" s="25" t="s">
        <v>6</v>
      </c>
    </row>
    <row r="44" spans="1:9" ht="19.899999999999999" customHeight="1" x14ac:dyDescent="0.6">
      <c r="A44" s="10"/>
      <c r="B44" s="10"/>
      <c r="C44" s="10"/>
      <c r="D44" s="19"/>
      <c r="E44" s="10"/>
      <c r="F44" s="14" t="s">
        <v>11</v>
      </c>
      <c r="G44" s="40" t="s">
        <v>5</v>
      </c>
      <c r="H44" s="40"/>
      <c r="I44" s="25" t="s">
        <v>6</v>
      </c>
    </row>
    <row r="45" spans="1:9" ht="19.899999999999999" customHeight="1" x14ac:dyDescent="0.6">
      <c r="A45" s="10"/>
      <c r="B45" s="10"/>
      <c r="C45" s="10"/>
      <c r="D45" s="19"/>
      <c r="E45" s="10"/>
      <c r="F45" s="14" t="s">
        <v>11</v>
      </c>
      <c r="G45" s="40" t="s">
        <v>5</v>
      </c>
      <c r="H45" s="40"/>
      <c r="I45" s="25" t="s">
        <v>6</v>
      </c>
    </row>
    <row r="46" spans="1:9" ht="19.899999999999999" customHeight="1" x14ac:dyDescent="0.6">
      <c r="A46" s="10"/>
      <c r="B46" s="10"/>
      <c r="C46" s="10"/>
      <c r="D46" s="19"/>
      <c r="E46" s="10"/>
      <c r="F46" s="14" t="s">
        <v>11</v>
      </c>
      <c r="G46" s="40" t="s">
        <v>5</v>
      </c>
      <c r="H46" s="40"/>
      <c r="I46" s="25" t="s">
        <v>6</v>
      </c>
    </row>
    <row r="47" spans="1:9" ht="19.899999999999999" customHeight="1" x14ac:dyDescent="0.6">
      <c r="A47" s="10"/>
      <c r="B47" s="10"/>
      <c r="C47" s="10"/>
      <c r="D47" s="19"/>
      <c r="E47" s="10"/>
      <c r="F47" s="14" t="s">
        <v>11</v>
      </c>
      <c r="G47" s="40" t="s">
        <v>5</v>
      </c>
      <c r="H47" s="40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97</v>
      </c>
      <c r="C1" s="33"/>
      <c r="D1" s="33"/>
      <c r="E1" s="33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98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4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41" t="s">
        <v>5</v>
      </c>
      <c r="H28" s="41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40" t="s">
        <v>5</v>
      </c>
      <c r="H29" s="40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40" t="s">
        <v>5</v>
      </c>
      <c r="H30" s="40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40" t="s">
        <v>5</v>
      </c>
      <c r="H31" s="40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40" t="s">
        <v>5</v>
      </c>
      <c r="H32" s="4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26953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116</v>
      </c>
      <c r="C1" s="33"/>
      <c r="D1" s="33"/>
      <c r="E1" s="33"/>
      <c r="F1" s="1"/>
      <c r="G1" s="7" t="s">
        <v>4</v>
      </c>
      <c r="H1">
        <f>SUM(E6:E25)</f>
        <v>15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98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41" t="s">
        <v>5</v>
      </c>
      <c r="H28" s="41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40" t="s">
        <v>5</v>
      </c>
      <c r="H29" s="40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26953125" customWidth="1"/>
    <col min="9" max="9" width="9.453125" customWidth="1"/>
  </cols>
  <sheetData>
    <row r="1" spans="1:9" ht="26" x14ac:dyDescent="0.6">
      <c r="A1" s="2" t="s">
        <v>125</v>
      </c>
      <c r="B1" s="43" t="s">
        <v>126</v>
      </c>
      <c r="C1" s="43"/>
      <c r="D1" s="43"/>
      <c r="E1" s="43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t="s">
        <v>127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75" customHeight="1" thickTop="1" x14ac:dyDescent="0.6">
      <c r="A6" s="44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44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36" t="s">
        <v>3</v>
      </c>
      <c r="B31" s="37"/>
      <c r="C31" s="36"/>
      <c r="D31" s="37"/>
      <c r="E31" s="12" t="s">
        <v>10</v>
      </c>
      <c r="F31" s="38" t="s">
        <v>7</v>
      </c>
      <c r="G31" s="39"/>
      <c r="H31" s="39"/>
      <c r="I31" s="3"/>
    </row>
    <row r="32" spans="1:9" ht="19.75" customHeight="1" thickTop="1" x14ac:dyDescent="0.6">
      <c r="A32" s="44" t="s">
        <v>152</v>
      </c>
      <c r="B32" s="17"/>
      <c r="C32" s="17"/>
      <c r="D32" s="18"/>
      <c r="E32" s="10">
        <v>4</v>
      </c>
      <c r="F32" s="15" t="s">
        <v>11</v>
      </c>
      <c r="G32" s="41" t="s">
        <v>5</v>
      </c>
      <c r="H32" s="41"/>
      <c r="I32" s="29" t="s">
        <v>6</v>
      </c>
    </row>
    <row r="33" spans="1:9" ht="19.75" customHeight="1" x14ac:dyDescent="0.6">
      <c r="A33" s="45" t="s">
        <v>153</v>
      </c>
      <c r="B33" s="10"/>
      <c r="C33" s="10"/>
      <c r="D33" s="19"/>
      <c r="E33" s="10" t="s">
        <v>154</v>
      </c>
      <c r="F33" s="14" t="s">
        <v>11</v>
      </c>
      <c r="G33" s="40" t="s">
        <v>5</v>
      </c>
      <c r="H33" s="40"/>
      <c r="I33" s="27" t="s">
        <v>6</v>
      </c>
    </row>
    <row r="34" spans="1:9" ht="19.75" customHeight="1" x14ac:dyDescent="0.6">
      <c r="A34" s="45" t="s">
        <v>155</v>
      </c>
      <c r="B34" s="10"/>
      <c r="C34" s="10"/>
      <c r="D34" s="19"/>
      <c r="E34" s="10" t="s">
        <v>156</v>
      </c>
      <c r="F34" s="14" t="s">
        <v>11</v>
      </c>
      <c r="G34" s="40" t="s">
        <v>5</v>
      </c>
      <c r="H34" s="40"/>
      <c r="I34" s="27" t="s">
        <v>6</v>
      </c>
    </row>
    <row r="35" spans="1:9" ht="19.75" customHeight="1" x14ac:dyDescent="0.6">
      <c r="A35" s="45" t="s">
        <v>157</v>
      </c>
      <c r="B35" s="10"/>
      <c r="C35" s="10"/>
      <c r="D35" s="19"/>
      <c r="E35" s="10" t="s">
        <v>158</v>
      </c>
      <c r="F35" s="14" t="s">
        <v>11</v>
      </c>
      <c r="G35" s="40" t="s">
        <v>5</v>
      </c>
      <c r="H35" s="40"/>
      <c r="I35" s="27" t="s">
        <v>6</v>
      </c>
    </row>
    <row r="36" spans="1:9" ht="19.75" customHeight="1" x14ac:dyDescent="0.6">
      <c r="A36" s="45" t="s">
        <v>159</v>
      </c>
      <c r="B36" s="10"/>
      <c r="C36" s="10"/>
      <c r="D36" s="19"/>
      <c r="E36" s="10">
        <v>2</v>
      </c>
      <c r="F36" s="14" t="s">
        <v>11</v>
      </c>
      <c r="G36" s="40" t="s">
        <v>5</v>
      </c>
      <c r="H36" s="40"/>
      <c r="I36" s="27" t="s">
        <v>6</v>
      </c>
    </row>
    <row r="37" spans="1:9" ht="19.75" customHeight="1" x14ac:dyDescent="0.6">
      <c r="A37" s="45"/>
      <c r="B37" s="10"/>
      <c r="C37" s="10"/>
      <c r="D37" s="19"/>
      <c r="E37" s="10"/>
      <c r="F37" s="14" t="s">
        <v>11</v>
      </c>
      <c r="G37" s="40" t="s">
        <v>5</v>
      </c>
      <c r="H37" s="40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2:H32"/>
    <mergeCell ref="G33:H33"/>
    <mergeCell ref="G34:H34"/>
    <mergeCell ref="G35:H35"/>
    <mergeCell ref="G36:H36"/>
    <mergeCell ref="G37:H37"/>
    <mergeCell ref="B1:E1"/>
    <mergeCell ref="A3:D3"/>
    <mergeCell ref="A5:D5"/>
    <mergeCell ref="F5:H5"/>
    <mergeCell ref="A31:D31"/>
    <mergeCell ref="F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168</v>
      </c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169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33" t="s">
        <v>170</v>
      </c>
      <c r="C1" s="33"/>
      <c r="D1" s="33"/>
      <c r="E1" s="3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34" t="s">
        <v>1</v>
      </c>
      <c r="B3" s="34"/>
      <c r="C3" s="35"/>
      <c r="D3" s="35"/>
      <c r="E3" s="20" t="s">
        <v>169</v>
      </c>
    </row>
    <row r="5" spans="1:9" s="3" customFormat="1" ht="49.5" customHeight="1" thickBot="1" x14ac:dyDescent="0.65">
      <c r="A5" s="36" t="s">
        <v>2</v>
      </c>
      <c r="B5" s="36"/>
      <c r="C5" s="36"/>
      <c r="D5" s="37"/>
      <c r="E5" s="28" t="s">
        <v>10</v>
      </c>
      <c r="F5" s="38" t="s">
        <v>7</v>
      </c>
      <c r="G5" s="39"/>
      <c r="H5" s="39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36" t="s">
        <v>3</v>
      </c>
      <c r="B27" s="37"/>
      <c r="C27" s="36"/>
      <c r="D27" s="37"/>
      <c r="E27" s="12" t="s">
        <v>10</v>
      </c>
      <c r="F27" s="38" t="s">
        <v>7</v>
      </c>
      <c r="G27" s="39"/>
      <c r="H27" s="39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1" t="s">
        <v>5</v>
      </c>
      <c r="H28" s="41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0" t="s">
        <v>5</v>
      </c>
      <c r="H29" s="40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0" t="s">
        <v>5</v>
      </c>
      <c r="H30" s="40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0" t="s">
        <v>5</v>
      </c>
      <c r="H31" s="40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0" t="s">
        <v>5</v>
      </c>
      <c r="H32" s="40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0" t="s">
        <v>5</v>
      </c>
      <c r="H33" s="40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Statistique_Kit</vt:lpstr>
      <vt:lpstr>Kit_Montage_Template</vt:lpstr>
      <vt:lpstr>Kit_Ergonomie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2019-01-12T13:59:03Z</dcterms:modified>
</cp:coreProperties>
</file>